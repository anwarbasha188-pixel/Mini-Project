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14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8_{43D49040-5277-44A8-A1AD-3CF7C755F974}" xr6:coauthVersionLast="47" xr6:coauthVersionMax="47" xr10:uidLastSave="{00000000-0000-0000-0000-000000000000}"/>
  <bookViews>
    <workbookView xWindow="-110" yWindow="-110" windowWidth="19420" windowHeight="10420" activeTab="3" xr2:uid="{00000000-000D-0000-FFFF-FFFF00000000}"/>
  </bookViews>
  <sheets>
    <sheet name="Raw_Data" sheetId="8" r:id="rId1"/>
    <sheet name="Cleaned_Data" sheetId="12" r:id="rId2"/>
    <sheet name="Data_Summary" sheetId="9" r:id="rId3"/>
    <sheet name="Pivot Table" sheetId="7" r:id="rId4"/>
    <sheet name="Manager_Product_Analysis" sheetId="2" r:id="rId5"/>
    <sheet name="Product_Summary" sheetId="3" r:id="rId6"/>
    <sheet name="Store_Performance" sheetId="4" r:id="rId7"/>
    <sheet name="Monthly_Summary" sheetId="10" r:id="rId8"/>
    <sheet name="SalesBy_PaymentType &amp; Time" sheetId="11" r:id="rId9"/>
  </sheets>
  <externalReferences>
    <externalReference r:id="rId10"/>
    <externalReference r:id="rId11"/>
  </externalReferences>
  <definedNames>
    <definedName name="_xlnm._FilterDatabase" localSheetId="1" hidden="1">Cleaned_Data!$A$1:$T$601</definedName>
  </definedNames>
  <calcPr calcId="191029"/>
  <pivotCaches>
    <pivotCache cacheId="57" r:id="rId12"/>
    <pivotCache cacheId="58" r:id="rId13"/>
    <pivotCache cacheId="59" r:id="rId14"/>
    <pivotCache cacheId="60" r:id="rId1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3" l="1"/>
  <c r="D10" i="3"/>
  <c r="C10" i="3"/>
  <c r="E13" i="4"/>
  <c r="D13" i="4"/>
  <c r="C13" i="4"/>
  <c r="E15" i="10"/>
  <c r="C15" i="10"/>
  <c r="D15" i="10"/>
  <c r="B15" i="10"/>
  <c r="C25" i="11"/>
  <c r="C24" i="11"/>
  <c r="C23" i="11"/>
  <c r="C22" i="11"/>
  <c r="C21" i="11"/>
  <c r="C20" i="11"/>
  <c r="C19" i="11"/>
  <c r="C14" i="11"/>
  <c r="C13" i="11"/>
  <c r="C12" i="11"/>
  <c r="C7" i="11"/>
  <c r="C6" i="11"/>
  <c r="C5" i="11"/>
  <c r="C4" i="11"/>
  <c r="C3" i="11"/>
  <c r="B20" i="9"/>
  <c r="B19" i="9"/>
  <c r="B18" i="9"/>
  <c r="B17" i="9"/>
  <c r="B16" i="9"/>
  <c r="F13" i="4"/>
  <c r="B13" i="4"/>
  <c r="F10" i="3"/>
  <c r="B10" i="3"/>
  <c r="H7" i="2"/>
  <c r="G7" i="2"/>
  <c r="F7" i="2"/>
  <c r="E7" i="2"/>
  <c r="D7" i="2"/>
  <c r="C7" i="2"/>
  <c r="B7" i="2"/>
  <c r="C26" i="11" l="1"/>
  <c r="C15" i="11"/>
  <c r="C8" i="11"/>
</calcChain>
</file>

<file path=xl/sharedStrings.xml><?xml version="1.0" encoding="utf-8"?>
<sst xmlns="http://schemas.openxmlformats.org/spreadsheetml/2006/main" count="27469" uniqueCount="2912">
  <si>
    <t>Date</t>
  </si>
  <si>
    <t>Time</t>
  </si>
  <si>
    <t>StoreID</t>
  </si>
  <si>
    <t>Location</t>
  </si>
  <si>
    <t>Product</t>
  </si>
  <si>
    <t>Quantity</t>
  </si>
  <si>
    <t>UnitPrice</t>
  </si>
  <si>
    <t>PaymentType</t>
  </si>
  <si>
    <t>TransactionID</t>
  </si>
  <si>
    <t>Cashier</t>
  </si>
  <si>
    <t>StoreManager</t>
  </si>
  <si>
    <t>TimeOfDay</t>
  </si>
  <si>
    <t>DayOfWeek</t>
  </si>
  <si>
    <t>TotalPrice</t>
  </si>
  <si>
    <t>Year</t>
  </si>
  <si>
    <t>Month</t>
  </si>
  <si>
    <t>MonthName</t>
  </si>
  <si>
    <t>Quarter</t>
  </si>
  <si>
    <t>Revenue</t>
  </si>
  <si>
    <t>AvgUnitPrice</t>
  </si>
  <si>
    <t>19:18</t>
  </si>
  <si>
    <t>S7</t>
  </si>
  <si>
    <t>Store B</t>
  </si>
  <si>
    <t>Monitor</t>
  </si>
  <si>
    <t>Gift Card</t>
  </si>
  <si>
    <t>TX300560</t>
  </si>
  <si>
    <t>C3</t>
  </si>
  <si>
    <t>Liam</t>
  </si>
  <si>
    <t>Evening</t>
  </si>
  <si>
    <t>Monday</t>
  </si>
  <si>
    <t>January</t>
  </si>
  <si>
    <t>Q1</t>
  </si>
  <si>
    <t>14:24</t>
  </si>
  <si>
    <t>Store C</t>
  </si>
  <si>
    <t>Phone</t>
  </si>
  <si>
    <t>Debit Card</t>
  </si>
  <si>
    <t>TX300300</t>
  </si>
  <si>
    <t>C4</t>
  </si>
  <si>
    <t>Olivia</t>
  </si>
  <si>
    <t>Afternoon</t>
  </si>
  <si>
    <t>12:21</t>
  </si>
  <si>
    <t>S5</t>
  </si>
  <si>
    <t>Store A</t>
  </si>
  <si>
    <t>Chair</t>
  </si>
  <si>
    <t>Online</t>
  </si>
  <si>
    <t>TX300477</t>
  </si>
  <si>
    <t>15:38</t>
  </si>
  <si>
    <t>S10</t>
  </si>
  <si>
    <t>TX300387</t>
  </si>
  <si>
    <t>Tuesday</t>
  </si>
  <si>
    <t>21:13</t>
  </si>
  <si>
    <t>S8</t>
  </si>
  <si>
    <t>Store D</t>
  </si>
  <si>
    <t>Printer</t>
  </si>
  <si>
    <t>TX300496</t>
  </si>
  <si>
    <t>C1</t>
  </si>
  <si>
    <t>Thursday</t>
  </si>
  <si>
    <t>19:03</t>
  </si>
  <si>
    <t>Credit Card</t>
  </si>
  <si>
    <t>TX300170</t>
  </si>
  <si>
    <t>Mia</t>
  </si>
  <si>
    <t>Friday</t>
  </si>
  <si>
    <t>11:07</t>
  </si>
  <si>
    <t>Tablet</t>
  </si>
  <si>
    <t>Cash</t>
  </si>
  <si>
    <t>TX300474</t>
  </si>
  <si>
    <t>Morning</t>
  </si>
  <si>
    <t>Wednesday</t>
  </si>
  <si>
    <t>21:15</t>
  </si>
  <si>
    <t>TX300462</t>
  </si>
  <si>
    <t>18:40</t>
  </si>
  <si>
    <t>S6</t>
  </si>
  <si>
    <t>TX300075</t>
  </si>
  <si>
    <t>14:25</t>
  </si>
  <si>
    <t>S4</t>
  </si>
  <si>
    <t>TX300224</t>
  </si>
  <si>
    <t>19:42</t>
  </si>
  <si>
    <t>TX300185</t>
  </si>
  <si>
    <t>Noah</t>
  </si>
  <si>
    <t>Saturday</t>
  </si>
  <si>
    <t>13:59</t>
  </si>
  <si>
    <t>S3</t>
  </si>
  <si>
    <t>TX300368</t>
  </si>
  <si>
    <t>Laptop</t>
  </si>
  <si>
    <t>TX300137</t>
  </si>
  <si>
    <t>12:06</t>
  </si>
  <si>
    <t>S2</t>
  </si>
  <si>
    <t>TX300519</t>
  </si>
  <si>
    <t>16:56</t>
  </si>
  <si>
    <t>S9</t>
  </si>
  <si>
    <t>TX300163</t>
  </si>
  <si>
    <t>13:10</t>
  </si>
  <si>
    <t>Desk</t>
  </si>
  <si>
    <t>TX300281</t>
  </si>
  <si>
    <t>C2</t>
  </si>
  <si>
    <t>21:51</t>
  </si>
  <si>
    <t>TX300005</t>
  </si>
  <si>
    <t>C5</t>
  </si>
  <si>
    <t>TX300502</t>
  </si>
  <si>
    <t>21:52</t>
  </si>
  <si>
    <t>TX300428</t>
  </si>
  <si>
    <t>Sunday</t>
  </si>
  <si>
    <t>13:52</t>
  </si>
  <si>
    <t>TX300073</t>
  </si>
  <si>
    <t>20:45</t>
  </si>
  <si>
    <t>TX300433</t>
  </si>
  <si>
    <t>S1</t>
  </si>
  <si>
    <t>TX300464</t>
  </si>
  <si>
    <t>14:04</t>
  </si>
  <si>
    <t>TX300138</t>
  </si>
  <si>
    <t>18:53</t>
  </si>
  <si>
    <t>TX300393</t>
  </si>
  <si>
    <t>17:06</t>
  </si>
  <si>
    <t>TX300165</t>
  </si>
  <si>
    <t>15:30</t>
  </si>
  <si>
    <t>TX300066</t>
  </si>
  <si>
    <t>11:06</t>
  </si>
  <si>
    <t>TX300461</t>
  </si>
  <si>
    <t>February</t>
  </si>
  <si>
    <t>10:56</t>
  </si>
  <si>
    <t>TX300396</t>
  </si>
  <si>
    <t>17:48</t>
  </si>
  <si>
    <t>TX300205</t>
  </si>
  <si>
    <t>9:32</t>
  </si>
  <si>
    <t>TX300014</t>
  </si>
  <si>
    <t>13:57</t>
  </si>
  <si>
    <t>TX300177</t>
  </si>
  <si>
    <t>14:29</t>
  </si>
  <si>
    <t>TX300211</t>
  </si>
  <si>
    <t>12:49</t>
  </si>
  <si>
    <t>TX300097</t>
  </si>
  <si>
    <t>10:10</t>
  </si>
  <si>
    <t>TX300571</t>
  </si>
  <si>
    <t>13:23</t>
  </si>
  <si>
    <t>TX300253</t>
  </si>
  <si>
    <t>14:13</t>
  </si>
  <si>
    <t>TX300203</t>
  </si>
  <si>
    <t>20:47</t>
  </si>
  <si>
    <t>TX300543</t>
  </si>
  <si>
    <t>9:09</t>
  </si>
  <si>
    <t>TX300114</t>
  </si>
  <si>
    <t>20:02</t>
  </si>
  <si>
    <t>TX300216</t>
  </si>
  <si>
    <t>14:49</t>
  </si>
  <si>
    <t>TX300018</t>
  </si>
  <si>
    <t>20:41</t>
  </si>
  <si>
    <t>TX300542</t>
  </si>
  <si>
    <t>19:53</t>
  </si>
  <si>
    <t>TX300266</t>
  </si>
  <si>
    <t>12:54</t>
  </si>
  <si>
    <t>TX300380</t>
  </si>
  <si>
    <t>12:28</t>
  </si>
  <si>
    <t>TX300052</t>
  </si>
  <si>
    <t>12:04</t>
  </si>
  <si>
    <t>TX300562</t>
  </si>
  <si>
    <t>March</t>
  </si>
  <si>
    <t>15:50</t>
  </si>
  <si>
    <t>TX300220</t>
  </si>
  <si>
    <t>19:07</t>
  </si>
  <si>
    <t>TX300471</t>
  </si>
  <si>
    <t>13:01</t>
  </si>
  <si>
    <t>TX300589</t>
  </si>
  <si>
    <t>11:57</t>
  </si>
  <si>
    <t>TX300303</t>
  </si>
  <si>
    <t>17:17</t>
  </si>
  <si>
    <t>TX300027</t>
  </si>
  <si>
    <t>13:55</t>
  </si>
  <si>
    <t>TX300370</t>
  </si>
  <si>
    <t>21:35</t>
  </si>
  <si>
    <t>TX300598</t>
  </si>
  <si>
    <t>16:06</t>
  </si>
  <si>
    <t>TX300276</t>
  </si>
  <si>
    <t>17:27</t>
  </si>
  <si>
    <t>TX300087</t>
  </si>
  <si>
    <t>20:03</t>
  </si>
  <si>
    <t>TX300193</t>
  </si>
  <si>
    <t>21:17</t>
  </si>
  <si>
    <t>TX300397</t>
  </si>
  <si>
    <t>11:27</t>
  </si>
  <si>
    <t>TX300274</t>
  </si>
  <si>
    <t>15:01</t>
  </si>
  <si>
    <t>TX300386</t>
  </si>
  <si>
    <t>11:33</t>
  </si>
  <si>
    <t>TX300068</t>
  </si>
  <si>
    <t>16:53</t>
  </si>
  <si>
    <t>TX300001</t>
  </si>
  <si>
    <t>TX300288</t>
  </si>
  <si>
    <t>20:13</t>
  </si>
  <si>
    <t>TX300419</t>
  </si>
  <si>
    <t>12:40</t>
  </si>
  <si>
    <t>TX300418</t>
  </si>
  <si>
    <t>14:39</t>
  </si>
  <si>
    <t>TX300476</t>
  </si>
  <si>
    <t>19:11</t>
  </si>
  <si>
    <t>TX300296</t>
  </si>
  <si>
    <t>13:18</t>
  </si>
  <si>
    <t>TX300132</t>
  </si>
  <si>
    <t>TX300495</t>
  </si>
  <si>
    <t>9:21</t>
  </si>
  <si>
    <t>TX300553</t>
  </si>
  <si>
    <t>20:57</t>
  </si>
  <si>
    <t>TX300124</t>
  </si>
  <si>
    <t>11:42</t>
  </si>
  <si>
    <t>TX300190</t>
  </si>
  <si>
    <t>16:52</t>
  </si>
  <si>
    <t>TX300348</t>
  </si>
  <si>
    <t>17:42</t>
  </si>
  <si>
    <t>TX300457</t>
  </si>
  <si>
    <t>13:31</t>
  </si>
  <si>
    <t>TX300437</t>
  </si>
  <si>
    <t>11:08</t>
  </si>
  <si>
    <t>TX300287</t>
  </si>
  <si>
    <t>16:39</t>
  </si>
  <si>
    <t>TX300221</t>
  </si>
  <si>
    <t>18:19</t>
  </si>
  <si>
    <t>TX300208</t>
  </si>
  <si>
    <t>April</t>
  </si>
  <si>
    <t>Q2</t>
  </si>
  <si>
    <t>19:20</t>
  </si>
  <si>
    <t>TX300566</t>
  </si>
  <si>
    <t>16:47</t>
  </si>
  <si>
    <t>TX300184</t>
  </si>
  <si>
    <t>21:03</t>
  </si>
  <si>
    <t>TX300408</t>
  </si>
  <si>
    <t>12:34</t>
  </si>
  <si>
    <t>TX300159</t>
  </si>
  <si>
    <t>20:28</t>
  </si>
  <si>
    <t>TX300531</t>
  </si>
  <si>
    <t>12:25</t>
  </si>
  <si>
    <t>TX300586</t>
  </si>
  <si>
    <t>16:57</t>
  </si>
  <si>
    <t>TX300467</t>
  </si>
  <si>
    <t>13:20</t>
  </si>
  <si>
    <t>TX300383</t>
  </si>
  <si>
    <t>13:42</t>
  </si>
  <si>
    <t>TX300244</t>
  </si>
  <si>
    <t>11:20</t>
  </si>
  <si>
    <t>TX300469</t>
  </si>
  <si>
    <t>16:08</t>
  </si>
  <si>
    <t>TX300320</t>
  </si>
  <si>
    <t>17:18</t>
  </si>
  <si>
    <t>TX300579</t>
  </si>
  <si>
    <t>21:33</t>
  </si>
  <si>
    <t>TX300040</t>
  </si>
  <si>
    <t>14:57</t>
  </si>
  <si>
    <t>TX300202</t>
  </si>
  <si>
    <t>15:47</t>
  </si>
  <si>
    <t>TX300478</t>
  </si>
  <si>
    <t>9:39</t>
  </si>
  <si>
    <t>TX300558</t>
  </si>
  <si>
    <t>9:49</t>
  </si>
  <si>
    <t>TX300070</t>
  </si>
  <si>
    <t>15:56</t>
  </si>
  <si>
    <t>TX300258</t>
  </si>
  <si>
    <t>11:28</t>
  </si>
  <si>
    <t>TX300409</t>
  </si>
  <si>
    <t>18:38</t>
  </si>
  <si>
    <t>TX300500</t>
  </si>
  <si>
    <t>TX300549</t>
  </si>
  <si>
    <t>18:51</t>
  </si>
  <si>
    <t>TX300148</t>
  </si>
  <si>
    <t>13:37</t>
  </si>
  <si>
    <t>TX300569</t>
  </si>
  <si>
    <t>16:05</t>
  </si>
  <si>
    <t>TX300547</t>
  </si>
  <si>
    <t>11:47</t>
  </si>
  <si>
    <t>TX300415</t>
  </si>
  <si>
    <t>May</t>
  </si>
  <si>
    <t>17:31</t>
  </si>
  <si>
    <t>TX300121</t>
  </si>
  <si>
    <t>TX300520</t>
  </si>
  <si>
    <t>9:13</t>
  </si>
  <si>
    <t>TX300326</t>
  </si>
  <si>
    <t>12:33</t>
  </si>
  <si>
    <t>TX300491</t>
  </si>
  <si>
    <t>16:02</t>
  </si>
  <si>
    <t>TX300270</t>
  </si>
  <si>
    <t>10:05</t>
  </si>
  <si>
    <t>TX300160</t>
  </si>
  <si>
    <t>20:49</t>
  </si>
  <si>
    <t>TX300430</t>
  </si>
  <si>
    <t>10:46</t>
  </si>
  <si>
    <t>TX300294</t>
  </si>
  <si>
    <t>15:58</t>
  </si>
  <si>
    <t>TX300524</t>
  </si>
  <si>
    <t>19:19</t>
  </si>
  <si>
    <t>TX300180</t>
  </si>
  <si>
    <t>12:52</t>
  </si>
  <si>
    <t>TX300055</t>
  </si>
  <si>
    <t>21:12</t>
  </si>
  <si>
    <t>TX300071</t>
  </si>
  <si>
    <t>9:35</t>
  </si>
  <si>
    <t>TX300377</t>
  </si>
  <si>
    <t>TX300290</t>
  </si>
  <si>
    <t>12:44</t>
  </si>
  <si>
    <t>TX300136</t>
  </si>
  <si>
    <t>20:18</t>
  </si>
  <si>
    <t>TX300259</t>
  </si>
  <si>
    <t>TX300080</t>
  </si>
  <si>
    <t>19:04</t>
  </si>
  <si>
    <t>TX300198</t>
  </si>
  <si>
    <t>TX300506</t>
  </si>
  <si>
    <t>TX300169</t>
  </si>
  <si>
    <t>18:16</t>
  </si>
  <si>
    <t>TX300201</t>
  </si>
  <si>
    <t>10:22</t>
  </si>
  <si>
    <t>TX300485</t>
  </si>
  <si>
    <t>14:14</t>
  </si>
  <si>
    <t>TX300179</t>
  </si>
  <si>
    <t>16:04</t>
  </si>
  <si>
    <t>TX300371</t>
  </si>
  <si>
    <t>15:34</t>
  </si>
  <si>
    <t>TX300128</t>
  </si>
  <si>
    <t>10:32</t>
  </si>
  <si>
    <t>TX300490</t>
  </si>
  <si>
    <t>9:18</t>
  </si>
  <si>
    <t>TX300454</t>
  </si>
  <si>
    <t>20:06</t>
  </si>
  <si>
    <t>TX300458</t>
  </si>
  <si>
    <t>18:39</t>
  </si>
  <si>
    <t>TX300570</t>
  </si>
  <si>
    <t>June</t>
  </si>
  <si>
    <t>18:59</t>
  </si>
  <si>
    <t>TX300017</t>
  </si>
  <si>
    <t>14:40</t>
  </si>
  <si>
    <t>TX300414</t>
  </si>
  <si>
    <t>17:51</t>
  </si>
  <si>
    <t>TX300402</t>
  </si>
  <si>
    <t>15:40</t>
  </si>
  <si>
    <t>TX300407</t>
  </si>
  <si>
    <t>21:49</t>
  </si>
  <si>
    <t>TX300227</t>
  </si>
  <si>
    <t>20:08</t>
  </si>
  <si>
    <t>TX300236</t>
  </si>
  <si>
    <t>15:11</t>
  </si>
  <si>
    <t>TX300215</t>
  </si>
  <si>
    <t>16:18</t>
  </si>
  <si>
    <t>TX300572</t>
  </si>
  <si>
    <t>14:34</t>
  </si>
  <si>
    <t>TX300083</t>
  </si>
  <si>
    <t>19:35</t>
  </si>
  <si>
    <t>TX300090</t>
  </si>
  <si>
    <t>18:04</t>
  </si>
  <si>
    <t>TX300219</t>
  </si>
  <si>
    <t>15:18</t>
  </si>
  <si>
    <t>TX300257</t>
  </si>
  <si>
    <t>13:03</t>
  </si>
  <si>
    <t>TX300444</t>
  </si>
  <si>
    <t>20:21</t>
  </si>
  <si>
    <t>TX300186</t>
  </si>
  <si>
    <t>18:57</t>
  </si>
  <si>
    <t>TX300305</t>
  </si>
  <si>
    <t>15:57</t>
  </si>
  <si>
    <t>TX300573</t>
  </si>
  <si>
    <t>17:53</t>
  </si>
  <si>
    <t>TX300517</t>
  </si>
  <si>
    <t>14:37</t>
  </si>
  <si>
    <t>TX300245</t>
  </si>
  <si>
    <t>19:46</t>
  </si>
  <si>
    <t>TX300200</t>
  </si>
  <si>
    <t>10:55</t>
  </si>
  <si>
    <t>TX300284</t>
  </si>
  <si>
    <t>TX300147</t>
  </si>
  <si>
    <t>15:55</t>
  </si>
  <si>
    <t>TX300446</t>
  </si>
  <si>
    <t>TX300230</t>
  </si>
  <si>
    <t>July</t>
  </si>
  <si>
    <t>Q3</t>
  </si>
  <si>
    <t>12:31</t>
  </si>
  <si>
    <t>TX300135</t>
  </si>
  <si>
    <t>17:20</t>
  </si>
  <si>
    <t>TX300585</t>
  </si>
  <si>
    <t>17:44</t>
  </si>
  <si>
    <t>TX300062</t>
  </si>
  <si>
    <t>13:08</t>
  </si>
  <si>
    <t>TX300592</t>
  </si>
  <si>
    <t>11:01</t>
  </si>
  <si>
    <t>TX300251</t>
  </si>
  <si>
    <t>11:05</t>
  </si>
  <si>
    <t>TX300449</t>
  </si>
  <si>
    <t>11:59</t>
  </si>
  <si>
    <t>TX300178</t>
  </si>
  <si>
    <t>19:26</t>
  </si>
  <si>
    <t>TX300081</t>
  </si>
  <si>
    <t>10:14</t>
  </si>
  <si>
    <t>TX300359</t>
  </si>
  <si>
    <t>17:49</t>
  </si>
  <si>
    <t>TX300019</t>
  </si>
  <si>
    <t>21:29</t>
  </si>
  <si>
    <t>TX300405</t>
  </si>
  <si>
    <t>21:07</t>
  </si>
  <si>
    <t>TX300022</t>
  </si>
  <si>
    <t>TX300254</t>
  </si>
  <si>
    <t>August</t>
  </si>
  <si>
    <t>20:09</t>
  </si>
  <si>
    <t>TX300262</t>
  </si>
  <si>
    <t>10:20</t>
  </si>
  <si>
    <t>TX300554</t>
  </si>
  <si>
    <t>20:36</t>
  </si>
  <si>
    <t>TX300007</t>
  </si>
  <si>
    <t>18:46</t>
  </si>
  <si>
    <t>TX300217</t>
  </si>
  <si>
    <t>16:45</t>
  </si>
  <si>
    <t>TX300401</t>
  </si>
  <si>
    <t>21:43</t>
  </si>
  <si>
    <t>TX300550</t>
  </si>
  <si>
    <t>21:01</t>
  </si>
  <si>
    <t>TX300374</t>
  </si>
  <si>
    <t>TX300065</t>
  </si>
  <si>
    <t>14:10</t>
  </si>
  <si>
    <t>TX300340</t>
  </si>
  <si>
    <t>TX300441</t>
  </si>
  <si>
    <t>12:18</t>
  </si>
  <si>
    <t>TX300533</t>
  </si>
  <si>
    <t>10:06</t>
  </si>
  <si>
    <t>TX300590</t>
  </si>
  <si>
    <t>12:01</t>
  </si>
  <si>
    <t>TX300466</t>
  </si>
  <si>
    <t>17:50</t>
  </si>
  <si>
    <t>TX300473</t>
  </si>
  <si>
    <t>September</t>
  </si>
  <si>
    <t>13:47</t>
  </si>
  <si>
    <t>TX300232</t>
  </si>
  <si>
    <t>19:38</t>
  </si>
  <si>
    <t>TX300061</t>
  </si>
  <si>
    <t>9:07</t>
  </si>
  <si>
    <t>TX300445</t>
  </si>
  <si>
    <t>21:22</t>
  </si>
  <si>
    <t>TX300117</t>
  </si>
  <si>
    <t>14:12</t>
  </si>
  <si>
    <t>TX300256</t>
  </si>
  <si>
    <t>19:44</t>
  </si>
  <si>
    <t>TX300009</t>
  </si>
  <si>
    <t>9:44</t>
  </si>
  <si>
    <t>TX300242</t>
  </si>
  <si>
    <t>20:27</t>
  </si>
  <si>
    <t>TX300460</t>
  </si>
  <si>
    <t>19:47</t>
  </si>
  <si>
    <t>TX300587</t>
  </si>
  <si>
    <t>19:50</t>
  </si>
  <si>
    <t>TX300334</t>
  </si>
  <si>
    <t>20:29</t>
  </si>
  <si>
    <t>TX300010</t>
  </si>
  <si>
    <t>12:10</t>
  </si>
  <si>
    <t>TX300379</t>
  </si>
  <si>
    <t>TX300172</t>
  </si>
  <si>
    <t>15:07</t>
  </si>
  <si>
    <t>TX300568</t>
  </si>
  <si>
    <t>11:12</t>
  </si>
  <si>
    <t>TX300016</t>
  </si>
  <si>
    <t>13:39</t>
  </si>
  <si>
    <t>TX300378</t>
  </si>
  <si>
    <t>19:16</t>
  </si>
  <si>
    <t>TX300468</t>
  </si>
  <si>
    <t>11:31</t>
  </si>
  <si>
    <t>TX300243</t>
  </si>
  <si>
    <t>TX300439</t>
  </si>
  <si>
    <t>October</t>
  </si>
  <si>
    <t>Q4</t>
  </si>
  <si>
    <t>10:24</t>
  </si>
  <si>
    <t>TX300285</t>
  </si>
  <si>
    <t>14:43</t>
  </si>
  <si>
    <t>TX300523</t>
  </si>
  <si>
    <t>TX300152</t>
  </si>
  <si>
    <t>15:22</t>
  </si>
  <si>
    <t>TX300031</t>
  </si>
  <si>
    <t>14:20</t>
  </si>
  <si>
    <t>TX300059</t>
  </si>
  <si>
    <t>9:38</t>
  </si>
  <si>
    <t>TX300456</t>
  </si>
  <si>
    <t>14:47</t>
  </si>
  <si>
    <t>TX300306</t>
  </si>
  <si>
    <t>20:39</t>
  </si>
  <si>
    <t>TX300595</t>
  </si>
  <si>
    <t>12:15</t>
  </si>
  <si>
    <t>TX300238</t>
  </si>
  <si>
    <t>TX300020</t>
  </si>
  <si>
    <t>9:05</t>
  </si>
  <si>
    <t>TX300310</t>
  </si>
  <si>
    <t>18:45</t>
  </si>
  <si>
    <t>TX300403</t>
  </si>
  <si>
    <t>10:43</t>
  </si>
  <si>
    <t>TX300272</t>
  </si>
  <si>
    <t>TX300034</t>
  </si>
  <si>
    <t>9:43</t>
  </si>
  <si>
    <t>TX300030</t>
  </si>
  <si>
    <t>9:11</t>
  </si>
  <si>
    <t>TX300129</t>
  </si>
  <si>
    <t>12:46</t>
  </si>
  <si>
    <t>TX300599</t>
  </si>
  <si>
    <t>11:56</t>
  </si>
  <si>
    <t>TX300536</t>
  </si>
  <si>
    <t>November</t>
  </si>
  <si>
    <t>18:42</t>
  </si>
  <si>
    <t>TX300194</t>
  </si>
  <si>
    <t>18:00</t>
  </si>
  <si>
    <t>TX300363</t>
  </si>
  <si>
    <t>20:56</t>
  </si>
  <si>
    <t>TX300067</t>
  </si>
  <si>
    <t>10:36</t>
  </si>
  <si>
    <t>TX300307</t>
  </si>
  <si>
    <t>18:26</t>
  </si>
  <si>
    <t>TX300174</t>
  </si>
  <si>
    <t>21:50</t>
  </si>
  <si>
    <t>TX300053</t>
  </si>
  <si>
    <t>TX300063</t>
  </si>
  <si>
    <t>TX300479</t>
  </si>
  <si>
    <t>14:03</t>
  </si>
  <si>
    <t>TX300246</t>
  </si>
  <si>
    <t>9:56</t>
  </si>
  <si>
    <t>TX300212</t>
  </si>
  <si>
    <t>15:23</t>
  </si>
  <si>
    <t>TX300263</t>
  </si>
  <si>
    <t>TX300410</t>
  </si>
  <si>
    <t>17:05</t>
  </si>
  <si>
    <t>TX300064</t>
  </si>
  <si>
    <t>21:58</t>
  </si>
  <si>
    <t>TX300361</t>
  </si>
  <si>
    <t>11:53</t>
  </si>
  <si>
    <t>TX300195</t>
  </si>
  <si>
    <t>21:06</t>
  </si>
  <si>
    <t>TX300367</t>
  </si>
  <si>
    <t>TX300175</t>
  </si>
  <si>
    <t>TX300339</t>
  </si>
  <si>
    <t>18:11</t>
  </si>
  <si>
    <t>TX300511</t>
  </si>
  <si>
    <t>TX300431</t>
  </si>
  <si>
    <t>9:47</t>
  </si>
  <si>
    <t>TX300155</t>
  </si>
  <si>
    <t>December</t>
  </si>
  <si>
    <t>12:45</t>
  </si>
  <si>
    <t>TX300316</t>
  </si>
  <si>
    <t>20:33</t>
  </si>
  <si>
    <t>TX300398</t>
  </si>
  <si>
    <t>17:52</t>
  </si>
  <si>
    <t>TX300049</t>
  </si>
  <si>
    <t>9:58</t>
  </si>
  <si>
    <t>TX300279</t>
  </si>
  <si>
    <t>20:00</t>
  </si>
  <si>
    <t>TX300593</t>
  </si>
  <si>
    <t>11:18</t>
  </si>
  <si>
    <t>TX300120</t>
  </si>
  <si>
    <t>10:26</t>
  </si>
  <si>
    <t>TX300400</t>
  </si>
  <si>
    <t>TX300006</t>
  </si>
  <si>
    <t>16:27</t>
  </si>
  <si>
    <t>TX300390</t>
  </si>
  <si>
    <t>13:36</t>
  </si>
  <si>
    <t>TX300530</t>
  </si>
  <si>
    <t>TX300436</t>
  </si>
  <si>
    <t>14:23</t>
  </si>
  <si>
    <t>TX300575</t>
  </si>
  <si>
    <t>15:44</t>
  </si>
  <si>
    <t>TX300518</t>
  </si>
  <si>
    <t>20:58</t>
  </si>
  <si>
    <t>TX300557</t>
  </si>
  <si>
    <t>20:38</t>
  </si>
  <si>
    <t>TX300451</t>
  </si>
  <si>
    <t>16:20</t>
  </si>
  <si>
    <t>TX300465</t>
  </si>
  <si>
    <t>TX300489</t>
  </si>
  <si>
    <t>TX300427</t>
  </si>
  <si>
    <t>17:13</t>
  </si>
  <si>
    <t>TX300532</t>
  </si>
  <si>
    <t>10:35</t>
  </si>
  <si>
    <t>TX300145</t>
  </si>
  <si>
    <t>21:10</t>
  </si>
  <si>
    <t>TX300338</t>
  </si>
  <si>
    <t>TX300345</t>
  </si>
  <si>
    <t>12:58</t>
  </si>
  <si>
    <t>TX300352</t>
  </si>
  <si>
    <t>16:33</t>
  </si>
  <si>
    <t>TX300044</t>
  </si>
  <si>
    <t>10:23</t>
  </si>
  <si>
    <t>TX300413</t>
  </si>
  <si>
    <t>12:47</t>
  </si>
  <si>
    <t>TX300183</t>
  </si>
  <si>
    <t>14:06</t>
  </si>
  <si>
    <t>TX300072</t>
  </si>
  <si>
    <t>TX300122</t>
  </si>
  <si>
    <t>TX300325</t>
  </si>
  <si>
    <t>9:26</t>
  </si>
  <si>
    <t>TX300583</t>
  </si>
  <si>
    <t>TX300499</t>
  </si>
  <si>
    <t>TX300435</t>
  </si>
  <si>
    <t>TX300337</t>
  </si>
  <si>
    <t>17:41</t>
  </si>
  <si>
    <t>TX300255</t>
  </si>
  <si>
    <t>11:26</t>
  </si>
  <si>
    <t>TX300110</t>
  </si>
  <si>
    <t>14:08</t>
  </si>
  <si>
    <t>TX300043</t>
  </si>
  <si>
    <t>TX300161</t>
  </si>
  <si>
    <t>TX300015</t>
  </si>
  <si>
    <t>15:06</t>
  </si>
  <si>
    <t>TX300118</t>
  </si>
  <si>
    <t>16:46</t>
  </si>
  <si>
    <t>TX300035</t>
  </si>
  <si>
    <t>15:39</t>
  </si>
  <si>
    <t>TX300153</t>
  </si>
  <si>
    <t>TX300513</t>
  </si>
  <si>
    <t>TX300541</t>
  </si>
  <si>
    <t>TX300085</t>
  </si>
  <si>
    <t>11:55</t>
  </si>
  <si>
    <t>TX300139</t>
  </si>
  <si>
    <t>20:25</t>
  </si>
  <si>
    <t>TX300271</t>
  </si>
  <si>
    <t>10:59</t>
  </si>
  <si>
    <t>TX300024</t>
  </si>
  <si>
    <t>TX300093</t>
  </si>
  <si>
    <t>9:41</t>
  </si>
  <si>
    <t>TX300505</t>
  </si>
  <si>
    <t>12:03</t>
  </si>
  <si>
    <t>TX300011</t>
  </si>
  <si>
    <t>19:48</t>
  </si>
  <si>
    <t>TX300291</t>
  </si>
  <si>
    <t>15:25</t>
  </si>
  <si>
    <t>TX300127</t>
  </si>
  <si>
    <t>16:30</t>
  </si>
  <si>
    <t>TX300406</t>
  </si>
  <si>
    <t>TX300149</t>
  </si>
  <si>
    <t>13:26</t>
  </si>
  <si>
    <t>TX300265</t>
  </si>
  <si>
    <t>TX300539</t>
  </si>
  <si>
    <t>TX300096</t>
  </si>
  <si>
    <t>11:22</t>
  </si>
  <si>
    <t>TX300260</t>
  </si>
  <si>
    <t>16:59</t>
  </si>
  <si>
    <t>TX300372</t>
  </si>
  <si>
    <t>17:21</t>
  </si>
  <si>
    <t>TX300426</t>
  </si>
  <si>
    <t>TX300140</t>
  </si>
  <si>
    <t>16:07</t>
  </si>
  <si>
    <t>TX300538</t>
  </si>
  <si>
    <t>13:38</t>
  </si>
  <si>
    <t>TX300123</t>
  </si>
  <si>
    <t>9:28</t>
  </si>
  <si>
    <t>TX300336</t>
  </si>
  <si>
    <t>13:49</t>
  </si>
  <si>
    <t>TX300443</t>
  </si>
  <si>
    <t>20:34</t>
  </si>
  <si>
    <t>TX300192</t>
  </si>
  <si>
    <t>15:16</t>
  </si>
  <si>
    <t>TX300385</t>
  </si>
  <si>
    <t>19:51</t>
  </si>
  <si>
    <t>TX300048</t>
  </si>
  <si>
    <t>20:26</t>
  </si>
  <si>
    <t>TX300302</t>
  </si>
  <si>
    <t>9:31</t>
  </si>
  <si>
    <t>TX300144</t>
  </si>
  <si>
    <t>TX300425</t>
  </si>
  <si>
    <t>18:05</t>
  </si>
  <si>
    <t>TX300267</t>
  </si>
  <si>
    <t>14:35</t>
  </si>
  <si>
    <t>TX300416</t>
  </si>
  <si>
    <t>TX300142</t>
  </si>
  <si>
    <t>12:59</t>
  </si>
  <si>
    <t>TX300197</t>
  </si>
  <si>
    <t>14:56</t>
  </si>
  <si>
    <t>TX300100</t>
  </si>
  <si>
    <t>TX300231</t>
  </si>
  <si>
    <t>16:36</t>
  </si>
  <si>
    <t>TX300051</t>
  </si>
  <si>
    <t>9:04</t>
  </si>
  <si>
    <t>TX300119</t>
  </si>
  <si>
    <t>21:41</t>
  </si>
  <si>
    <t>TX300207</t>
  </si>
  <si>
    <t>9:37</t>
  </si>
  <si>
    <t>TX300384</t>
  </si>
  <si>
    <t>15:29</t>
  </si>
  <si>
    <t>TX300000</t>
  </si>
  <si>
    <t>10:42</t>
  </si>
  <si>
    <t>TX300330</t>
  </si>
  <si>
    <t>20:17</t>
  </si>
  <si>
    <t>TX300497</t>
  </si>
  <si>
    <t>10:09</t>
  </si>
  <si>
    <t>TX300521</t>
  </si>
  <si>
    <t>10:47</t>
  </si>
  <si>
    <t>TX300321</t>
  </si>
  <si>
    <t>17:37</t>
  </si>
  <si>
    <t>TX300365</t>
  </si>
  <si>
    <t>12:43</t>
  </si>
  <si>
    <t>TX300421</t>
  </si>
  <si>
    <t>TX300156</t>
  </si>
  <si>
    <t>TX300313</t>
  </si>
  <si>
    <t>TX300344</t>
  </si>
  <si>
    <t>TX300130</t>
  </si>
  <si>
    <t>12:29</t>
  </si>
  <si>
    <t>TX300394</t>
  </si>
  <si>
    <t>12:41</t>
  </si>
  <si>
    <t>TX300311</t>
  </si>
  <si>
    <t>TX300002</t>
  </si>
  <si>
    <t>TX300237</t>
  </si>
  <si>
    <t>20:24</t>
  </si>
  <si>
    <t>TX300115</t>
  </si>
  <si>
    <t>9:19</t>
  </si>
  <si>
    <t>TX300391</t>
  </si>
  <si>
    <t>11:43</t>
  </si>
  <si>
    <t>TX300173</t>
  </si>
  <si>
    <t>17:10</t>
  </si>
  <si>
    <t>TX300102</t>
  </si>
  <si>
    <t>15:33</t>
  </si>
  <si>
    <t>TX300312</t>
  </si>
  <si>
    <t>TX300126</t>
  </si>
  <si>
    <t>21:00</t>
  </si>
  <si>
    <t>TX300588</t>
  </si>
  <si>
    <t>19:58</t>
  </si>
  <si>
    <t>TX300056</t>
  </si>
  <si>
    <t>21:45</t>
  </si>
  <si>
    <t>TX300563</t>
  </si>
  <si>
    <t>TX300591</t>
  </si>
  <si>
    <t>19:21</t>
  </si>
  <si>
    <t>TX300480</t>
  </si>
  <si>
    <t>16:42</t>
  </si>
  <si>
    <t>TX300008</t>
  </si>
  <si>
    <t>12:37</t>
  </si>
  <si>
    <t>TX300125</t>
  </si>
  <si>
    <t>14:15</t>
  </si>
  <si>
    <t>TX300440</t>
  </si>
  <si>
    <t>9:54</t>
  </si>
  <si>
    <t>TX300353</t>
  </si>
  <si>
    <t>15:26</t>
  </si>
  <si>
    <t>TX300551</t>
  </si>
  <si>
    <t>TX300594</t>
  </si>
  <si>
    <t>TX300501</t>
  </si>
  <si>
    <t>TX300206</t>
  </si>
  <si>
    <t>TX300250</t>
  </si>
  <si>
    <t>18:22</t>
  </si>
  <si>
    <t>TX300045</t>
  </si>
  <si>
    <t>20:10</t>
  </si>
  <si>
    <t>TX300512</t>
  </si>
  <si>
    <t>9:50</t>
  </si>
  <si>
    <t>TX300228</t>
  </si>
  <si>
    <t>TX300314</t>
  </si>
  <si>
    <t>TX300582</t>
  </si>
  <si>
    <t>10:27</t>
  </si>
  <si>
    <t>TX300233</t>
  </si>
  <si>
    <t>11:11</t>
  </si>
  <si>
    <t>TX300420</t>
  </si>
  <si>
    <t>TX300577</t>
  </si>
  <si>
    <t>17:00</t>
  </si>
  <si>
    <t>TX300526</t>
  </si>
  <si>
    <t>TX300004</t>
  </si>
  <si>
    <t>16:34</t>
  </si>
  <si>
    <t>TX300082</t>
  </si>
  <si>
    <t>TX300113</t>
  </si>
  <si>
    <t>11:21</t>
  </si>
  <si>
    <t>TX300033</t>
  </si>
  <si>
    <t>TX300041</t>
  </si>
  <si>
    <t>TX300042</t>
  </si>
  <si>
    <t>TX300545</t>
  </si>
  <si>
    <t>13:13</t>
  </si>
  <si>
    <t>TX300366</t>
  </si>
  <si>
    <t>15:08</t>
  </si>
  <si>
    <t>TX300304</t>
  </si>
  <si>
    <t>TX300241</t>
  </si>
  <si>
    <t>TX300507</t>
  </si>
  <si>
    <t>12:17</t>
  </si>
  <si>
    <t>TX300450</t>
  </si>
  <si>
    <t>17:40</t>
  </si>
  <si>
    <t>TX300277</t>
  </si>
  <si>
    <t>11:25</t>
  </si>
  <si>
    <t>TX300098</t>
  </si>
  <si>
    <t>11:29</t>
  </si>
  <si>
    <t>TX300564</t>
  </si>
  <si>
    <t>21:37</t>
  </si>
  <si>
    <t>TX300349</t>
  </si>
  <si>
    <t>TX300317</t>
  </si>
  <si>
    <t>13:34</t>
  </si>
  <si>
    <t>TX300235</t>
  </si>
  <si>
    <t>12:57</t>
  </si>
  <si>
    <t>TX300525</t>
  </si>
  <si>
    <t>TX300544</t>
  </si>
  <si>
    <t>TX300392</t>
  </si>
  <si>
    <t>TX300141</t>
  </si>
  <si>
    <t>14:59</t>
  </si>
  <si>
    <t>TX300176</t>
  </si>
  <si>
    <t>TX300483</t>
  </si>
  <si>
    <t>15:31</t>
  </si>
  <si>
    <t>TX300249</t>
  </si>
  <si>
    <t>16:25</t>
  </si>
  <si>
    <t>TX300099</t>
  </si>
  <si>
    <t>15:02</t>
  </si>
  <si>
    <t>TX300327</t>
  </si>
  <si>
    <t>20:59</t>
  </si>
  <si>
    <t>TX300373</t>
  </si>
  <si>
    <t>16:48</t>
  </si>
  <si>
    <t>TX300091</t>
  </si>
  <si>
    <t>12:32</t>
  </si>
  <si>
    <t>TX300447</t>
  </si>
  <si>
    <t>TX300528</t>
  </si>
  <si>
    <t>9:53</t>
  </si>
  <si>
    <t>TX300103</t>
  </si>
  <si>
    <t>16:10</t>
  </si>
  <si>
    <t>TX300196</t>
  </si>
  <si>
    <t>18:49</t>
  </si>
  <si>
    <t>TX300168</t>
  </si>
  <si>
    <t>21:36</t>
  </si>
  <si>
    <t>TX300074</t>
  </si>
  <si>
    <t>TX300448</t>
  </si>
  <si>
    <t>TX300508</t>
  </si>
  <si>
    <t>TX300157</t>
  </si>
  <si>
    <t>18:33</t>
  </si>
  <si>
    <t>TX300191</t>
  </si>
  <si>
    <t>10:01</t>
  </si>
  <si>
    <t>TX300225</t>
  </si>
  <si>
    <t>9:27</t>
  </si>
  <si>
    <t>TX300101</t>
  </si>
  <si>
    <t>20:43</t>
  </si>
  <si>
    <t>TX300023</t>
  </si>
  <si>
    <t>19:29</t>
  </si>
  <si>
    <t>TX300578</t>
  </si>
  <si>
    <t>18:07</t>
  </si>
  <si>
    <t>TX300343</t>
  </si>
  <si>
    <t>TX300171</t>
  </si>
  <si>
    <t>16:55</t>
  </si>
  <si>
    <t>TX300166</t>
  </si>
  <si>
    <t>13:50</t>
  </si>
  <si>
    <t>TX300039</t>
  </si>
  <si>
    <t>10:39</t>
  </si>
  <si>
    <t>TX300151</t>
  </si>
  <si>
    <t>17:16</t>
  </si>
  <si>
    <t>TX300282</t>
  </si>
  <si>
    <t>TX300438</t>
  </si>
  <si>
    <t>TX300084</t>
  </si>
  <si>
    <t>21:27</t>
  </si>
  <si>
    <t>TX300209</t>
  </si>
  <si>
    <t>16:19</t>
  </si>
  <si>
    <t>TX300470</t>
  </si>
  <si>
    <t>TX300527</t>
  </si>
  <si>
    <t>15:42</t>
  </si>
  <si>
    <t>TX300111</t>
  </si>
  <si>
    <t>TX300021</t>
  </si>
  <si>
    <t>10:38</t>
  </si>
  <si>
    <t>TX300342</t>
  </si>
  <si>
    <t>13:19</t>
  </si>
  <si>
    <t>TX300252</t>
  </si>
  <si>
    <t>14:54</t>
  </si>
  <si>
    <t>TX300131</t>
  </si>
  <si>
    <t>TX300355</t>
  </si>
  <si>
    <t>20:23</t>
  </si>
  <si>
    <t>TX300559</t>
  </si>
  <si>
    <t>TX300360</t>
  </si>
  <si>
    <t>TX300199</t>
  </si>
  <si>
    <t>TX300356</t>
  </si>
  <si>
    <t>21:08</t>
  </si>
  <si>
    <t>TX300012</t>
  </si>
  <si>
    <t>9:10</t>
  </si>
  <si>
    <t>TX300167</t>
  </si>
  <si>
    <t>TX300301</t>
  </si>
  <si>
    <t>9:20</t>
  </si>
  <si>
    <t>TX300504</t>
  </si>
  <si>
    <t>9:12</t>
  </si>
  <si>
    <t>TX300324</t>
  </si>
  <si>
    <t>20:30</t>
  </si>
  <si>
    <t>TX300580</t>
  </si>
  <si>
    <t>TX300596</t>
  </si>
  <si>
    <t>21:34</t>
  </si>
  <si>
    <t>TX300389</t>
  </si>
  <si>
    <t>16:31</t>
  </si>
  <si>
    <t>TX300422</t>
  </si>
  <si>
    <t>21:44</t>
  </si>
  <si>
    <t>TX300354</t>
  </si>
  <si>
    <t>9:03</t>
  </si>
  <si>
    <t>TX300308</t>
  </si>
  <si>
    <t>15:46</t>
  </si>
  <si>
    <t>TX300411</t>
  </si>
  <si>
    <t>19:02</t>
  </si>
  <si>
    <t>TX300510</t>
  </si>
  <si>
    <t>10:19</t>
  </si>
  <si>
    <t>TX300078</t>
  </si>
  <si>
    <t>11:40</t>
  </si>
  <si>
    <t>TX300248</t>
  </si>
  <si>
    <t>14:27</t>
  </si>
  <si>
    <t>TX300482</t>
  </si>
  <si>
    <t>9:24</t>
  </si>
  <si>
    <t>TX300309</t>
  </si>
  <si>
    <t>9:22</t>
  </si>
  <si>
    <t>TX300346</t>
  </si>
  <si>
    <t>TX300264</t>
  </si>
  <si>
    <t>TX300210</t>
  </si>
  <si>
    <t>TX300240</t>
  </si>
  <si>
    <t>10:41</t>
  </si>
  <si>
    <t>TX300498</t>
  </si>
  <si>
    <t>18:52</t>
  </si>
  <si>
    <t>TX300322</t>
  </si>
  <si>
    <t>11:16</t>
  </si>
  <si>
    <t>TX300086</t>
  </si>
  <si>
    <t>TX300434</t>
  </si>
  <si>
    <t>19:25</t>
  </si>
  <si>
    <t>TX300037</t>
  </si>
  <si>
    <t>15:04</t>
  </si>
  <si>
    <t>TX300574</t>
  </si>
  <si>
    <t>9:36</t>
  </si>
  <si>
    <t>TX300182</t>
  </si>
  <si>
    <t>9:23</t>
  </si>
  <si>
    <t>TX300105</t>
  </si>
  <si>
    <t>15:35</t>
  </si>
  <si>
    <t>TX300584</t>
  </si>
  <si>
    <t>TX300515</t>
  </si>
  <si>
    <t>15:36</t>
  </si>
  <si>
    <t>TX300597</t>
  </si>
  <si>
    <t>TX300092</t>
  </si>
  <si>
    <t>18:32</t>
  </si>
  <si>
    <t>TX300514</t>
  </si>
  <si>
    <t>TX300089</t>
  </si>
  <si>
    <t>11:15</t>
  </si>
  <si>
    <t>TX300076</t>
  </si>
  <si>
    <t>19:10</t>
  </si>
  <si>
    <t>TX300292</t>
  </si>
  <si>
    <t>17:45</t>
  </si>
  <si>
    <t>TX300509</t>
  </si>
  <si>
    <t>13:58</t>
  </si>
  <si>
    <t>TX300146</t>
  </si>
  <si>
    <t>TX300273</t>
  </si>
  <si>
    <t>12:00</t>
  </si>
  <si>
    <t>TX300154</t>
  </si>
  <si>
    <t>TX300522</t>
  </si>
  <si>
    <t>17:46</t>
  </si>
  <si>
    <t>TX300487</t>
  </si>
  <si>
    <t>TX300382</t>
  </si>
  <si>
    <t>13:43</t>
  </si>
  <si>
    <t>TX300417</t>
  </si>
  <si>
    <t>14:11</t>
  </si>
  <si>
    <t>TX300275</t>
  </si>
  <si>
    <t>14:18</t>
  </si>
  <si>
    <t>TX300050</t>
  </si>
  <si>
    <t>TX300492</t>
  </si>
  <si>
    <t>12:39</t>
  </si>
  <si>
    <t>TX300381</t>
  </si>
  <si>
    <t>16:38</t>
  </si>
  <si>
    <t>TX300412</t>
  </si>
  <si>
    <t>TX300150</t>
  </si>
  <si>
    <t>TX300432</t>
  </si>
  <si>
    <t>TX300214</t>
  </si>
  <si>
    <t>13:05</t>
  </si>
  <si>
    <t>TX300293</t>
  </si>
  <si>
    <t>TX300213</t>
  </si>
  <si>
    <t>21:31</t>
  </si>
  <si>
    <t>TX300058</t>
  </si>
  <si>
    <t>19:30</t>
  </si>
  <si>
    <t>TX300333</t>
  </si>
  <si>
    <t>TX300561</t>
  </si>
  <si>
    <t>TX300223</t>
  </si>
  <si>
    <t>TX300424</t>
  </si>
  <si>
    <t>TX300032</t>
  </si>
  <si>
    <t>14:21</t>
  </si>
  <si>
    <t>TX300452</t>
  </si>
  <si>
    <t>TX300534</t>
  </si>
  <si>
    <t>17:08</t>
  </si>
  <si>
    <t>TX300581</t>
  </si>
  <si>
    <t>TX300143</t>
  </si>
  <si>
    <t>TX300036</t>
  </si>
  <si>
    <t>20:01</t>
  </si>
  <si>
    <t>TX300278</t>
  </si>
  <si>
    <t>10:54</t>
  </si>
  <si>
    <t>TX300369</t>
  </si>
  <si>
    <t>12:38</t>
  </si>
  <si>
    <t>TX300104</t>
  </si>
  <si>
    <t>TX300567</t>
  </si>
  <si>
    <t>TX300106</t>
  </si>
  <si>
    <t>12:48</t>
  </si>
  <si>
    <t>TX300280</t>
  </si>
  <si>
    <t>15:13</t>
  </si>
  <si>
    <t>TX300323</t>
  </si>
  <si>
    <t>TX300404</t>
  </si>
  <si>
    <t>TX300187</t>
  </si>
  <si>
    <t>TX300057</t>
  </si>
  <si>
    <t>TX300472</t>
  </si>
  <si>
    <t>11:44</t>
  </si>
  <si>
    <t>TX300423</t>
  </si>
  <si>
    <t>TX300297</t>
  </si>
  <si>
    <t>TX300226</t>
  </si>
  <si>
    <t>TX300298</t>
  </si>
  <si>
    <t>15:45</t>
  </si>
  <si>
    <t>TX300234</t>
  </si>
  <si>
    <t>9:00</t>
  </si>
  <si>
    <t>TX300318</t>
  </si>
  <si>
    <t>TX300548</t>
  </si>
  <si>
    <t>TX300375</t>
  </si>
  <si>
    <t>TX300164</t>
  </si>
  <si>
    <t>TX300540</t>
  </si>
  <si>
    <t>20:14</t>
  </si>
  <si>
    <t>TX300025</t>
  </si>
  <si>
    <t>20:32</t>
  </si>
  <si>
    <t>TX300116</t>
  </si>
  <si>
    <t>TX300054</t>
  </si>
  <si>
    <t>17:56</t>
  </si>
  <si>
    <t>TX300453</t>
  </si>
  <si>
    <t>10:18</t>
  </si>
  <si>
    <t>TX300565</t>
  </si>
  <si>
    <t>17:58</t>
  </si>
  <si>
    <t>TX300261</t>
  </si>
  <si>
    <t>18:15</t>
  </si>
  <si>
    <t>TX300107</t>
  </si>
  <si>
    <t>18:41</t>
  </si>
  <si>
    <t>TX300484</t>
  </si>
  <si>
    <t>21:30</t>
  </si>
  <si>
    <t>TX300239</t>
  </si>
  <si>
    <t>14:28</t>
  </si>
  <si>
    <t>TX300003</t>
  </si>
  <si>
    <t>TX300535</t>
  </si>
  <si>
    <t>17:39</t>
  </si>
  <si>
    <t>TX300347</t>
  </si>
  <si>
    <t>9:17</t>
  </si>
  <si>
    <t>TX300295</t>
  </si>
  <si>
    <t>12:50</t>
  </si>
  <si>
    <t>TX300133</t>
  </si>
  <si>
    <t>18:55</t>
  </si>
  <si>
    <t>TX300247</t>
  </si>
  <si>
    <t>13:09</t>
  </si>
  <si>
    <t>TX300060</t>
  </si>
  <si>
    <t>TX300455</t>
  </si>
  <si>
    <t>TX300069</t>
  </si>
  <si>
    <t>17:07</t>
  </si>
  <si>
    <t>TX300503</t>
  </si>
  <si>
    <t>TX300329</t>
  </si>
  <si>
    <t>TX300364</t>
  </si>
  <si>
    <t>15:15</t>
  </si>
  <si>
    <t>TX300286</t>
  </si>
  <si>
    <t>TX300204</t>
  </si>
  <si>
    <t>20:54</t>
  </si>
  <si>
    <t>TX300026</t>
  </si>
  <si>
    <t>16:28</t>
  </si>
  <si>
    <t>TX300218</t>
  </si>
  <si>
    <t>TX300328</t>
  </si>
  <si>
    <t>TX300332</t>
  </si>
  <si>
    <t>18:24</t>
  </si>
  <si>
    <t>TX300319</t>
  </si>
  <si>
    <t>10:07</t>
  </si>
  <si>
    <t>TX300488</t>
  </si>
  <si>
    <t>11:13</t>
  </si>
  <si>
    <t>TX300189</t>
  </si>
  <si>
    <t>TX300109</t>
  </si>
  <si>
    <t>TX300459</t>
  </si>
  <si>
    <t>TX300486</t>
  </si>
  <si>
    <t>14:19</t>
  </si>
  <si>
    <t>TX300494</t>
  </si>
  <si>
    <t>TX300299</t>
  </si>
  <si>
    <t>TX300188</t>
  </si>
  <si>
    <t>TX300315</t>
  </si>
  <si>
    <t>17:54</t>
  </si>
  <si>
    <t>TX300046</t>
  </si>
  <si>
    <t>20:42</t>
  </si>
  <si>
    <t>TX300351</t>
  </si>
  <si>
    <t>TX300088</t>
  </si>
  <si>
    <t>TX300463</t>
  </si>
  <si>
    <t>17:25</t>
  </si>
  <si>
    <t>TX300552</t>
  </si>
  <si>
    <t>10:08</t>
  </si>
  <si>
    <t>TX300047</t>
  </si>
  <si>
    <t>10:49</t>
  </si>
  <si>
    <t>TX300335</t>
  </si>
  <si>
    <t>19:17</t>
  </si>
  <si>
    <t>TX300108</t>
  </si>
  <si>
    <t>13:24</t>
  </si>
  <si>
    <t>TX300481</t>
  </si>
  <si>
    <t>10:13</t>
  </si>
  <si>
    <t>TX300475</t>
  </si>
  <si>
    <t>TX300576</t>
  </si>
  <si>
    <t>TX300038</t>
  </si>
  <si>
    <t>TX300269</t>
  </si>
  <si>
    <t>17:23</t>
  </si>
  <si>
    <t>TX300094</t>
  </si>
  <si>
    <t>TX300429</t>
  </si>
  <si>
    <t>TX300358</t>
  </si>
  <si>
    <t>TX300162</t>
  </si>
  <si>
    <t>TX300555</t>
  </si>
  <si>
    <t>13:11</t>
  </si>
  <si>
    <t>TX300537</t>
  </si>
  <si>
    <t>TX300134</t>
  </si>
  <si>
    <t>TX300529</t>
  </si>
  <si>
    <t>TX300229</t>
  </si>
  <si>
    <t>18:47</t>
  </si>
  <si>
    <t>TX300362</t>
  </si>
  <si>
    <t>14:41</t>
  </si>
  <si>
    <t>TX300395</t>
  </si>
  <si>
    <t>TX300546</t>
  </si>
  <si>
    <t>19:43</t>
  </si>
  <si>
    <t>TX300493</t>
  </si>
  <si>
    <t>10:45</t>
  </si>
  <si>
    <t>TX300158</t>
  </si>
  <si>
    <t>TX300289</t>
  </si>
  <si>
    <t>TX300399</t>
  </si>
  <si>
    <t>13:27</t>
  </si>
  <si>
    <t>TX300268</t>
  </si>
  <si>
    <t>11:30</t>
  </si>
  <si>
    <t>TX300283</t>
  </si>
  <si>
    <t>9:30</t>
  </si>
  <si>
    <t>TX300112</t>
  </si>
  <si>
    <t>19:32</t>
  </si>
  <si>
    <t>TX300388</t>
  </si>
  <si>
    <t>17:14</t>
  </si>
  <si>
    <t>TX300516</t>
  </si>
  <si>
    <t>10:16</t>
  </si>
  <si>
    <t>TX300376</t>
  </si>
  <si>
    <t>TX300181</t>
  </si>
  <si>
    <t>TX300077</t>
  </si>
  <si>
    <t>17:22</t>
  </si>
  <si>
    <t>TX300331</t>
  </si>
  <si>
    <t>TX300079</t>
  </si>
  <si>
    <t>TX300029</t>
  </si>
  <si>
    <t>15:41</t>
  </si>
  <si>
    <t>TX300013</t>
  </si>
  <si>
    <t>TX300341</t>
  </si>
  <si>
    <t>15:14</t>
  </si>
  <si>
    <t>TX300095</t>
  </si>
  <si>
    <t>14:51</t>
  </si>
  <si>
    <t>TX300442</t>
  </si>
  <si>
    <t>TX300556</t>
  </si>
  <si>
    <t>TX300028</t>
  </si>
  <si>
    <t>9:52</t>
  </si>
  <si>
    <t>TX300222</t>
  </si>
  <si>
    <t>TX300357</t>
  </si>
  <si>
    <t>TX300350</t>
  </si>
  <si>
    <t>Manager</t>
  </si>
  <si>
    <t>TOTAL</t>
  </si>
  <si>
    <t>PRODUCT PERFORMANCE ANALYSIS</t>
  </si>
  <si>
    <t>Transactions</t>
  </si>
  <si>
    <t>Total Revenue</t>
  </si>
  <si>
    <t>Avg Sale</t>
  </si>
  <si>
    <t>Avg Price</t>
  </si>
  <si>
    <t>Units</t>
  </si>
  <si>
    <t>STORE PERFORMANCE ANALYSIS</t>
  </si>
  <si>
    <t>Store</t>
  </si>
  <si>
    <t>Total Quantity</t>
  </si>
  <si>
    <t>Avg Qty</t>
  </si>
  <si>
    <t>Row Labels</t>
  </si>
  <si>
    <t>Grand Total</t>
  </si>
  <si>
    <t>Sum of Transactions</t>
  </si>
  <si>
    <t>Sum of Total Revenue</t>
  </si>
  <si>
    <t>Sum of Avg Sale</t>
  </si>
  <si>
    <t>Sum of Avg Price</t>
  </si>
  <si>
    <t>Sum of Units</t>
  </si>
  <si>
    <t>Sum of Chair</t>
  </si>
  <si>
    <t>Sum of Desk</t>
  </si>
  <si>
    <t>Sum of Laptop</t>
  </si>
  <si>
    <t>Sum of Monitor</t>
  </si>
  <si>
    <t>Sum of Phone</t>
  </si>
  <si>
    <t>Sum of Printer</t>
  </si>
  <si>
    <t>Sum of Tablet</t>
  </si>
  <si>
    <t>Sum of Total Quantity</t>
  </si>
  <si>
    <t>Sum of Avg Qty</t>
  </si>
  <si>
    <t xml:space="preserve">MANAGER × PRODUCT REVENUE </t>
  </si>
  <si>
    <t>STORE PERFORMACE</t>
  </si>
  <si>
    <t>MANAGER WISE PERFORMANCE</t>
  </si>
  <si>
    <t>PRODUCT WISE PERFORMANCE</t>
  </si>
  <si>
    <t>TX300600</t>
  </si>
  <si>
    <t>TX300601</t>
  </si>
  <si>
    <t>TX300602</t>
  </si>
  <si>
    <t>16:12</t>
  </si>
  <si>
    <t>TX300603</t>
  </si>
  <si>
    <t>18:56</t>
  </si>
  <si>
    <t>TX300604</t>
  </si>
  <si>
    <t>14:53</t>
  </si>
  <si>
    <t>TX300605</t>
  </si>
  <si>
    <t>10:44</t>
  </si>
  <si>
    <t>TX300606</t>
  </si>
  <si>
    <t>TX300607</t>
  </si>
  <si>
    <t>TX300608</t>
  </si>
  <si>
    <t>19:00</t>
  </si>
  <si>
    <t>TX300609</t>
  </si>
  <si>
    <t>TX300610</t>
  </si>
  <si>
    <t>13:07</t>
  </si>
  <si>
    <t>TX300611</t>
  </si>
  <si>
    <t>13:45</t>
  </si>
  <si>
    <t>TX300612</t>
  </si>
  <si>
    <t>TX300613</t>
  </si>
  <si>
    <t>TX300614</t>
  </si>
  <si>
    <t>TX300615</t>
  </si>
  <si>
    <t>TX300616</t>
  </si>
  <si>
    <t>TX300617</t>
  </si>
  <si>
    <t>TX300618</t>
  </si>
  <si>
    <t>TX300619</t>
  </si>
  <si>
    <t>TX300620</t>
  </si>
  <si>
    <t>TX300621</t>
  </si>
  <si>
    <t>TX300622</t>
  </si>
  <si>
    <t>TX300623</t>
  </si>
  <si>
    <t>17:26</t>
  </si>
  <si>
    <t>TX300624</t>
  </si>
  <si>
    <t>14:46</t>
  </si>
  <si>
    <t>TX300625</t>
  </si>
  <si>
    <t>TX300626</t>
  </si>
  <si>
    <t>TX300627</t>
  </si>
  <si>
    <t>17:59</t>
  </si>
  <si>
    <t>TX300628</t>
  </si>
  <si>
    <t>12:36</t>
  </si>
  <si>
    <t>TX300629</t>
  </si>
  <si>
    <t>TX300630</t>
  </si>
  <si>
    <t>16:58</t>
  </si>
  <si>
    <t>TX300631</t>
  </si>
  <si>
    <t>TX300632</t>
  </si>
  <si>
    <t>TX300633</t>
  </si>
  <si>
    <t>TX300634</t>
  </si>
  <si>
    <t>21:11</t>
  </si>
  <si>
    <t>TX300635</t>
  </si>
  <si>
    <t>TX300636</t>
  </si>
  <si>
    <t>TX300637</t>
  </si>
  <si>
    <t>21:23</t>
  </si>
  <si>
    <t>TX300638</t>
  </si>
  <si>
    <t>TX300639</t>
  </si>
  <si>
    <t>TX300640</t>
  </si>
  <si>
    <t>14:48</t>
  </si>
  <si>
    <t>TX300641</t>
  </si>
  <si>
    <t>TX300642</t>
  </si>
  <si>
    <t>9:45</t>
  </si>
  <si>
    <t>TX300643</t>
  </si>
  <si>
    <t>19:06</t>
  </si>
  <si>
    <t>TX300644</t>
  </si>
  <si>
    <t>TX300645</t>
  </si>
  <si>
    <t>11:09</t>
  </si>
  <si>
    <t>TX300646</t>
  </si>
  <si>
    <t>TX300647</t>
  </si>
  <si>
    <t>15:05</t>
  </si>
  <si>
    <t>TX300648</t>
  </si>
  <si>
    <t>16:03</t>
  </si>
  <si>
    <t>TX300649</t>
  </si>
  <si>
    <t>TX300650</t>
  </si>
  <si>
    <t>TX300651</t>
  </si>
  <si>
    <t>TX300652</t>
  </si>
  <si>
    <t>TX300653</t>
  </si>
  <si>
    <t>11:34</t>
  </si>
  <si>
    <t>TX300654</t>
  </si>
  <si>
    <t>TX300655</t>
  </si>
  <si>
    <t>20:04</t>
  </si>
  <si>
    <t>TX300656</t>
  </si>
  <si>
    <t>TX300657</t>
  </si>
  <si>
    <t>TX300658</t>
  </si>
  <si>
    <t>16:22</t>
  </si>
  <si>
    <t>TX300659</t>
  </si>
  <si>
    <t>TX300660</t>
  </si>
  <si>
    <t>21:32</t>
  </si>
  <si>
    <t>TX300661</t>
  </si>
  <si>
    <t>TX300662</t>
  </si>
  <si>
    <t>20:50</t>
  </si>
  <si>
    <t>TX300663</t>
  </si>
  <si>
    <t>TX300664</t>
  </si>
  <si>
    <t>TX300665</t>
  </si>
  <si>
    <t>TX300666</t>
  </si>
  <si>
    <t>14:22</t>
  </si>
  <si>
    <t>TX300667</t>
  </si>
  <si>
    <t>TX300668</t>
  </si>
  <si>
    <t>TX300669</t>
  </si>
  <si>
    <t>TX300670</t>
  </si>
  <si>
    <t>17:11</t>
  </si>
  <si>
    <t>TX300671</t>
  </si>
  <si>
    <t>10:11</t>
  </si>
  <si>
    <t>TX300672</t>
  </si>
  <si>
    <t>20:05</t>
  </si>
  <si>
    <t>TX300673</t>
  </si>
  <si>
    <t>TX300674</t>
  </si>
  <si>
    <t>TX300675</t>
  </si>
  <si>
    <t>TX300676</t>
  </si>
  <si>
    <t>12:19</t>
  </si>
  <si>
    <t>TX300677</t>
  </si>
  <si>
    <t>12:16</t>
  </si>
  <si>
    <t>TX300678</t>
  </si>
  <si>
    <t>16:37</t>
  </si>
  <si>
    <t>TX300679</t>
  </si>
  <si>
    <t>17:34</t>
  </si>
  <si>
    <t>TX300680</t>
  </si>
  <si>
    <t>16:14</t>
  </si>
  <si>
    <t>TX300681</t>
  </si>
  <si>
    <t>TX300682</t>
  </si>
  <si>
    <t>14:26</t>
  </si>
  <si>
    <t>TX300683</t>
  </si>
  <si>
    <t>10:30</t>
  </si>
  <si>
    <t>TX300684</t>
  </si>
  <si>
    <t>TX300685</t>
  </si>
  <si>
    <t>TX300686</t>
  </si>
  <si>
    <t>TX300687</t>
  </si>
  <si>
    <t>TX300688</t>
  </si>
  <si>
    <t>TX300689</t>
  </si>
  <si>
    <t>18:35</t>
  </si>
  <si>
    <t>TX300690</t>
  </si>
  <si>
    <t>TX300691</t>
  </si>
  <si>
    <t>TX300692</t>
  </si>
  <si>
    <t>11:38</t>
  </si>
  <si>
    <t>TX300693</t>
  </si>
  <si>
    <t>TX300694</t>
  </si>
  <si>
    <t>TX300695</t>
  </si>
  <si>
    <t>21:18</t>
  </si>
  <si>
    <t>TX300696</t>
  </si>
  <si>
    <t>TX300697</t>
  </si>
  <si>
    <t>TX300698</t>
  </si>
  <si>
    <t>16:13</t>
  </si>
  <si>
    <t>TX300699</t>
  </si>
  <si>
    <t>TX300700</t>
  </si>
  <si>
    <t>12:08</t>
  </si>
  <si>
    <t>TX300701</t>
  </si>
  <si>
    <t>13:00</t>
  </si>
  <si>
    <t>TX300702</t>
  </si>
  <si>
    <t>15:10</t>
  </si>
  <si>
    <t>TX300703</t>
  </si>
  <si>
    <t>TX300704</t>
  </si>
  <si>
    <t>21:56</t>
  </si>
  <si>
    <t>TX300705</t>
  </si>
  <si>
    <t>11:03</t>
  </si>
  <si>
    <t>TX300706</t>
  </si>
  <si>
    <t>19:24</t>
  </si>
  <si>
    <t>TX300707</t>
  </si>
  <si>
    <t>TX300708</t>
  </si>
  <si>
    <t>11:35</t>
  </si>
  <si>
    <t>TX300709</t>
  </si>
  <si>
    <t>TX300710</t>
  </si>
  <si>
    <t>TX300711</t>
  </si>
  <si>
    <t>TX300712</t>
  </si>
  <si>
    <t>18:14</t>
  </si>
  <si>
    <t>TX300713</t>
  </si>
  <si>
    <t>17:01</t>
  </si>
  <si>
    <t>TX300714</t>
  </si>
  <si>
    <t>14:45</t>
  </si>
  <si>
    <t>TX300715</t>
  </si>
  <si>
    <t>TX300716</t>
  </si>
  <si>
    <t>21:54</t>
  </si>
  <si>
    <t>TX300717</t>
  </si>
  <si>
    <t>TX300718</t>
  </si>
  <si>
    <t>13:29</t>
  </si>
  <si>
    <t>TX300719</t>
  </si>
  <si>
    <t>18:34</t>
  </si>
  <si>
    <t>TX300720</t>
  </si>
  <si>
    <t>TX300721</t>
  </si>
  <si>
    <t>13:53</t>
  </si>
  <si>
    <t>TX300722</t>
  </si>
  <si>
    <t>TX300723</t>
  </si>
  <si>
    <t>TX300724</t>
  </si>
  <si>
    <t>12:09</t>
  </si>
  <si>
    <t>TX300725</t>
  </si>
  <si>
    <t>21:42</t>
  </si>
  <si>
    <t>TX300726</t>
  </si>
  <si>
    <t>17:47</t>
  </si>
  <si>
    <t>TX300727</t>
  </si>
  <si>
    <t>TX300728</t>
  </si>
  <si>
    <t>TX300729</t>
  </si>
  <si>
    <t>TX300730</t>
  </si>
  <si>
    <t>TX300731</t>
  </si>
  <si>
    <t>TX300732</t>
  </si>
  <si>
    <t>TX300733</t>
  </si>
  <si>
    <t>15:20</t>
  </si>
  <si>
    <t>TX300734</t>
  </si>
  <si>
    <t>13:40</t>
  </si>
  <si>
    <t>TX300735</t>
  </si>
  <si>
    <t>12:26</t>
  </si>
  <si>
    <t>TX300736</t>
  </si>
  <si>
    <t>10:25</t>
  </si>
  <si>
    <t>TX300737</t>
  </si>
  <si>
    <t>TX300738</t>
  </si>
  <si>
    <t>TX300739</t>
  </si>
  <si>
    <t>TX300740</t>
  </si>
  <si>
    <t>11:50</t>
  </si>
  <si>
    <t>TX300741</t>
  </si>
  <si>
    <t>18:36</t>
  </si>
  <si>
    <t>TX300742</t>
  </si>
  <si>
    <t>TX300743</t>
  </si>
  <si>
    <t>TX300744</t>
  </si>
  <si>
    <t>18:30</t>
  </si>
  <si>
    <t>TX300745</t>
  </si>
  <si>
    <t>TX300746</t>
  </si>
  <si>
    <t>13:16</t>
  </si>
  <si>
    <t>TX300747</t>
  </si>
  <si>
    <t>TX300748</t>
  </si>
  <si>
    <t>13:14</t>
  </si>
  <si>
    <t>TX300749</t>
  </si>
  <si>
    <t>18:29</t>
  </si>
  <si>
    <t>TX300750</t>
  </si>
  <si>
    <t>TX300751</t>
  </si>
  <si>
    <t>TX300752</t>
  </si>
  <si>
    <t>TX300753</t>
  </si>
  <si>
    <t>TX300754</t>
  </si>
  <si>
    <t>18:48</t>
  </si>
  <si>
    <t>TX300755</t>
  </si>
  <si>
    <t>16:17</t>
  </si>
  <si>
    <t>TX300756</t>
  </si>
  <si>
    <t>TX300757</t>
  </si>
  <si>
    <t>16:49</t>
  </si>
  <si>
    <t>TX300758</t>
  </si>
  <si>
    <t>21:38</t>
  </si>
  <si>
    <t>TX300759</t>
  </si>
  <si>
    <t>TX300760</t>
  </si>
  <si>
    <t>TX300761</t>
  </si>
  <si>
    <t>TX300762</t>
  </si>
  <si>
    <t>10:51</t>
  </si>
  <si>
    <t>TX300763</t>
  </si>
  <si>
    <t>TX300764</t>
  </si>
  <si>
    <t>TX300765</t>
  </si>
  <si>
    <t>TX300766</t>
  </si>
  <si>
    <t>19:12</t>
  </si>
  <si>
    <t>TX300767</t>
  </si>
  <si>
    <t>19:08</t>
  </si>
  <si>
    <t>TX300768</t>
  </si>
  <si>
    <t>TX300769</t>
  </si>
  <si>
    <t>TX300770</t>
  </si>
  <si>
    <t>TX300771</t>
  </si>
  <si>
    <t>10:48</t>
  </si>
  <si>
    <t>TX300772</t>
  </si>
  <si>
    <t>19:41</t>
  </si>
  <si>
    <t>TX300773</t>
  </si>
  <si>
    <t>13:22</t>
  </si>
  <si>
    <t>TX300774</t>
  </si>
  <si>
    <t>TX300775</t>
  </si>
  <si>
    <t>19:01</t>
  </si>
  <si>
    <t>TX300776</t>
  </si>
  <si>
    <t>TX300777</t>
  </si>
  <si>
    <t>TX300778</t>
  </si>
  <si>
    <t>TX300779</t>
  </si>
  <si>
    <t>TX300780</t>
  </si>
  <si>
    <t>20:19</t>
  </si>
  <si>
    <t>TX300781</t>
  </si>
  <si>
    <t>TX300782</t>
  </si>
  <si>
    <t>TX300783</t>
  </si>
  <si>
    <t>10:15</t>
  </si>
  <si>
    <t>TX300784</t>
  </si>
  <si>
    <t>TX300785</t>
  </si>
  <si>
    <t>TX300786</t>
  </si>
  <si>
    <t>TX300787</t>
  </si>
  <si>
    <t>TX300788</t>
  </si>
  <si>
    <t>TX300789</t>
  </si>
  <si>
    <t>9:02</t>
  </si>
  <si>
    <t>TX300790</t>
  </si>
  <si>
    <t>11:39</t>
  </si>
  <si>
    <t>TX300791</t>
  </si>
  <si>
    <t>9:57</t>
  </si>
  <si>
    <t>TX300792</t>
  </si>
  <si>
    <t>TX300793</t>
  </si>
  <si>
    <t>21:19</t>
  </si>
  <si>
    <t>TX300794</t>
  </si>
  <si>
    <t>TX300795</t>
  </si>
  <si>
    <t>TX300796</t>
  </si>
  <si>
    <t>TX300797</t>
  </si>
  <si>
    <t>TX300798</t>
  </si>
  <si>
    <t>16:01</t>
  </si>
  <si>
    <t>TX300799</t>
  </si>
  <si>
    <t>TX300800</t>
  </si>
  <si>
    <t>TX300801</t>
  </si>
  <si>
    <t>TX300802</t>
  </si>
  <si>
    <t>20:55</t>
  </si>
  <si>
    <t>TX300803</t>
  </si>
  <si>
    <t>18:18</t>
  </si>
  <si>
    <t>TX300804</t>
  </si>
  <si>
    <t>TX300805</t>
  </si>
  <si>
    <t>TX300806</t>
  </si>
  <si>
    <t>9:16</t>
  </si>
  <si>
    <t>TX300807</t>
  </si>
  <si>
    <t>TX300808</t>
  </si>
  <si>
    <t>TX300809</t>
  </si>
  <si>
    <t>TX300810</t>
  </si>
  <si>
    <t>21:05</t>
  </si>
  <si>
    <t>TX300811</t>
  </si>
  <si>
    <t>TX300812</t>
  </si>
  <si>
    <t>TX300813</t>
  </si>
  <si>
    <t>17:15</t>
  </si>
  <si>
    <t>TX300814</t>
  </si>
  <si>
    <t>TX300815</t>
  </si>
  <si>
    <t>TX300816</t>
  </si>
  <si>
    <t>16:15</t>
  </si>
  <si>
    <t>TX300817</t>
  </si>
  <si>
    <t>TX300818</t>
  </si>
  <si>
    <t>TX300819</t>
  </si>
  <si>
    <t>TX300820</t>
  </si>
  <si>
    <t>TX300821</t>
  </si>
  <si>
    <t>TX300822</t>
  </si>
  <si>
    <t>TX300823</t>
  </si>
  <si>
    <t>TX300824</t>
  </si>
  <si>
    <t>TX300825</t>
  </si>
  <si>
    <t>TX300826</t>
  </si>
  <si>
    <t>TX300827</t>
  </si>
  <si>
    <t>TX300828</t>
  </si>
  <si>
    <t>TX300829</t>
  </si>
  <si>
    <t>TX300830</t>
  </si>
  <si>
    <t>17:35</t>
  </si>
  <si>
    <t>TX300831</t>
  </si>
  <si>
    <t>TX300832</t>
  </si>
  <si>
    <t>16:50</t>
  </si>
  <si>
    <t>TX300833</t>
  </si>
  <si>
    <t>TX300834</t>
  </si>
  <si>
    <t>12:51</t>
  </si>
  <si>
    <t>TX300835</t>
  </si>
  <si>
    <t>TX300836</t>
  </si>
  <si>
    <t>11:14</t>
  </si>
  <si>
    <t>TX300837</t>
  </si>
  <si>
    <t>20:11</t>
  </si>
  <si>
    <t>TX300838</t>
  </si>
  <si>
    <t>TX300839</t>
  </si>
  <si>
    <t>13:12</t>
  </si>
  <si>
    <t>TX300840</t>
  </si>
  <si>
    <t>17:43</t>
  </si>
  <si>
    <t>TX300841</t>
  </si>
  <si>
    <t>TX300842</t>
  </si>
  <si>
    <t>TX300843</t>
  </si>
  <si>
    <t>TX300844</t>
  </si>
  <si>
    <t>TX300845</t>
  </si>
  <si>
    <t>TX300846</t>
  </si>
  <si>
    <t>TX300847</t>
  </si>
  <si>
    <t>13:30</t>
  </si>
  <si>
    <t>TX300848</t>
  </si>
  <si>
    <t>TX300849</t>
  </si>
  <si>
    <t>TX300850</t>
  </si>
  <si>
    <t>TX300851</t>
  </si>
  <si>
    <t>TX300852</t>
  </si>
  <si>
    <t>10:33</t>
  </si>
  <si>
    <t>TX300853</t>
  </si>
  <si>
    <t>TX300854</t>
  </si>
  <si>
    <t>9:33</t>
  </si>
  <si>
    <t>TX300855</t>
  </si>
  <si>
    <t>TX300856</t>
  </si>
  <si>
    <t>TX300857</t>
  </si>
  <si>
    <t>15:09</t>
  </si>
  <si>
    <t>TX300858</t>
  </si>
  <si>
    <t>TX300859</t>
  </si>
  <si>
    <t>TX300860</t>
  </si>
  <si>
    <t>10:17</t>
  </si>
  <si>
    <t>TX300861</t>
  </si>
  <si>
    <t>11:46</t>
  </si>
  <si>
    <t>TX300862</t>
  </si>
  <si>
    <t>9:55</t>
  </si>
  <si>
    <t>TX300863</t>
  </si>
  <si>
    <t>TX300864</t>
  </si>
  <si>
    <t>TX300865</t>
  </si>
  <si>
    <t>18:06</t>
  </si>
  <si>
    <t>TX300866</t>
  </si>
  <si>
    <t>TX300867</t>
  </si>
  <si>
    <t>TX300868</t>
  </si>
  <si>
    <t>TX300869</t>
  </si>
  <si>
    <t>TX300870</t>
  </si>
  <si>
    <t>TX300871</t>
  </si>
  <si>
    <t>TX300872</t>
  </si>
  <si>
    <t>TX300873</t>
  </si>
  <si>
    <t>20:31</t>
  </si>
  <si>
    <t>TX300874</t>
  </si>
  <si>
    <t>TX300875</t>
  </si>
  <si>
    <t>14:16</t>
  </si>
  <si>
    <t>TX300876</t>
  </si>
  <si>
    <t>TX300877</t>
  </si>
  <si>
    <t>TX300878</t>
  </si>
  <si>
    <t>TX300879</t>
  </si>
  <si>
    <t>TX300880</t>
  </si>
  <si>
    <t>TX300881</t>
  </si>
  <si>
    <t>TX300882</t>
  </si>
  <si>
    <t>TX300883</t>
  </si>
  <si>
    <t>TX300884</t>
  </si>
  <si>
    <t>20:15</t>
  </si>
  <si>
    <t>TX300885</t>
  </si>
  <si>
    <t>TX300886</t>
  </si>
  <si>
    <t>TX300887</t>
  </si>
  <si>
    <t>TX300888</t>
  </si>
  <si>
    <t>TX300889</t>
  </si>
  <si>
    <t>TX300890</t>
  </si>
  <si>
    <t>15:52</t>
  </si>
  <si>
    <t>TX300891</t>
  </si>
  <si>
    <t>TX300892</t>
  </si>
  <si>
    <t>TX300893</t>
  </si>
  <si>
    <t>TX300894</t>
  </si>
  <si>
    <t>TX300895</t>
  </si>
  <si>
    <t>TX300896</t>
  </si>
  <si>
    <t>16:24</t>
  </si>
  <si>
    <t>TX300897</t>
  </si>
  <si>
    <t>17:29</t>
  </si>
  <si>
    <t>TX300898</t>
  </si>
  <si>
    <t>TX300899</t>
  </si>
  <si>
    <t>TX300900</t>
  </si>
  <si>
    <t>11:49</t>
  </si>
  <si>
    <t>TX300901</t>
  </si>
  <si>
    <t>TX300902</t>
  </si>
  <si>
    <t>TX300903</t>
  </si>
  <si>
    <t>18:13</t>
  </si>
  <si>
    <t>TX300904</t>
  </si>
  <si>
    <t>TX300905</t>
  </si>
  <si>
    <t>TX300906</t>
  </si>
  <si>
    <t>TX300907</t>
  </si>
  <si>
    <t>TX300908</t>
  </si>
  <si>
    <t>TX300909</t>
  </si>
  <si>
    <t>TX300910</t>
  </si>
  <si>
    <t>19:23</t>
  </si>
  <si>
    <t>TX300911</t>
  </si>
  <si>
    <t>TX300912</t>
  </si>
  <si>
    <t>TX300913</t>
  </si>
  <si>
    <t>TX300914</t>
  </si>
  <si>
    <t>TX300915</t>
  </si>
  <si>
    <t>10:53</t>
  </si>
  <si>
    <t>TX300916</t>
  </si>
  <si>
    <t>TX300917</t>
  </si>
  <si>
    <t>TX300918</t>
  </si>
  <si>
    <t>TX300919</t>
  </si>
  <si>
    <t>TX300920</t>
  </si>
  <si>
    <t>14:42</t>
  </si>
  <si>
    <t>TX300921</t>
  </si>
  <si>
    <t>12:42</t>
  </si>
  <si>
    <t>TX300922</t>
  </si>
  <si>
    <t>TX300923</t>
  </si>
  <si>
    <t>16:40</t>
  </si>
  <si>
    <t>TX300924</t>
  </si>
  <si>
    <t>TX300925</t>
  </si>
  <si>
    <t>TX300926</t>
  </si>
  <si>
    <t>TX300927</t>
  </si>
  <si>
    <t>18:09</t>
  </si>
  <si>
    <t>TX300928</t>
  </si>
  <si>
    <t>TX300929</t>
  </si>
  <si>
    <t>TX300930</t>
  </si>
  <si>
    <t>TX300931</t>
  </si>
  <si>
    <t>TX300932</t>
  </si>
  <si>
    <t>TX300933</t>
  </si>
  <si>
    <t>13:28</t>
  </si>
  <si>
    <t>TX300934</t>
  </si>
  <si>
    <t>TX300935</t>
  </si>
  <si>
    <t>16:16</t>
  </si>
  <si>
    <t>TX300936</t>
  </si>
  <si>
    <t>TX300937</t>
  </si>
  <si>
    <t>TX300938</t>
  </si>
  <si>
    <t>16:26</t>
  </si>
  <si>
    <t>TX300939</t>
  </si>
  <si>
    <t>TX300940</t>
  </si>
  <si>
    <t>13:33</t>
  </si>
  <si>
    <t>TX300941</t>
  </si>
  <si>
    <t>TX300942</t>
  </si>
  <si>
    <t>10:04</t>
  </si>
  <si>
    <t>TX300943</t>
  </si>
  <si>
    <t>TX300944</t>
  </si>
  <si>
    <t>TX300945</t>
  </si>
  <si>
    <t>TX300946</t>
  </si>
  <si>
    <t>15:17</t>
  </si>
  <si>
    <t>TX300947</t>
  </si>
  <si>
    <t>TX300948</t>
  </si>
  <si>
    <t>TX300949</t>
  </si>
  <si>
    <t>18:31</t>
  </si>
  <si>
    <t>TX300950</t>
  </si>
  <si>
    <t>TX300951</t>
  </si>
  <si>
    <t>TX300952</t>
  </si>
  <si>
    <t>TX300953</t>
  </si>
  <si>
    <t>TX300954</t>
  </si>
  <si>
    <t>TX300955</t>
  </si>
  <si>
    <t>TX300956</t>
  </si>
  <si>
    <t>10:31</t>
  </si>
  <si>
    <t>TX300957</t>
  </si>
  <si>
    <t>TX300958</t>
  </si>
  <si>
    <t>TX300959</t>
  </si>
  <si>
    <t>TX300960</t>
  </si>
  <si>
    <t>TX300961</t>
  </si>
  <si>
    <t>TX300962</t>
  </si>
  <si>
    <t>TX300963</t>
  </si>
  <si>
    <t>21:25</t>
  </si>
  <si>
    <t>TX300964</t>
  </si>
  <si>
    <t>TX300965</t>
  </si>
  <si>
    <t>TX300966</t>
  </si>
  <si>
    <t>TX300967</t>
  </si>
  <si>
    <t>TX300968</t>
  </si>
  <si>
    <t>14:00</t>
  </si>
  <si>
    <t>TX300969</t>
  </si>
  <si>
    <t>TX300970</t>
  </si>
  <si>
    <t>TX300971</t>
  </si>
  <si>
    <t>11:54</t>
  </si>
  <si>
    <t>TX300972</t>
  </si>
  <si>
    <t>TX300973</t>
  </si>
  <si>
    <t>9:46</t>
  </si>
  <si>
    <t>TX300974</t>
  </si>
  <si>
    <t>9:15</t>
  </si>
  <si>
    <t>TX300975</t>
  </si>
  <si>
    <t>TX300976</t>
  </si>
  <si>
    <t>13:06</t>
  </si>
  <si>
    <t>TX300977</t>
  </si>
  <si>
    <t>20:53</t>
  </si>
  <si>
    <t>TX300978</t>
  </si>
  <si>
    <t>10:28</t>
  </si>
  <si>
    <t>TX300979</t>
  </si>
  <si>
    <t>TX300980</t>
  </si>
  <si>
    <t>9:25</t>
  </si>
  <si>
    <t>TX300981</t>
  </si>
  <si>
    <t>TX300982</t>
  </si>
  <si>
    <t>13:17</t>
  </si>
  <si>
    <t>TX300983</t>
  </si>
  <si>
    <t>TX300984</t>
  </si>
  <si>
    <t>11:00</t>
  </si>
  <si>
    <t>TX300985</t>
  </si>
  <si>
    <t>17:24</t>
  </si>
  <si>
    <t>TX300986</t>
  </si>
  <si>
    <t>15:53</t>
  </si>
  <si>
    <t>TX300987</t>
  </si>
  <si>
    <t>TX300988</t>
  </si>
  <si>
    <t>TX300989</t>
  </si>
  <si>
    <t>TX300990</t>
  </si>
  <si>
    <t>TX300991</t>
  </si>
  <si>
    <t>TX300992</t>
  </si>
  <si>
    <t>TX300993</t>
  </si>
  <si>
    <t>TX300994</t>
  </si>
  <si>
    <t>TX300995</t>
  </si>
  <si>
    <t>TX300996</t>
  </si>
  <si>
    <t>TX300997</t>
  </si>
  <si>
    <t>TX300998</t>
  </si>
  <si>
    <t>21:04</t>
  </si>
  <si>
    <t>TX300999</t>
  </si>
  <si>
    <t>TX301000</t>
  </si>
  <si>
    <t>TX301001</t>
  </si>
  <si>
    <t>13:54</t>
  </si>
  <si>
    <t>TX301002</t>
  </si>
  <si>
    <t>15:00</t>
  </si>
  <si>
    <t>TX301003</t>
  </si>
  <si>
    <t>TX301004</t>
  </si>
  <si>
    <t>14:07</t>
  </si>
  <si>
    <t>TX301005</t>
  </si>
  <si>
    <t>TX301006</t>
  </si>
  <si>
    <t>14:05</t>
  </si>
  <si>
    <t>TX301007</t>
  </si>
  <si>
    <t>TX301008</t>
  </si>
  <si>
    <t>TX301009</t>
  </si>
  <si>
    <t>TX301010</t>
  </si>
  <si>
    <t>21:55</t>
  </si>
  <si>
    <t>TX301011</t>
  </si>
  <si>
    <t>TX301012</t>
  </si>
  <si>
    <t>15:19</t>
  </si>
  <si>
    <t>TX301013</t>
  </si>
  <si>
    <t>TX301014</t>
  </si>
  <si>
    <t>TX301015</t>
  </si>
  <si>
    <t>TX301016</t>
  </si>
  <si>
    <t>TX301017</t>
  </si>
  <si>
    <t>20:22</t>
  </si>
  <si>
    <t>TX301018</t>
  </si>
  <si>
    <t>TX301019</t>
  </si>
  <si>
    <t>TX301020</t>
  </si>
  <si>
    <t>TX301021</t>
  </si>
  <si>
    <t>TX301022</t>
  </si>
  <si>
    <t>TX301023</t>
  </si>
  <si>
    <t>TX301024</t>
  </si>
  <si>
    <t>17:04</t>
  </si>
  <si>
    <t>TX301025</t>
  </si>
  <si>
    <t>TX301026</t>
  </si>
  <si>
    <t>TX301027</t>
  </si>
  <si>
    <t>TX301028</t>
  </si>
  <si>
    <t>TX301029</t>
  </si>
  <si>
    <t>TX301030</t>
  </si>
  <si>
    <t>TX301031</t>
  </si>
  <si>
    <t>TX301032</t>
  </si>
  <si>
    <t>TX301033</t>
  </si>
  <si>
    <t>TX301034</t>
  </si>
  <si>
    <t>TX301035</t>
  </si>
  <si>
    <t>TX301036</t>
  </si>
  <si>
    <t>17:28</t>
  </si>
  <si>
    <t>TX301037</t>
  </si>
  <si>
    <t>TX301038</t>
  </si>
  <si>
    <t>TX301039</t>
  </si>
  <si>
    <t>18:50</t>
  </si>
  <si>
    <t>TX301040</t>
  </si>
  <si>
    <t>TX301041</t>
  </si>
  <si>
    <t>15:27</t>
  </si>
  <si>
    <t>TX301042</t>
  </si>
  <si>
    <t>TX301043</t>
  </si>
  <si>
    <t>21:26</t>
  </si>
  <si>
    <t>TX301044</t>
  </si>
  <si>
    <t>11:36</t>
  </si>
  <si>
    <t>TX301045</t>
  </si>
  <si>
    <t>TX301046</t>
  </si>
  <si>
    <t>TX301047</t>
  </si>
  <si>
    <t>TX301048</t>
  </si>
  <si>
    <t>TX301049</t>
  </si>
  <si>
    <t>TX301050</t>
  </si>
  <si>
    <t>TX301051</t>
  </si>
  <si>
    <t>TX301052</t>
  </si>
  <si>
    <t>TX301053</t>
  </si>
  <si>
    <t>TX301054</t>
  </si>
  <si>
    <t>TX301055</t>
  </si>
  <si>
    <t>TX301056</t>
  </si>
  <si>
    <t>19:28</t>
  </si>
  <si>
    <t>TX301057</t>
  </si>
  <si>
    <t>TX301058</t>
  </si>
  <si>
    <t>TX301059</t>
  </si>
  <si>
    <t>TX301060</t>
  </si>
  <si>
    <t>19:33</t>
  </si>
  <si>
    <t>TX301061</t>
  </si>
  <si>
    <t>TX301062</t>
  </si>
  <si>
    <t>19:49</t>
  </si>
  <si>
    <t>TX301063</t>
  </si>
  <si>
    <t>14:52</t>
  </si>
  <si>
    <t>TX301064</t>
  </si>
  <si>
    <t>11:02</t>
  </si>
  <si>
    <t>TX301065</t>
  </si>
  <si>
    <t>TX301066</t>
  </si>
  <si>
    <t>TX301067</t>
  </si>
  <si>
    <t>TX301068</t>
  </si>
  <si>
    <t>TX301069</t>
  </si>
  <si>
    <t>TX301070</t>
  </si>
  <si>
    <t>TX301071</t>
  </si>
  <si>
    <t>TX301072</t>
  </si>
  <si>
    <t>TX301073</t>
  </si>
  <si>
    <t>TX301074</t>
  </si>
  <si>
    <t>TX301075</t>
  </si>
  <si>
    <t>14:31</t>
  </si>
  <si>
    <t>TX301076</t>
  </si>
  <si>
    <t>10:00</t>
  </si>
  <si>
    <t>TX301077</t>
  </si>
  <si>
    <t>TX301078</t>
  </si>
  <si>
    <t>TX301079</t>
  </si>
  <si>
    <t>TX301080</t>
  </si>
  <si>
    <t>TX301081</t>
  </si>
  <si>
    <t>TX301082</t>
  </si>
  <si>
    <t>TX301083</t>
  </si>
  <si>
    <t>TX301084</t>
  </si>
  <si>
    <t>TX301085</t>
  </si>
  <si>
    <t>TX301086</t>
  </si>
  <si>
    <t>15:21</t>
  </si>
  <si>
    <t>TX301087</t>
  </si>
  <si>
    <t>TX301088</t>
  </si>
  <si>
    <t>TX301089</t>
  </si>
  <si>
    <t>TX301090</t>
  </si>
  <si>
    <t>TX301091</t>
  </si>
  <si>
    <t>TX301092</t>
  </si>
  <si>
    <t>TX301093</t>
  </si>
  <si>
    <t>TX301094</t>
  </si>
  <si>
    <t>TX301095</t>
  </si>
  <si>
    <t>TX301096</t>
  </si>
  <si>
    <t>TX301097</t>
  </si>
  <si>
    <t>13:41</t>
  </si>
  <si>
    <t>TX301098</t>
  </si>
  <si>
    <t>14:36</t>
  </si>
  <si>
    <t>TX301099</t>
  </si>
  <si>
    <t>TX301100</t>
  </si>
  <si>
    <t>TX301101</t>
  </si>
  <si>
    <t>TX301102</t>
  </si>
  <si>
    <t>TX301103</t>
  </si>
  <si>
    <t>TX301104</t>
  </si>
  <si>
    <t>TX301105</t>
  </si>
  <si>
    <t>TX301106</t>
  </si>
  <si>
    <t>14:01</t>
  </si>
  <si>
    <t>TX301107</t>
  </si>
  <si>
    <t>TX301108</t>
  </si>
  <si>
    <t>TX301109</t>
  </si>
  <si>
    <t>TX301110</t>
  </si>
  <si>
    <t>TX301111</t>
  </si>
  <si>
    <t>TX301112</t>
  </si>
  <si>
    <t>14:50</t>
  </si>
  <si>
    <t>TX301113</t>
  </si>
  <si>
    <t>21:14</t>
  </si>
  <si>
    <t>TX301114</t>
  </si>
  <si>
    <t>TX301115</t>
  </si>
  <si>
    <t>9:40</t>
  </si>
  <si>
    <t>TX301116</t>
  </si>
  <si>
    <t>TX301117</t>
  </si>
  <si>
    <t>TX301118</t>
  </si>
  <si>
    <t>TX301119</t>
  </si>
  <si>
    <t>TX301120</t>
  </si>
  <si>
    <t>TX301121</t>
  </si>
  <si>
    <t>TX301122</t>
  </si>
  <si>
    <t>9:51</t>
  </si>
  <si>
    <t>TX301123</t>
  </si>
  <si>
    <t>TX301124</t>
  </si>
  <si>
    <t>TX301125</t>
  </si>
  <si>
    <t>TX301126</t>
  </si>
  <si>
    <t>17:33</t>
  </si>
  <si>
    <t>TX301127</t>
  </si>
  <si>
    <t>TX301128</t>
  </si>
  <si>
    <t>13:51</t>
  </si>
  <si>
    <t>TX301129</t>
  </si>
  <si>
    <t>21:02</t>
  </si>
  <si>
    <t>TX301130</t>
  </si>
  <si>
    <t>15:48</t>
  </si>
  <si>
    <t>TX301131</t>
  </si>
  <si>
    <t>TX301132</t>
  </si>
  <si>
    <t>TX301133</t>
  </si>
  <si>
    <t>TX301134</t>
  </si>
  <si>
    <t>TX301135</t>
  </si>
  <si>
    <t>TX301136</t>
  </si>
  <si>
    <t>TX301137</t>
  </si>
  <si>
    <t>TX301138</t>
  </si>
  <si>
    <t>TX301139</t>
  </si>
  <si>
    <t>18:54</t>
  </si>
  <si>
    <t>TX301140</t>
  </si>
  <si>
    <t>TX301141</t>
  </si>
  <si>
    <t>TX301142</t>
  </si>
  <si>
    <t>TX301143</t>
  </si>
  <si>
    <t>TX301144</t>
  </si>
  <si>
    <t>TX301145</t>
  </si>
  <si>
    <t>TX301146</t>
  </si>
  <si>
    <t>12:05</t>
  </si>
  <si>
    <t>TX301147</t>
  </si>
  <si>
    <t>TX301148</t>
  </si>
  <si>
    <t>TX301149</t>
  </si>
  <si>
    <t>TX301150</t>
  </si>
  <si>
    <t>TX301151</t>
  </si>
  <si>
    <t>19:22</t>
  </si>
  <si>
    <t>TX301152</t>
  </si>
  <si>
    <t>TX301153</t>
  </si>
  <si>
    <t>TX301154</t>
  </si>
  <si>
    <t>TX301155</t>
  </si>
  <si>
    <t>TX301156</t>
  </si>
  <si>
    <t>13:25</t>
  </si>
  <si>
    <t>TX301157</t>
  </si>
  <si>
    <t>TX301158</t>
  </si>
  <si>
    <t>18:37</t>
  </si>
  <si>
    <t>TX301159</t>
  </si>
  <si>
    <t>16:00</t>
  </si>
  <si>
    <t>TX301160</t>
  </si>
  <si>
    <t>10:34</t>
  </si>
  <si>
    <t>TX301161</t>
  </si>
  <si>
    <t>TX301162</t>
  </si>
  <si>
    <t>TX301163</t>
  </si>
  <si>
    <t>20:48</t>
  </si>
  <si>
    <t>TX301164</t>
  </si>
  <si>
    <t>TX301165</t>
  </si>
  <si>
    <t>TX301166</t>
  </si>
  <si>
    <t>TX301167</t>
  </si>
  <si>
    <t>TX301168</t>
  </si>
  <si>
    <t>18:02</t>
  </si>
  <si>
    <t>TX301169</t>
  </si>
  <si>
    <t>TX301170</t>
  </si>
  <si>
    <t>TX301171</t>
  </si>
  <si>
    <t>9:08</t>
  </si>
  <si>
    <t>TX301172</t>
  </si>
  <si>
    <t>TX301173</t>
  </si>
  <si>
    <t>TX301174</t>
  </si>
  <si>
    <t>TX301175</t>
  </si>
  <si>
    <t>TX301176</t>
  </si>
  <si>
    <t>TX301177</t>
  </si>
  <si>
    <t>15:28</t>
  </si>
  <si>
    <t>TX301178</t>
  </si>
  <si>
    <t>TX301179</t>
  </si>
  <si>
    <t>TX301180</t>
  </si>
  <si>
    <t>TX301181</t>
  </si>
  <si>
    <t>21:21</t>
  </si>
  <si>
    <t>TX301182</t>
  </si>
  <si>
    <t>TX301183</t>
  </si>
  <si>
    <t>TX301184</t>
  </si>
  <si>
    <t>10:37</t>
  </si>
  <si>
    <t>TX301185</t>
  </si>
  <si>
    <t>18:01</t>
  </si>
  <si>
    <t>TX301186</t>
  </si>
  <si>
    <t>TX301187</t>
  </si>
  <si>
    <t>TX301188</t>
  </si>
  <si>
    <t>TX301189</t>
  </si>
  <si>
    <t>TX301190</t>
  </si>
  <si>
    <t>TX301191</t>
  </si>
  <si>
    <t>TX301192</t>
  </si>
  <si>
    <t>13:02</t>
  </si>
  <si>
    <t>TX301193</t>
  </si>
  <si>
    <t>11:45</t>
  </si>
  <si>
    <t>TX301194</t>
  </si>
  <si>
    <t>TX301195</t>
  </si>
  <si>
    <t>TX301196</t>
  </si>
  <si>
    <t>TX301197</t>
  </si>
  <si>
    <t>TX301198</t>
  </si>
  <si>
    <t>TX301199</t>
  </si>
  <si>
    <t>TX301200</t>
  </si>
  <si>
    <t>TX301201</t>
  </si>
  <si>
    <t>TX301202</t>
  </si>
  <si>
    <t>TX301203</t>
  </si>
  <si>
    <t>TX301204</t>
  </si>
  <si>
    <t>TX301205</t>
  </si>
  <si>
    <t>TX301206</t>
  </si>
  <si>
    <t>TX301207</t>
  </si>
  <si>
    <t>TX301208</t>
  </si>
  <si>
    <t>21:28</t>
  </si>
  <si>
    <t>TX301209</t>
  </si>
  <si>
    <t>TX301210</t>
  </si>
  <si>
    <t>TX301211</t>
  </si>
  <si>
    <t>TX301212</t>
  </si>
  <si>
    <t>TX301213</t>
  </si>
  <si>
    <t>TX301214</t>
  </si>
  <si>
    <t>TX301215</t>
  </si>
  <si>
    <t>TX301216</t>
  </si>
  <si>
    <t>TX301217</t>
  </si>
  <si>
    <t>TX301218</t>
  </si>
  <si>
    <t>TX301219</t>
  </si>
  <si>
    <t>19:09</t>
  </si>
  <si>
    <t>TX301220</t>
  </si>
  <si>
    <t>TX301221</t>
  </si>
  <si>
    <t>TX301222</t>
  </si>
  <si>
    <t>TX301223</t>
  </si>
  <si>
    <t>20:16</t>
  </si>
  <si>
    <t>TX301224</t>
  </si>
  <si>
    <t>TX301225</t>
  </si>
  <si>
    <t>TX301226</t>
  </si>
  <si>
    <t>TX301227</t>
  </si>
  <si>
    <t>TX301228</t>
  </si>
  <si>
    <t>TX301229</t>
  </si>
  <si>
    <t>TX301230</t>
  </si>
  <si>
    <t>TX301231</t>
  </si>
  <si>
    <t>TX301232</t>
  </si>
  <si>
    <t>TX301233</t>
  </si>
  <si>
    <t>TX301234</t>
  </si>
  <si>
    <t>15:54</t>
  </si>
  <si>
    <t>TX301235</t>
  </si>
  <si>
    <t>TX301236</t>
  </si>
  <si>
    <t>TX301237</t>
  </si>
  <si>
    <t>TX301238</t>
  </si>
  <si>
    <t>TX301239</t>
  </si>
  <si>
    <t>TX301240</t>
  </si>
  <si>
    <t>18:20</t>
  </si>
  <si>
    <t>TX301241</t>
  </si>
  <si>
    <t>14:44</t>
  </si>
  <si>
    <t>TX301242</t>
  </si>
  <si>
    <t>TX301243</t>
  </si>
  <si>
    <t>TX301244</t>
  </si>
  <si>
    <t>17:55</t>
  </si>
  <si>
    <t>TX301245</t>
  </si>
  <si>
    <t>20:46</t>
  </si>
  <si>
    <t>TX301246</t>
  </si>
  <si>
    <t>TX301247</t>
  </si>
  <si>
    <t>TX301248</t>
  </si>
  <si>
    <t>TX301249</t>
  </si>
  <si>
    <t>12:14</t>
  </si>
  <si>
    <t>TX301250</t>
  </si>
  <si>
    <t>TX301251</t>
  </si>
  <si>
    <t>TX301252</t>
  </si>
  <si>
    <t>16:09</t>
  </si>
  <si>
    <t>TX301253</t>
  </si>
  <si>
    <t>TX301254</t>
  </si>
  <si>
    <t>TX301255</t>
  </si>
  <si>
    <t>TX301256</t>
  </si>
  <si>
    <t>TX301257</t>
  </si>
  <si>
    <t>18:10</t>
  </si>
  <si>
    <t>TX301258</t>
  </si>
  <si>
    <t>13:48</t>
  </si>
  <si>
    <t>TX301259</t>
  </si>
  <si>
    <t>TX301260</t>
  </si>
  <si>
    <t>TX301261</t>
  </si>
  <si>
    <t>TX301262</t>
  </si>
  <si>
    <t>TX301263</t>
  </si>
  <si>
    <t>TX301264</t>
  </si>
  <si>
    <t>17:38</t>
  </si>
  <si>
    <t>TX301265</t>
  </si>
  <si>
    <t>TX301266</t>
  </si>
  <si>
    <t>TX301267</t>
  </si>
  <si>
    <t>TX301268</t>
  </si>
  <si>
    <t>TX301269</t>
  </si>
  <si>
    <t>TX301270</t>
  </si>
  <si>
    <t>TX301271</t>
  </si>
  <si>
    <t>12:12</t>
  </si>
  <si>
    <t>TX301272</t>
  </si>
  <si>
    <t>11:19</t>
  </si>
  <si>
    <t>TX301273</t>
  </si>
  <si>
    <t>TX301274</t>
  </si>
  <si>
    <t>TX301275</t>
  </si>
  <si>
    <t>TX301276</t>
  </si>
  <si>
    <t>TX301277</t>
  </si>
  <si>
    <t>TX301278</t>
  </si>
  <si>
    <t>9:14</t>
  </si>
  <si>
    <t>TX301279</t>
  </si>
  <si>
    <t>TX301280</t>
  </si>
  <si>
    <t>TX301281</t>
  </si>
  <si>
    <t>TX301282</t>
  </si>
  <si>
    <t>TX301283</t>
  </si>
  <si>
    <t>TX301284</t>
  </si>
  <si>
    <t>TX301285</t>
  </si>
  <si>
    <t>TX301286</t>
  </si>
  <si>
    <t>TX301287</t>
  </si>
  <si>
    <t>TX301288</t>
  </si>
  <si>
    <t>12:24</t>
  </si>
  <si>
    <t>TX301289</t>
  </si>
  <si>
    <t>TX301290</t>
  </si>
  <si>
    <t>TX301291</t>
  </si>
  <si>
    <t>TX301292</t>
  </si>
  <si>
    <t>16:32</t>
  </si>
  <si>
    <t>TX301293</t>
  </si>
  <si>
    <t>12:07</t>
  </si>
  <si>
    <t>TX301294</t>
  </si>
  <si>
    <t>TX301295</t>
  </si>
  <si>
    <t>TX301296</t>
  </si>
  <si>
    <t>TX301297</t>
  </si>
  <si>
    <t>TX301298</t>
  </si>
  <si>
    <t>TX301299</t>
  </si>
  <si>
    <t>TX301300</t>
  </si>
  <si>
    <t>TX301301</t>
  </si>
  <si>
    <t>TX301302</t>
  </si>
  <si>
    <t>TX301303</t>
  </si>
  <si>
    <t>TX301304</t>
  </si>
  <si>
    <t>TX301305</t>
  </si>
  <si>
    <t>TX301306</t>
  </si>
  <si>
    <t>21:48</t>
  </si>
  <si>
    <t>TX301307</t>
  </si>
  <si>
    <t>TX301308</t>
  </si>
  <si>
    <t>TX301309</t>
  </si>
  <si>
    <t>TX301310</t>
  </si>
  <si>
    <t>TX301311</t>
  </si>
  <si>
    <t>TX301312</t>
  </si>
  <si>
    <t>TX301313</t>
  </si>
  <si>
    <t>TX301314</t>
  </si>
  <si>
    <t>TX301315</t>
  </si>
  <si>
    <t>TX301316</t>
  </si>
  <si>
    <t>TX301317</t>
  </si>
  <si>
    <t>TX301318</t>
  </si>
  <si>
    <t>TX301319</t>
  </si>
  <si>
    <t>TX301320</t>
  </si>
  <si>
    <t>TX301321</t>
  </si>
  <si>
    <t>TX301322</t>
  </si>
  <si>
    <t>TX301323</t>
  </si>
  <si>
    <t>TX301324</t>
  </si>
  <si>
    <t>TX301325</t>
  </si>
  <si>
    <t>TX301326</t>
  </si>
  <si>
    <t>TX301327</t>
  </si>
  <si>
    <t>12:11</t>
  </si>
  <si>
    <t>TX301328</t>
  </si>
  <si>
    <t>TX301329</t>
  </si>
  <si>
    <t>16:23</t>
  </si>
  <si>
    <t>TX301330</t>
  </si>
  <si>
    <t>14:55</t>
  </si>
  <si>
    <t>TX301331</t>
  </si>
  <si>
    <t>TX301332</t>
  </si>
  <si>
    <t>TX301333</t>
  </si>
  <si>
    <t>13:15</t>
  </si>
  <si>
    <t>TX301334</t>
  </si>
  <si>
    <t>TX301335</t>
  </si>
  <si>
    <t>TX301336</t>
  </si>
  <si>
    <t>TX301337</t>
  </si>
  <si>
    <t>TX301338</t>
  </si>
  <si>
    <t>TX301339</t>
  </si>
  <si>
    <t>TX301340</t>
  </si>
  <si>
    <t>TX301341</t>
  </si>
  <si>
    <t>17:09</t>
  </si>
  <si>
    <t>TX301342</t>
  </si>
  <si>
    <t>TX301343</t>
  </si>
  <si>
    <t>TX301344</t>
  </si>
  <si>
    <t>TX301345</t>
  </si>
  <si>
    <t>TX301346</t>
  </si>
  <si>
    <t>TX301347</t>
  </si>
  <si>
    <t>TX301348</t>
  </si>
  <si>
    <t>19:56</t>
  </si>
  <si>
    <t>TX301349</t>
  </si>
  <si>
    <t>TX301350</t>
  </si>
  <si>
    <t>TX301351</t>
  </si>
  <si>
    <t>TX301352</t>
  </si>
  <si>
    <t>TX301353</t>
  </si>
  <si>
    <t>12:55</t>
  </si>
  <si>
    <t>TX301354</t>
  </si>
  <si>
    <t>TX301355</t>
  </si>
  <si>
    <t>TX301356</t>
  </si>
  <si>
    <t>13:32</t>
  </si>
  <si>
    <t>TX301357</t>
  </si>
  <si>
    <t>TX301358</t>
  </si>
  <si>
    <t>TX301359</t>
  </si>
  <si>
    <t>10:50</t>
  </si>
  <si>
    <t>TX301360</t>
  </si>
  <si>
    <t>TX301361</t>
  </si>
  <si>
    <t>TX301362</t>
  </si>
  <si>
    <t>TX301363</t>
  </si>
  <si>
    <t>TX301364</t>
  </si>
  <si>
    <t>14:17</t>
  </si>
  <si>
    <t>TX301365</t>
  </si>
  <si>
    <t>TX301366</t>
  </si>
  <si>
    <t>TX301367</t>
  </si>
  <si>
    <t>TX301368</t>
  </si>
  <si>
    <t>TX301369</t>
  </si>
  <si>
    <t>TX301370</t>
  </si>
  <si>
    <t>TX301371</t>
  </si>
  <si>
    <t>10:52</t>
  </si>
  <si>
    <t>TX301372</t>
  </si>
  <si>
    <t>9:29</t>
  </si>
  <si>
    <t>TX301373</t>
  </si>
  <si>
    <t>TX301374</t>
  </si>
  <si>
    <t>TX301375</t>
  </si>
  <si>
    <t>TX301376</t>
  </si>
  <si>
    <t>TX301377</t>
  </si>
  <si>
    <t>TX301378</t>
  </si>
  <si>
    <t>TX301379</t>
  </si>
  <si>
    <t>TX301380</t>
  </si>
  <si>
    <t>18:03</t>
  </si>
  <si>
    <t>TX301381</t>
  </si>
  <si>
    <t>TX301382</t>
  </si>
  <si>
    <t>TX301383</t>
  </si>
  <si>
    <t>TX301384</t>
  </si>
  <si>
    <t>TX301385</t>
  </si>
  <si>
    <t>TX301386</t>
  </si>
  <si>
    <t>TX301387</t>
  </si>
  <si>
    <t>19:59</t>
  </si>
  <si>
    <t>TX301388</t>
  </si>
  <si>
    <t>TX301389</t>
  </si>
  <si>
    <t>TX301390</t>
  </si>
  <si>
    <t>TX301391</t>
  </si>
  <si>
    <t>TX301392</t>
  </si>
  <si>
    <t>TX301393</t>
  </si>
  <si>
    <t>TX301394</t>
  </si>
  <si>
    <t>TX301395</t>
  </si>
  <si>
    <t>18:17</t>
  </si>
  <si>
    <t>TX301396</t>
  </si>
  <si>
    <t>TX301397</t>
  </si>
  <si>
    <t>16:29</t>
  </si>
  <si>
    <t>TX301398</t>
  </si>
  <si>
    <t>9:34</t>
  </si>
  <si>
    <t>TX301399</t>
  </si>
  <si>
    <t>TX301400</t>
  </si>
  <si>
    <t>TX301401</t>
  </si>
  <si>
    <t>TX301402</t>
  </si>
  <si>
    <t>TX301403</t>
  </si>
  <si>
    <t>TX301404</t>
  </si>
  <si>
    <t>TX301405</t>
  </si>
  <si>
    <t>TX301406</t>
  </si>
  <si>
    <t>10:40</t>
  </si>
  <si>
    <t>TX301407</t>
  </si>
  <si>
    <t>TX301408</t>
  </si>
  <si>
    <t>TX301409</t>
  </si>
  <si>
    <t>TX301410</t>
  </si>
  <si>
    <t>TX301411</t>
  </si>
  <si>
    <t>TX301412</t>
  </si>
  <si>
    <t>TX301413</t>
  </si>
  <si>
    <t>TX301414</t>
  </si>
  <si>
    <t>21:47</t>
  </si>
  <si>
    <t>TX301415</t>
  </si>
  <si>
    <t>TX301416</t>
  </si>
  <si>
    <t>TX301417</t>
  </si>
  <si>
    <t>11:32</t>
  </si>
  <si>
    <t>TX301418</t>
  </si>
  <si>
    <t>TX301419</t>
  </si>
  <si>
    <t>TX301420</t>
  </si>
  <si>
    <t>TX301421</t>
  </si>
  <si>
    <t>TX301422</t>
  </si>
  <si>
    <t>TX301423</t>
  </si>
  <si>
    <t>17:02</t>
  </si>
  <si>
    <t>TX301424</t>
  </si>
  <si>
    <t>TX301425</t>
  </si>
  <si>
    <t>20:37</t>
  </si>
  <si>
    <t>TX301426</t>
  </si>
  <si>
    <t>TX301427</t>
  </si>
  <si>
    <t>TX301428</t>
  </si>
  <si>
    <t>TX301429</t>
  </si>
  <si>
    <t>TX301430</t>
  </si>
  <si>
    <t>TX301431</t>
  </si>
  <si>
    <t>12:53</t>
  </si>
  <si>
    <t>TX301432</t>
  </si>
  <si>
    <t>12:20</t>
  </si>
  <si>
    <t>TX301433</t>
  </si>
  <si>
    <t>TX301434</t>
  </si>
  <si>
    <t>TX301435</t>
  </si>
  <si>
    <t>TX301436</t>
  </si>
  <si>
    <t>TX301437</t>
  </si>
  <si>
    <t>TX301438</t>
  </si>
  <si>
    <t>TX301439</t>
  </si>
  <si>
    <t>TX301440</t>
  </si>
  <si>
    <t>TX301441</t>
  </si>
  <si>
    <t>TX301442</t>
  </si>
  <si>
    <t>TX301443</t>
  </si>
  <si>
    <t>TX301444</t>
  </si>
  <si>
    <t>14:58</t>
  </si>
  <si>
    <t>TX301445</t>
  </si>
  <si>
    <t>TX301446</t>
  </si>
  <si>
    <t>TX301447</t>
  </si>
  <si>
    <t>TX301448</t>
  </si>
  <si>
    <t>TX301449</t>
  </si>
  <si>
    <t>TX301450</t>
  </si>
  <si>
    <t>TX301451</t>
  </si>
  <si>
    <t>TX301452</t>
  </si>
  <si>
    <t>TX301453</t>
  </si>
  <si>
    <t>TX301454</t>
  </si>
  <si>
    <t>TX301455</t>
  </si>
  <si>
    <t>TX301456</t>
  </si>
  <si>
    <t>TX301457</t>
  </si>
  <si>
    <t>15:24</t>
  </si>
  <si>
    <t>TX301458</t>
  </si>
  <si>
    <t>18:58</t>
  </si>
  <si>
    <t>TX301459</t>
  </si>
  <si>
    <t>TX301460</t>
  </si>
  <si>
    <t>TX301461</t>
  </si>
  <si>
    <t>15:59</t>
  </si>
  <si>
    <t>TX301462</t>
  </si>
  <si>
    <t>16:51</t>
  </si>
  <si>
    <t>TX301463</t>
  </si>
  <si>
    <t>TX301464</t>
  </si>
  <si>
    <t>TX301465</t>
  </si>
  <si>
    <t>TX301466</t>
  </si>
  <si>
    <t>TX301467</t>
  </si>
  <si>
    <t>TX301468</t>
  </si>
  <si>
    <t>TX301469</t>
  </si>
  <si>
    <t>TX301470</t>
  </si>
  <si>
    <t>TX301471</t>
  </si>
  <si>
    <t>TX301472</t>
  </si>
  <si>
    <t>TX301473</t>
  </si>
  <si>
    <t>TX301474</t>
  </si>
  <si>
    <t>TX301475</t>
  </si>
  <si>
    <t>TX301476</t>
  </si>
  <si>
    <t>TX301477</t>
  </si>
  <si>
    <t>TX301478</t>
  </si>
  <si>
    <t>TX301479</t>
  </si>
  <si>
    <t>TX301480</t>
  </si>
  <si>
    <t>TX301481</t>
  </si>
  <si>
    <t>18:23</t>
  </si>
  <si>
    <t>TX301482</t>
  </si>
  <si>
    <t>TX301483</t>
  </si>
  <si>
    <t>TX301484</t>
  </si>
  <si>
    <t>TX301485</t>
  </si>
  <si>
    <t>TX301486</t>
  </si>
  <si>
    <t>TX301487</t>
  </si>
  <si>
    <t>TX301488</t>
  </si>
  <si>
    <t>TX301489</t>
  </si>
  <si>
    <t>TX301490</t>
  </si>
  <si>
    <t>TX301491</t>
  </si>
  <si>
    <t>TX301492</t>
  </si>
  <si>
    <t>TX301493</t>
  </si>
  <si>
    <t>10:03</t>
  </si>
  <si>
    <t>TX301494</t>
  </si>
  <si>
    <t>TX301495</t>
  </si>
  <si>
    <t>TX301496</t>
  </si>
  <si>
    <t>TX301497</t>
  </si>
  <si>
    <t>TX301498</t>
  </si>
  <si>
    <t>TX301499</t>
  </si>
  <si>
    <t>TX301500</t>
  </si>
  <si>
    <t>TX301501</t>
  </si>
  <si>
    <t>TX301502</t>
  </si>
  <si>
    <t>TX301503</t>
  </si>
  <si>
    <t>TX301504</t>
  </si>
  <si>
    <t>TX301505</t>
  </si>
  <si>
    <t>TX301506</t>
  </si>
  <si>
    <t>TX301507</t>
  </si>
  <si>
    <t>TX301508</t>
  </si>
  <si>
    <t>15:43</t>
  </si>
  <si>
    <t>TX301509</t>
  </si>
  <si>
    <t>TX301510</t>
  </si>
  <si>
    <t>TX301511</t>
  </si>
  <si>
    <t>TX301512</t>
  </si>
  <si>
    <t>TX301513</t>
  </si>
  <si>
    <t>TX301514</t>
  </si>
  <si>
    <t>TX301515</t>
  </si>
  <si>
    <t>TX301516</t>
  </si>
  <si>
    <t>TX301517</t>
  </si>
  <si>
    <t>TX301518</t>
  </si>
  <si>
    <t>TX301519</t>
  </si>
  <si>
    <t>TX301520</t>
  </si>
  <si>
    <t>TX301521</t>
  </si>
  <si>
    <t>TX301522</t>
  </si>
  <si>
    <t>TX301523</t>
  </si>
  <si>
    <t>17:32</t>
  </si>
  <si>
    <t>TX301524</t>
  </si>
  <si>
    <t>TX301525</t>
  </si>
  <si>
    <t>TX301526</t>
  </si>
  <si>
    <t>TX301527</t>
  </si>
  <si>
    <t>TX301528</t>
  </si>
  <si>
    <t>TX301529</t>
  </si>
  <si>
    <t>14:32</t>
  </si>
  <si>
    <t>TX301530</t>
  </si>
  <si>
    <t>19:52</t>
  </si>
  <si>
    <t>TX301531</t>
  </si>
  <si>
    <t>12:27</t>
  </si>
  <si>
    <t>TX301532</t>
  </si>
  <si>
    <t>TX301533</t>
  </si>
  <si>
    <t>TX301534</t>
  </si>
  <si>
    <t>TX301535</t>
  </si>
  <si>
    <t>TX301536</t>
  </si>
  <si>
    <t>TX301537</t>
  </si>
  <si>
    <t>TX301538</t>
  </si>
  <si>
    <t>TX301539</t>
  </si>
  <si>
    <t>TX301540</t>
  </si>
  <si>
    <t>TX301541</t>
  </si>
  <si>
    <t>TX301542</t>
  </si>
  <si>
    <t>TX301543</t>
  </si>
  <si>
    <t>TX301544</t>
  </si>
  <si>
    <t>TX301545</t>
  </si>
  <si>
    <t>11:17</t>
  </si>
  <si>
    <t>TX301546</t>
  </si>
  <si>
    <t>TX301547</t>
  </si>
  <si>
    <t>16:11</t>
  </si>
  <si>
    <t>TX301548</t>
  </si>
  <si>
    <t>TX301549</t>
  </si>
  <si>
    <t>TX301550</t>
  </si>
  <si>
    <t>TX301551</t>
  </si>
  <si>
    <t>TX301552</t>
  </si>
  <si>
    <t>9:59</t>
  </si>
  <si>
    <t>TX301553</t>
  </si>
  <si>
    <t>TX301554</t>
  </si>
  <si>
    <t>TX301555</t>
  </si>
  <si>
    <t>TX301556</t>
  </si>
  <si>
    <t>TX301557</t>
  </si>
  <si>
    <t>TX301558</t>
  </si>
  <si>
    <t>TX301559</t>
  </si>
  <si>
    <t>TX301560</t>
  </si>
  <si>
    <t>TX301561</t>
  </si>
  <si>
    <t>TX301562</t>
  </si>
  <si>
    <t>TX301563</t>
  </si>
  <si>
    <t>TX301564</t>
  </si>
  <si>
    <t>TX301565</t>
  </si>
  <si>
    <t>TX301566</t>
  </si>
  <si>
    <t>TX301567</t>
  </si>
  <si>
    <t>TX301568</t>
  </si>
  <si>
    <t>TX301569</t>
  </si>
  <si>
    <t>TX301570</t>
  </si>
  <si>
    <t>TX301571</t>
  </si>
  <si>
    <t>10:57</t>
  </si>
  <si>
    <t>TX301572</t>
  </si>
  <si>
    <t>TX301573</t>
  </si>
  <si>
    <t>TX301574</t>
  </si>
  <si>
    <t>TX301575</t>
  </si>
  <si>
    <t>TX301576</t>
  </si>
  <si>
    <t>TX301577</t>
  </si>
  <si>
    <t>TX301578</t>
  </si>
  <si>
    <t>TX301579</t>
  </si>
  <si>
    <t>TX301580</t>
  </si>
  <si>
    <t>TX301581</t>
  </si>
  <si>
    <t>20:51</t>
  </si>
  <si>
    <t>TX301582</t>
  </si>
  <si>
    <t>19:45</t>
  </si>
  <si>
    <t>TX301583</t>
  </si>
  <si>
    <t>TX301584</t>
  </si>
  <si>
    <t>TX301585</t>
  </si>
  <si>
    <t>TX301586</t>
  </si>
  <si>
    <t>TX301587</t>
  </si>
  <si>
    <t>TX301588</t>
  </si>
  <si>
    <t>TX301589</t>
  </si>
  <si>
    <t>TX301590</t>
  </si>
  <si>
    <t>TX301591</t>
  </si>
  <si>
    <t>TX301592</t>
  </si>
  <si>
    <t>TX301593</t>
  </si>
  <si>
    <t>TX301594</t>
  </si>
  <si>
    <t>TX301595</t>
  </si>
  <si>
    <t>20:35</t>
  </si>
  <si>
    <t>TX301596</t>
  </si>
  <si>
    <t>TX301597</t>
  </si>
  <si>
    <t>TX301598</t>
  </si>
  <si>
    <t>TX301599</t>
  </si>
  <si>
    <t>15:51</t>
  </si>
  <si>
    <t>TX301600</t>
  </si>
  <si>
    <t>TX301601</t>
  </si>
  <si>
    <t>TX301602</t>
  </si>
  <si>
    <t>14:02</t>
  </si>
  <si>
    <t>TX301603</t>
  </si>
  <si>
    <t>TX301604</t>
  </si>
  <si>
    <t>TX301605</t>
  </si>
  <si>
    <t>TX301606</t>
  </si>
  <si>
    <t>21:57</t>
  </si>
  <si>
    <t>TX301607</t>
  </si>
  <si>
    <t>TX301608</t>
  </si>
  <si>
    <t>TX301609</t>
  </si>
  <si>
    <t>TX301610</t>
  </si>
  <si>
    <t>TX301611</t>
  </si>
  <si>
    <t>TX301612</t>
  </si>
  <si>
    <t>TX301613</t>
  </si>
  <si>
    <t>TX301614</t>
  </si>
  <si>
    <t>11:04</t>
  </si>
  <si>
    <t>TX301615</t>
  </si>
  <si>
    <t>TX301616</t>
  </si>
  <si>
    <t>TX301617</t>
  </si>
  <si>
    <t>13:56</t>
  </si>
  <si>
    <t>TX301618</t>
  </si>
  <si>
    <t>TX301619</t>
  </si>
  <si>
    <t>TX301620</t>
  </si>
  <si>
    <t>17:57</t>
  </si>
  <si>
    <t>TX301621</t>
  </si>
  <si>
    <t>TX301622</t>
  </si>
  <si>
    <t>TX301623</t>
  </si>
  <si>
    <t>TX301624</t>
  </si>
  <si>
    <t>TX301625</t>
  </si>
  <si>
    <t>TX301626</t>
  </si>
  <si>
    <t>TX301627</t>
  </si>
  <si>
    <t>TX301628</t>
  </si>
  <si>
    <t>TX301629</t>
  </si>
  <si>
    <t>TX301630</t>
  </si>
  <si>
    <t>TX301631</t>
  </si>
  <si>
    <t>18:27</t>
  </si>
  <si>
    <t>TX301632</t>
  </si>
  <si>
    <t>TX301633</t>
  </si>
  <si>
    <t>TX301634</t>
  </si>
  <si>
    <t>TX301635</t>
  </si>
  <si>
    <t>TX301636</t>
  </si>
  <si>
    <t>TX301637</t>
  </si>
  <si>
    <t>TX301638</t>
  </si>
  <si>
    <t>TX301639</t>
  </si>
  <si>
    <t>11:24</t>
  </si>
  <si>
    <t>TX301640</t>
  </si>
  <si>
    <t>TX301641</t>
  </si>
  <si>
    <t>TX301642</t>
  </si>
  <si>
    <t>TX301643</t>
  </si>
  <si>
    <t>TX301644</t>
  </si>
  <si>
    <t>TX301645</t>
  </si>
  <si>
    <t>TX301646</t>
  </si>
  <si>
    <t>TX301647</t>
  </si>
  <si>
    <t>TX301648</t>
  </si>
  <si>
    <t>TX301649</t>
  </si>
  <si>
    <t>TX301650</t>
  </si>
  <si>
    <t>TX301651</t>
  </si>
  <si>
    <t>TX301652</t>
  </si>
  <si>
    <t>TX301653</t>
  </si>
  <si>
    <t>TX301654</t>
  </si>
  <si>
    <t>TX301655</t>
  </si>
  <si>
    <t>12:13</t>
  </si>
  <si>
    <t>TX301656</t>
  </si>
  <si>
    <t>TX301657</t>
  </si>
  <si>
    <t>TX301658</t>
  </si>
  <si>
    <t>TX301659</t>
  </si>
  <si>
    <t>TX301660</t>
  </si>
  <si>
    <t>TX301661</t>
  </si>
  <si>
    <t>TX301662</t>
  </si>
  <si>
    <t>TX301663</t>
  </si>
  <si>
    <t>TX301664</t>
  </si>
  <si>
    <t>TX301665</t>
  </si>
  <si>
    <t>TX301666</t>
  </si>
  <si>
    <t>13:21</t>
  </si>
  <si>
    <t>TX301667</t>
  </si>
  <si>
    <t>TX301668</t>
  </si>
  <si>
    <t>TX301669</t>
  </si>
  <si>
    <t>TX301670</t>
  </si>
  <si>
    <t>TX301671</t>
  </si>
  <si>
    <t>TX301672</t>
  </si>
  <si>
    <t>TX301673</t>
  </si>
  <si>
    <t>TX301674</t>
  </si>
  <si>
    <t>TX301675</t>
  </si>
  <si>
    <t>TX301676</t>
  </si>
  <si>
    <t>TX301677</t>
  </si>
  <si>
    <t>TX301678</t>
  </si>
  <si>
    <t>TX301679</t>
  </si>
  <si>
    <t>TX301680</t>
  </si>
  <si>
    <t>20:40</t>
  </si>
  <si>
    <t>TX301681</t>
  </si>
  <si>
    <t>TX301682</t>
  </si>
  <si>
    <t>TX301683</t>
  </si>
  <si>
    <t>TX301684</t>
  </si>
  <si>
    <t>TX301685</t>
  </si>
  <si>
    <t>TX301686</t>
  </si>
  <si>
    <t>TX301687</t>
  </si>
  <si>
    <t>TX301688</t>
  </si>
  <si>
    <t>TX301689</t>
  </si>
  <si>
    <t>TX301690</t>
  </si>
  <si>
    <t>TX301691</t>
  </si>
  <si>
    <t>TX301692</t>
  </si>
  <si>
    <t>16:54</t>
  </si>
  <si>
    <t>TX301693</t>
  </si>
  <si>
    <t>TX301694</t>
  </si>
  <si>
    <t>TX301695</t>
  </si>
  <si>
    <t>TX301696</t>
  </si>
  <si>
    <t>20:44</t>
  </si>
  <si>
    <t>TX301697</t>
  </si>
  <si>
    <t>TX301698</t>
  </si>
  <si>
    <t>TX301699</t>
  </si>
  <si>
    <t>TX301700</t>
  </si>
  <si>
    <t>TX301701</t>
  </si>
  <si>
    <t>TX301702</t>
  </si>
  <si>
    <t>TX301703</t>
  </si>
  <si>
    <t>TX301704</t>
  </si>
  <si>
    <t>11:23</t>
  </si>
  <si>
    <t>TX301705</t>
  </si>
  <si>
    <t>TX301706</t>
  </si>
  <si>
    <t>TX301707</t>
  </si>
  <si>
    <t>TX301708</t>
  </si>
  <si>
    <t>TX301709</t>
  </si>
  <si>
    <t>TX301710</t>
  </si>
  <si>
    <t>TX301711</t>
  </si>
  <si>
    <t>TX301712</t>
  </si>
  <si>
    <t>TX301713</t>
  </si>
  <si>
    <t>TX301714</t>
  </si>
  <si>
    <t>13:46</t>
  </si>
  <si>
    <t>TX301715</t>
  </si>
  <si>
    <t>TX301716</t>
  </si>
  <si>
    <t>TX301717</t>
  </si>
  <si>
    <t>TX301718</t>
  </si>
  <si>
    <t>TX301719</t>
  </si>
  <si>
    <t>TX301720</t>
  </si>
  <si>
    <t>TX301721</t>
  </si>
  <si>
    <t>TX301722</t>
  </si>
  <si>
    <t>TX301723</t>
  </si>
  <si>
    <t>18:08</t>
  </si>
  <si>
    <t>TX301724</t>
  </si>
  <si>
    <t>TX301725</t>
  </si>
  <si>
    <t>TX301726</t>
  </si>
  <si>
    <t>TX301727</t>
  </si>
  <si>
    <t>TX301728</t>
  </si>
  <si>
    <t>TX301729</t>
  </si>
  <si>
    <t>TX301730</t>
  </si>
  <si>
    <t>TX301731</t>
  </si>
  <si>
    <t>TX301732</t>
  </si>
  <si>
    <t>TX301733</t>
  </si>
  <si>
    <t>TX301734</t>
  </si>
  <si>
    <t>TX301735</t>
  </si>
  <si>
    <t>TX301736</t>
  </si>
  <si>
    <t>TX301737</t>
  </si>
  <si>
    <t>TX301738</t>
  </si>
  <si>
    <t>TX301739</t>
  </si>
  <si>
    <t>TX301740</t>
  </si>
  <si>
    <t>TX301741</t>
  </si>
  <si>
    <t>TX301742</t>
  </si>
  <si>
    <t>TX301743</t>
  </si>
  <si>
    <t>15:37</t>
  </si>
  <si>
    <t>TX301744</t>
  </si>
  <si>
    <t>TX301745</t>
  </si>
  <si>
    <t>TX301746</t>
  </si>
  <si>
    <t>TX301747</t>
  </si>
  <si>
    <t>TX301748</t>
  </si>
  <si>
    <t>TX301749</t>
  </si>
  <si>
    <t>TX301750</t>
  </si>
  <si>
    <t>12:56</t>
  </si>
  <si>
    <t>TX301751</t>
  </si>
  <si>
    <t>TX301752</t>
  </si>
  <si>
    <t>20:07</t>
  </si>
  <si>
    <t>TX301753</t>
  </si>
  <si>
    <t>TX301754</t>
  </si>
  <si>
    <t>TX301755</t>
  </si>
  <si>
    <t>TX301756</t>
  </si>
  <si>
    <t>TX301757</t>
  </si>
  <si>
    <t>TX301758</t>
  </si>
  <si>
    <t>TX301759</t>
  </si>
  <si>
    <t>TX301760</t>
  </si>
  <si>
    <t>TX301761</t>
  </si>
  <si>
    <t>TX301762</t>
  </si>
  <si>
    <t>TX301763</t>
  </si>
  <si>
    <t>TX301764</t>
  </si>
  <si>
    <t>TX301765</t>
  </si>
  <si>
    <t>TX301766</t>
  </si>
  <si>
    <t>TX301767</t>
  </si>
  <si>
    <t>TX301768</t>
  </si>
  <si>
    <t>TX301769</t>
  </si>
  <si>
    <t>13:04</t>
  </si>
  <si>
    <t>TX301770</t>
  </si>
  <si>
    <t>TX301771</t>
  </si>
  <si>
    <t>TX301772</t>
  </si>
  <si>
    <t>TX301773</t>
  </si>
  <si>
    <t>TX301774</t>
  </si>
  <si>
    <t>TX301775</t>
  </si>
  <si>
    <t>TX301776</t>
  </si>
  <si>
    <t>TX301777</t>
  </si>
  <si>
    <t>TX301778</t>
  </si>
  <si>
    <t>TX301779</t>
  </si>
  <si>
    <t>TX301780</t>
  </si>
  <si>
    <t>TX301781</t>
  </si>
  <si>
    <t>TX301782</t>
  </si>
  <si>
    <t>TX301783</t>
  </si>
  <si>
    <t>TX301784</t>
  </si>
  <si>
    <t>14:09</t>
  </si>
  <si>
    <t>TX301785</t>
  </si>
  <si>
    <t>TX301786</t>
  </si>
  <si>
    <t>TX301787</t>
  </si>
  <si>
    <t>21:09</t>
  </si>
  <si>
    <t>TX301788</t>
  </si>
  <si>
    <t>TX301789</t>
  </si>
  <si>
    <t>TX301790</t>
  </si>
  <si>
    <t>TX301791</t>
  </si>
  <si>
    <t>TX301792</t>
  </si>
  <si>
    <t>TX301793</t>
  </si>
  <si>
    <t>TX301794</t>
  </si>
  <si>
    <t>TX301795</t>
  </si>
  <si>
    <t>TX301796</t>
  </si>
  <si>
    <t>TX301797</t>
  </si>
  <si>
    <t>TX301798</t>
  </si>
  <si>
    <t>TX301799</t>
  </si>
  <si>
    <t>TX301800</t>
  </si>
  <si>
    <t>TX301801</t>
  </si>
  <si>
    <t>TX301802</t>
  </si>
  <si>
    <t>TX301803</t>
  </si>
  <si>
    <t>TX301804</t>
  </si>
  <si>
    <t>TX301805</t>
  </si>
  <si>
    <t>TX301806</t>
  </si>
  <si>
    <t>TX301807</t>
  </si>
  <si>
    <t>TX301808</t>
  </si>
  <si>
    <t>TX301809</t>
  </si>
  <si>
    <t>TX301810</t>
  </si>
  <si>
    <t>TX301811</t>
  </si>
  <si>
    <t>TX301812</t>
  </si>
  <si>
    <t>TX301813</t>
  </si>
  <si>
    <t>20:52</t>
  </si>
  <si>
    <t>TX301814</t>
  </si>
  <si>
    <t>TX301815</t>
  </si>
  <si>
    <t>TX301816</t>
  </si>
  <si>
    <t>10:29</t>
  </si>
  <si>
    <t>TX301817</t>
  </si>
  <si>
    <t>15:12</t>
  </si>
  <si>
    <t>TX301818</t>
  </si>
  <si>
    <t>TX301819</t>
  </si>
  <si>
    <t>TX301820</t>
  </si>
  <si>
    <t>TX301821</t>
  </si>
  <si>
    <t>TX301822</t>
  </si>
  <si>
    <t>19:36</t>
  </si>
  <si>
    <t>TX301823</t>
  </si>
  <si>
    <t>TX301824</t>
  </si>
  <si>
    <t>TX301825</t>
  </si>
  <si>
    <t>TX301826</t>
  </si>
  <si>
    <t>TX301827</t>
  </si>
  <si>
    <t>TX301828</t>
  </si>
  <si>
    <t>TX301829</t>
  </si>
  <si>
    <t>TX301830</t>
  </si>
  <si>
    <t>TX301831</t>
  </si>
  <si>
    <t>TX301832</t>
  </si>
  <si>
    <t>TX301833</t>
  </si>
  <si>
    <t>TX301834</t>
  </si>
  <si>
    <t>TX301835</t>
  </si>
  <si>
    <t>9:01</t>
  </si>
  <si>
    <t>TX301836</t>
  </si>
  <si>
    <t>TX301837</t>
  </si>
  <si>
    <t>19:55</t>
  </si>
  <si>
    <t>TX301838</t>
  </si>
  <si>
    <t>TX301839</t>
  </si>
  <si>
    <t>15:32</t>
  </si>
  <si>
    <t>TX301840</t>
  </si>
  <si>
    <t>TX301841</t>
  </si>
  <si>
    <t>TX301842</t>
  </si>
  <si>
    <t>TX301843</t>
  </si>
  <si>
    <t>TX301844</t>
  </si>
  <si>
    <t>TX301845</t>
  </si>
  <si>
    <t>TX301846</t>
  </si>
  <si>
    <t>TX301847</t>
  </si>
  <si>
    <t>TX301848</t>
  </si>
  <si>
    <t>TX301849</t>
  </si>
  <si>
    <t>TX301850</t>
  </si>
  <si>
    <t>21:53</t>
  </si>
  <si>
    <t>TX301851</t>
  </si>
  <si>
    <t>TX301852</t>
  </si>
  <si>
    <t>TX301853</t>
  </si>
  <si>
    <t>TX301854</t>
  </si>
  <si>
    <t>TX301855</t>
  </si>
  <si>
    <t>TX301856</t>
  </si>
  <si>
    <t>TX301857</t>
  </si>
  <si>
    <t>TX301858</t>
  </si>
  <si>
    <t>TX301859</t>
  </si>
  <si>
    <t>TX301860</t>
  </si>
  <si>
    <t>TX301861</t>
  </si>
  <si>
    <t>TX301862</t>
  </si>
  <si>
    <t>TX301863</t>
  </si>
  <si>
    <t>TX301864</t>
  </si>
  <si>
    <t>TX301865</t>
  </si>
  <si>
    <t>TX301866</t>
  </si>
  <si>
    <t>TX301867</t>
  </si>
  <si>
    <t>TX301868</t>
  </si>
  <si>
    <t>TX301869</t>
  </si>
  <si>
    <t>TX301870</t>
  </si>
  <si>
    <t>TX301871</t>
  </si>
  <si>
    <t>TX301872</t>
  </si>
  <si>
    <t>TX301873</t>
  </si>
  <si>
    <t>TX301874</t>
  </si>
  <si>
    <t>TX301875</t>
  </si>
  <si>
    <t>TX301876</t>
  </si>
  <si>
    <t>TX301877</t>
  </si>
  <si>
    <t>TX301878</t>
  </si>
  <si>
    <t>TX301879</t>
  </si>
  <si>
    <t>TX301880</t>
  </si>
  <si>
    <t>TX301881</t>
  </si>
  <si>
    <t>TX301882</t>
  </si>
  <si>
    <t>TX301883</t>
  </si>
  <si>
    <t>TX301884</t>
  </si>
  <si>
    <t>TX301885</t>
  </si>
  <si>
    <t>13:44</t>
  </si>
  <si>
    <t>TX301886</t>
  </si>
  <si>
    <t>TX301887</t>
  </si>
  <si>
    <t>TX301888</t>
  </si>
  <si>
    <t>TX301889</t>
  </si>
  <si>
    <t>TX301890</t>
  </si>
  <si>
    <t>TX301891</t>
  </si>
  <si>
    <t>TX301892</t>
  </si>
  <si>
    <t>TX301893</t>
  </si>
  <si>
    <t>20:12</t>
  </si>
  <si>
    <t>TX301894</t>
  </si>
  <si>
    <t>TX301895</t>
  </si>
  <si>
    <t>TX301896</t>
  </si>
  <si>
    <t>TX301897</t>
  </si>
  <si>
    <t>TX301898</t>
  </si>
  <si>
    <t>TX301899</t>
  </si>
  <si>
    <t>11:41</t>
  </si>
  <si>
    <t>TX301900</t>
  </si>
  <si>
    <t>TX301901</t>
  </si>
  <si>
    <t>TX301902</t>
  </si>
  <si>
    <t>TX301903</t>
  </si>
  <si>
    <t>TX301904</t>
  </si>
  <si>
    <t>TX301905</t>
  </si>
  <si>
    <t>TX301906</t>
  </si>
  <si>
    <t>17:03</t>
  </si>
  <si>
    <t>TX301907</t>
  </si>
  <si>
    <t>TX301908</t>
  </si>
  <si>
    <t>TX301909</t>
  </si>
  <si>
    <t>TX301910</t>
  </si>
  <si>
    <t>TX301911</t>
  </si>
  <si>
    <t>TX301912</t>
  </si>
  <si>
    <t>TX301913</t>
  </si>
  <si>
    <t>TX301914</t>
  </si>
  <si>
    <t>TX301915</t>
  </si>
  <si>
    <t>TX301916</t>
  </si>
  <si>
    <t>TX301917</t>
  </si>
  <si>
    <t>TX301918</t>
  </si>
  <si>
    <t>TX301919</t>
  </si>
  <si>
    <t>TX301920</t>
  </si>
  <si>
    <t>TX301921</t>
  </si>
  <si>
    <t>TX301922</t>
  </si>
  <si>
    <t>TX301923</t>
  </si>
  <si>
    <t>TX301924</t>
  </si>
  <si>
    <t>TX301925</t>
  </si>
  <si>
    <t>TX301926</t>
  </si>
  <si>
    <t>TX301927</t>
  </si>
  <si>
    <t>TX301928</t>
  </si>
  <si>
    <t>TX301929</t>
  </si>
  <si>
    <t>TX301930</t>
  </si>
  <si>
    <t>TX301931</t>
  </si>
  <si>
    <t>TX301932</t>
  </si>
  <si>
    <t>TX301933</t>
  </si>
  <si>
    <t>TX301934</t>
  </si>
  <si>
    <t>TX301935</t>
  </si>
  <si>
    <t>TX301936</t>
  </si>
  <si>
    <t>TX301937</t>
  </si>
  <si>
    <t>TX301938</t>
  </si>
  <si>
    <t>TX301939</t>
  </si>
  <si>
    <t>TX301940</t>
  </si>
  <si>
    <t>TX301941</t>
  </si>
  <si>
    <t>TX301942</t>
  </si>
  <si>
    <t>TX301943</t>
  </si>
  <si>
    <t>TX301944</t>
  </si>
  <si>
    <t>TX301945</t>
  </si>
  <si>
    <t>TX301946</t>
  </si>
  <si>
    <t>TX301947</t>
  </si>
  <si>
    <t>TX301948</t>
  </si>
  <si>
    <t>TX301949</t>
  </si>
  <si>
    <t>TX301950</t>
  </si>
  <si>
    <t>TX301951</t>
  </si>
  <si>
    <t>TX301952</t>
  </si>
  <si>
    <t>TX301953</t>
  </si>
  <si>
    <t>TX301954</t>
  </si>
  <si>
    <t>TX301955</t>
  </si>
  <si>
    <t>10:21</t>
  </si>
  <si>
    <t>TX301956</t>
  </si>
  <si>
    <t>TX301957</t>
  </si>
  <si>
    <t>TX301958</t>
  </si>
  <si>
    <t>TX301959</t>
  </si>
  <si>
    <t>TX301960</t>
  </si>
  <si>
    <t>TX301961</t>
  </si>
  <si>
    <t>TX301962</t>
  </si>
  <si>
    <t>TX301963</t>
  </si>
  <si>
    <t>TX301964</t>
  </si>
  <si>
    <t>TX301965</t>
  </si>
  <si>
    <t>TX301966</t>
  </si>
  <si>
    <t>TX301967</t>
  </si>
  <si>
    <t>TX301968</t>
  </si>
  <si>
    <t>TX301969</t>
  </si>
  <si>
    <t>TX301970</t>
  </si>
  <si>
    <t>TX301971</t>
  </si>
  <si>
    <t>TX301972</t>
  </si>
  <si>
    <t>21:24</t>
  </si>
  <si>
    <t>TX301973</t>
  </si>
  <si>
    <t>TX301974</t>
  </si>
  <si>
    <t>16:44</t>
  </si>
  <si>
    <t>TX301975</t>
  </si>
  <si>
    <t>TX301976</t>
  </si>
  <si>
    <t>TX301977</t>
  </si>
  <si>
    <t>TX301978</t>
  </si>
  <si>
    <t>TX301979</t>
  </si>
  <si>
    <t>TX301980</t>
  </si>
  <si>
    <t>TX301981</t>
  </si>
  <si>
    <t>TX301982</t>
  </si>
  <si>
    <t>TX301983</t>
  </si>
  <si>
    <t>TX301984</t>
  </si>
  <si>
    <t>TX301985</t>
  </si>
  <si>
    <t>TX301986</t>
  </si>
  <si>
    <t>TX301987</t>
  </si>
  <si>
    <t>TX301988</t>
  </si>
  <si>
    <t>TX301989</t>
  </si>
  <si>
    <t>TX301990</t>
  </si>
  <si>
    <t>TX301991</t>
  </si>
  <si>
    <t>TX301992</t>
  </si>
  <si>
    <t>TX301993</t>
  </si>
  <si>
    <t>TX301994</t>
  </si>
  <si>
    <t>TX301995</t>
  </si>
  <si>
    <t>TX301996</t>
  </si>
  <si>
    <t>TX301997</t>
  </si>
  <si>
    <t>TX301998</t>
  </si>
  <si>
    <t>TX301999</t>
  </si>
  <si>
    <t>METRIC</t>
  </si>
  <si>
    <t>VALUE</t>
  </si>
  <si>
    <t>Total Records</t>
  </si>
  <si>
    <t>Total Columns</t>
  </si>
  <si>
    <t>Date Range Start</t>
  </si>
  <si>
    <t>Date Range End</t>
  </si>
  <si>
    <t>DATA QUALITY CHECKS</t>
  </si>
  <si>
    <t>Duplicate TransactionIDs</t>
  </si>
  <si>
    <t>Missing Values</t>
  </si>
  <si>
    <t>Calculation Errors</t>
  </si>
  <si>
    <t>FINANCIAL METRICS</t>
  </si>
  <si>
    <t>Average Transaction</t>
  </si>
  <si>
    <t>Maximum Transaction</t>
  </si>
  <si>
    <t>Minimum Transaction</t>
  </si>
  <si>
    <t>Median Transaction</t>
  </si>
  <si>
    <t>DISTRIBUTION METRICS</t>
  </si>
  <si>
    <t>Unique Stores</t>
  </si>
  <si>
    <t>Unique Products</t>
  </si>
  <si>
    <t>Unique Payment Methods</t>
  </si>
  <si>
    <t>TIME-BASED ANALYSIS - MONTHLY</t>
  </si>
  <si>
    <t>Avg Transaction</t>
  </si>
  <si>
    <t>Sum of Quantity</t>
  </si>
  <si>
    <t>Sum of Avg Transaction</t>
  </si>
  <si>
    <t>MONTHLY PERFORMANCE</t>
  </si>
  <si>
    <t xml:space="preserve">Quantity Issues </t>
  </si>
  <si>
    <t xml:space="preserve">Price Issues </t>
  </si>
  <si>
    <t>Payment Type</t>
  </si>
  <si>
    <t>Total Sales</t>
  </si>
  <si>
    <t>Day of Week</t>
  </si>
  <si>
    <t>Sales By Payment Type</t>
  </si>
  <si>
    <t>Sales By Day of Week</t>
  </si>
  <si>
    <t>Time Of Day</t>
  </si>
  <si>
    <t>Day Of Week</t>
  </si>
  <si>
    <t>Total Price</t>
  </si>
  <si>
    <t>Store Manager</t>
  </si>
  <si>
    <t>Transaction_ID</t>
  </si>
  <si>
    <t>Store_ID</t>
  </si>
  <si>
    <t>Unit Price</t>
  </si>
  <si>
    <t>Month Name</t>
  </si>
  <si>
    <t>Avg Unit Price</t>
  </si>
  <si>
    <t>Total</t>
  </si>
  <si>
    <t>Time ofy Day</t>
  </si>
  <si>
    <t>Sales By Time of Day</t>
  </si>
  <si>
    <t xml:space="preserve">DATA QUALITY ASSESSMENT </t>
  </si>
  <si>
    <t>Column Name</t>
  </si>
  <si>
    <t>Description</t>
  </si>
  <si>
    <t>Unique transaction identifier</t>
  </si>
  <si>
    <t>TransactionDate</t>
  </si>
  <si>
    <t>Transaction date (YYYY-MM-DD format)</t>
  </si>
  <si>
    <t>Year of transaction</t>
  </si>
  <si>
    <t>Month of transaction (1-12)</t>
  </si>
  <si>
    <t>Month name</t>
  </si>
  <si>
    <t>Quarter (Q1-Q4)</t>
  </si>
  <si>
    <t>WeekNumber</t>
  </si>
  <si>
    <t>Week number of year</t>
  </si>
  <si>
    <t>Day of week</t>
  </si>
  <si>
    <t>Transaction time (HH:MM format)</t>
  </si>
  <si>
    <t>Time period (Morning/Afternoon/Evening)</t>
  </si>
  <si>
    <t>ShiftType</t>
  </si>
  <si>
    <t>Shift type</t>
  </si>
  <si>
    <t>Store ID (S1-S10)</t>
  </si>
  <si>
    <t>Store location name</t>
  </si>
  <si>
    <t>Cashier name/ID</t>
  </si>
  <si>
    <t>Store manager name</t>
  </si>
  <si>
    <t>Product name</t>
  </si>
  <si>
    <t>PriceCategory</t>
  </si>
  <si>
    <t>Price category</t>
  </si>
  <si>
    <t>Quantity sold</t>
  </si>
  <si>
    <t>Price per unit</t>
  </si>
  <si>
    <t>Total revenue</t>
  </si>
  <si>
    <t>Total price</t>
  </si>
  <si>
    <t>Average price per unit</t>
  </si>
  <si>
    <t>SalesTier</t>
  </si>
  <si>
    <t>Sales tier</t>
  </si>
  <si>
    <t>Payment method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</si>
</sst>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\₹\ #,##0.00"/>
    <numFmt numFmtId="166" formatCode="_-[$$-409]* #,##0.00_ ;_-[$$-409]* \-#,##0.00\ ;_-[$$-409]* &quot;-&quot;??_ ;_-@_ "/>
  </numFmts>
  <fonts count="11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2"/>
      <color rgb="FFFFFFFF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b/>
      <sz val="11"/>
      <name val="Calibri"/>
      <family val="2"/>
    </font>
    <font>
      <b/>
      <sz val="11"/>
      <color rgb="FFFFFFFF"/>
      <name val="Calibr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theme="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3366"/>
        <bgColor rgb="FF003366"/>
      </patternFill>
    </fill>
    <fill>
      <patternFill patternType="solid">
        <fgColor rgb="FFD9E1F2"/>
        <bgColor rgb="FFD9E1F2"/>
      </patternFill>
    </fill>
    <fill>
      <patternFill patternType="solid">
        <fgColor rgb="FFE7E6E6"/>
        <bgColor rgb="FFE7E6E6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206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249977111117893"/>
        <bgColor rgb="FF003366"/>
      </patternFill>
    </fill>
    <fill>
      <patternFill patternType="solid">
        <fgColor theme="0"/>
        <bgColor rgb="FFD9E1F2"/>
      </patternFill>
    </fill>
    <fill>
      <patternFill patternType="solid">
        <fgColor rgb="FF1F4E78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0" fillId="0" borderId="0" xfId="0" applyNumberFormat="1"/>
    <xf numFmtId="0" fontId="4" fillId="3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2" fontId="0" fillId="0" borderId="0" xfId="0" applyNumberFormat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166" fontId="0" fillId="0" borderId="0" xfId="0" applyNumberFormat="1"/>
    <xf numFmtId="0" fontId="9" fillId="7" borderId="0" xfId="0" applyFont="1" applyFill="1" applyAlignment="1">
      <alignment horizontal="center"/>
    </xf>
    <xf numFmtId="2" fontId="9" fillId="7" borderId="1" xfId="0" applyNumberFormat="1" applyFont="1" applyFill="1" applyBorder="1" applyAlignment="1">
      <alignment horizontal="center"/>
    </xf>
    <xf numFmtId="0" fontId="6" fillId="7" borderId="1" xfId="0" applyFont="1" applyFill="1" applyBorder="1" applyAlignment="1">
      <alignment horizontal="center"/>
    </xf>
    <xf numFmtId="2" fontId="6" fillId="7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166" fontId="0" fillId="0" borderId="1" xfId="0" applyNumberFormat="1" applyBorder="1" applyAlignment="1">
      <alignment horizontal="center"/>
    </xf>
    <xf numFmtId="0" fontId="0" fillId="0" borderId="0" xfId="0" pivotButton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0" fontId="8" fillId="0" borderId="3" xfId="0" applyFont="1" applyBorder="1" applyAlignment="1">
      <alignment horizontal="center"/>
    </xf>
    <xf numFmtId="0" fontId="3" fillId="9" borderId="1" xfId="0" applyFont="1" applyFill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66" fontId="0" fillId="0" borderId="3" xfId="0" applyNumberFormat="1" applyBorder="1" applyAlignment="1">
      <alignment horizontal="center"/>
    </xf>
    <xf numFmtId="166" fontId="8" fillId="0" borderId="3" xfId="0" applyNumberFormat="1" applyFont="1" applyBorder="1" applyAlignment="1">
      <alignment horizontal="center"/>
    </xf>
    <xf numFmtId="166" fontId="3" fillId="3" borderId="1" xfId="0" applyNumberFormat="1" applyFont="1" applyFill="1" applyBorder="1" applyAlignment="1">
      <alignment horizontal="center"/>
    </xf>
    <xf numFmtId="166" fontId="3" fillId="3" borderId="2" xfId="0" applyNumberFormat="1" applyFont="1" applyFill="1" applyBorder="1" applyAlignment="1">
      <alignment horizontal="center"/>
    </xf>
    <xf numFmtId="166" fontId="0" fillId="0" borderId="2" xfId="0" applyNumberFormat="1" applyBorder="1" applyAlignment="1">
      <alignment horizontal="center"/>
    </xf>
    <xf numFmtId="166" fontId="9" fillId="7" borderId="2" xfId="0" applyNumberFormat="1" applyFon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7" borderId="1" xfId="0" applyFont="1" applyFill="1" applyBorder="1" applyAlignment="1">
      <alignment horizontal="center"/>
    </xf>
    <xf numFmtId="0" fontId="2" fillId="8" borderId="0" xfId="0" applyFont="1" applyFill="1"/>
    <xf numFmtId="0" fontId="0" fillId="7" borderId="0" xfId="0" applyFill="1"/>
    <xf numFmtId="0" fontId="8" fillId="0" borderId="0" xfId="0" applyFont="1" applyAlignment="1">
      <alignment horizontal="center" vertical="top"/>
    </xf>
    <xf numFmtId="0" fontId="1" fillId="2" borderId="9" xfId="0" applyFont="1" applyFill="1" applyBorder="1" applyAlignment="1">
      <alignment horizontal="center" vertical="center" wrapText="1"/>
    </xf>
    <xf numFmtId="164" fontId="0" fillId="5" borderId="8" xfId="0" applyNumberFormat="1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5" borderId="9" xfId="0" applyNumberFormat="1" applyFill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10" fillId="7" borderId="3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4" xfId="0" applyFont="1" applyFill="1" applyBorder="1" applyAlignment="1">
      <alignment horizontal="center"/>
    </xf>
    <xf numFmtId="0" fontId="7" fillId="6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2" fillId="10" borderId="3" xfId="0" applyFont="1" applyFill="1" applyBorder="1" applyAlignment="1">
      <alignment horizontal="center"/>
    </xf>
    <xf numFmtId="0" fontId="2" fillId="10" borderId="6" xfId="0" applyFont="1" applyFill="1" applyBorder="1" applyAlignment="1">
      <alignment horizontal="center"/>
    </xf>
    <xf numFmtId="0" fontId="2" fillId="10" borderId="7" xfId="0" applyFont="1" applyFill="1" applyBorder="1" applyAlignment="1">
      <alignment horizontal="center"/>
    </xf>
  </cellXfs>
  <cellStyles count="1">
    <cellStyle name="Normal" xfId="0" builtinId="0"/>
  </cellStyles>
  <dxfs count="21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 outline="0">
        <top style="thin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top" textRotation="0" wrapText="0" indent="0" justifyLastLine="0" shrinkToFit="0" readingOrder="0"/>
    </dxf>
  </dxfs>
  <tableStyles count="0" defaultTableStyle="TableStyleMedium9" defaultPivotStyle="PivotStyleLight16"/>
  <colors>
    <mruColors>
      <color rgb="FFDF2F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2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4.xml"/><Relationship Id="rId10" Type="http://schemas.openxmlformats.org/officeDocument/2006/relationships/externalLink" Target="externalLinks/externalLink1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Downloads\COMPREHENSIVE_RETAIL_PROJECT_600ROWS.xlsx" TargetMode="External"/><Relationship Id="rId1" Type="http://schemas.openxmlformats.org/officeDocument/2006/relationships/externalLinkPath" Target="COMPREHENSIVE_RETAIL_PROJECT_600ROW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DELL\Downloads\Retail_Store_Transactions_600_Rows_Cleaned.xlsx" TargetMode="External"/><Relationship Id="rId1" Type="http://schemas.openxmlformats.org/officeDocument/2006/relationships/externalLinkPath" Target="Retail_Store_Transactions_600_Rows_Clean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ta"/>
      <sheetName val="Summary"/>
      <sheetName val="Product Analysis"/>
      <sheetName val="Store Analysis"/>
      <sheetName val="Time Analysis"/>
    </sheetNames>
    <sheetDataSet>
      <sheetData sheetId="0">
        <row r="2">
          <cell r="C2" t="str">
            <v>S7</v>
          </cell>
          <cell r="N2">
            <v>2200.6799999999998</v>
          </cell>
        </row>
        <row r="3">
          <cell r="N3">
            <v>337.77</v>
          </cell>
        </row>
        <row r="4">
          <cell r="N4">
            <v>434.22</v>
          </cell>
        </row>
        <row r="5">
          <cell r="N5">
            <v>1275.3900000000001</v>
          </cell>
        </row>
        <row r="6">
          <cell r="N6">
            <v>54.76</v>
          </cell>
        </row>
        <row r="7">
          <cell r="N7">
            <v>1186.5899999999999</v>
          </cell>
        </row>
        <row r="8">
          <cell r="N8">
            <v>3331.1</v>
          </cell>
        </row>
        <row r="9">
          <cell r="N9">
            <v>1427.46</v>
          </cell>
        </row>
        <row r="10">
          <cell r="N10">
            <v>334.88</v>
          </cell>
        </row>
        <row r="11">
          <cell r="N11">
            <v>1068.08</v>
          </cell>
        </row>
        <row r="12">
          <cell r="N12">
            <v>446.46</v>
          </cell>
        </row>
        <row r="13">
          <cell r="N13">
            <v>925.36</v>
          </cell>
        </row>
        <row r="14">
          <cell r="N14">
            <v>1784.23</v>
          </cell>
        </row>
        <row r="15">
          <cell r="N15">
            <v>659.64</v>
          </cell>
        </row>
        <row r="16">
          <cell r="N16">
            <v>296.3</v>
          </cell>
        </row>
        <row r="17">
          <cell r="N17">
            <v>55.77</v>
          </cell>
        </row>
        <row r="18">
          <cell r="N18">
            <v>359.59</v>
          </cell>
        </row>
        <row r="19">
          <cell r="N19">
            <v>1025.0999999999999</v>
          </cell>
        </row>
        <row r="20">
          <cell r="N20">
            <v>169.14</v>
          </cell>
        </row>
        <row r="21">
          <cell r="N21">
            <v>1425.33</v>
          </cell>
        </row>
        <row r="22">
          <cell r="N22">
            <v>1320.16</v>
          </cell>
        </row>
        <row r="23">
          <cell r="N23">
            <v>141.82</v>
          </cell>
        </row>
        <row r="24">
          <cell r="N24">
            <v>921.42</v>
          </cell>
        </row>
        <row r="25">
          <cell r="N25">
            <v>2135.2199999999998</v>
          </cell>
        </row>
        <row r="26">
          <cell r="N26">
            <v>775.26</v>
          </cell>
        </row>
        <row r="27">
          <cell r="N27">
            <v>2416</v>
          </cell>
        </row>
        <row r="28">
          <cell r="N28">
            <v>2523.6799999999998</v>
          </cell>
        </row>
        <row r="29">
          <cell r="N29">
            <v>993.99</v>
          </cell>
        </row>
        <row r="30">
          <cell r="N30">
            <v>391.72</v>
          </cell>
        </row>
        <row r="31">
          <cell r="N31">
            <v>88.74</v>
          </cell>
        </row>
        <row r="32">
          <cell r="N32">
            <v>1810.83</v>
          </cell>
        </row>
        <row r="33">
          <cell r="N33">
            <v>283.26</v>
          </cell>
        </row>
        <row r="34">
          <cell r="N34">
            <v>835.92</v>
          </cell>
        </row>
        <row r="35">
          <cell r="N35">
            <v>1010.97</v>
          </cell>
        </row>
        <row r="36">
          <cell r="N36">
            <v>1185.45</v>
          </cell>
        </row>
        <row r="37">
          <cell r="N37">
            <v>1211.0999999999999</v>
          </cell>
        </row>
        <row r="38">
          <cell r="N38">
            <v>3583.8</v>
          </cell>
        </row>
        <row r="39">
          <cell r="N39">
            <v>659.84</v>
          </cell>
        </row>
        <row r="40">
          <cell r="N40">
            <v>502.64</v>
          </cell>
        </row>
        <row r="41">
          <cell r="N41">
            <v>801.18</v>
          </cell>
        </row>
        <row r="42">
          <cell r="N42">
            <v>1849.68</v>
          </cell>
        </row>
        <row r="43">
          <cell r="N43">
            <v>458.25</v>
          </cell>
        </row>
        <row r="44">
          <cell r="N44">
            <v>3149.46</v>
          </cell>
        </row>
        <row r="45">
          <cell r="N45">
            <v>201.06</v>
          </cell>
        </row>
        <row r="46">
          <cell r="N46">
            <v>169.87</v>
          </cell>
        </row>
        <row r="47">
          <cell r="N47">
            <v>481.7</v>
          </cell>
        </row>
        <row r="48">
          <cell r="N48">
            <v>1535.1</v>
          </cell>
        </row>
        <row r="49">
          <cell r="N49">
            <v>1927.2</v>
          </cell>
        </row>
        <row r="50">
          <cell r="N50">
            <v>1463.2</v>
          </cell>
        </row>
        <row r="51">
          <cell r="N51">
            <v>658.8</v>
          </cell>
        </row>
        <row r="52">
          <cell r="N52">
            <v>3405.87</v>
          </cell>
        </row>
        <row r="53">
          <cell r="N53">
            <v>119.82</v>
          </cell>
        </row>
        <row r="54">
          <cell r="N54">
            <v>3174.32</v>
          </cell>
        </row>
        <row r="55">
          <cell r="N55">
            <v>1216.3800000000001</v>
          </cell>
        </row>
        <row r="56">
          <cell r="N56">
            <v>840.36</v>
          </cell>
        </row>
        <row r="57">
          <cell r="N57">
            <v>1058.0999999999999</v>
          </cell>
        </row>
        <row r="58">
          <cell r="N58">
            <v>188.28</v>
          </cell>
        </row>
        <row r="59">
          <cell r="N59">
            <v>1517.31</v>
          </cell>
        </row>
        <row r="60">
          <cell r="N60">
            <v>532.04</v>
          </cell>
        </row>
        <row r="61">
          <cell r="N61">
            <v>3462.66</v>
          </cell>
        </row>
        <row r="62">
          <cell r="N62">
            <v>305.19</v>
          </cell>
        </row>
        <row r="63">
          <cell r="N63">
            <v>1875.16</v>
          </cell>
        </row>
        <row r="64">
          <cell r="N64">
            <v>1334.82</v>
          </cell>
        </row>
        <row r="65">
          <cell r="N65">
            <v>2012.72</v>
          </cell>
        </row>
        <row r="66">
          <cell r="N66">
            <v>170.73</v>
          </cell>
        </row>
        <row r="67">
          <cell r="N67">
            <v>886.83</v>
          </cell>
        </row>
        <row r="68">
          <cell r="N68">
            <v>1971.4</v>
          </cell>
        </row>
        <row r="69">
          <cell r="N69">
            <v>2911.32</v>
          </cell>
        </row>
        <row r="70">
          <cell r="N70">
            <v>797.6</v>
          </cell>
        </row>
        <row r="71">
          <cell r="N71">
            <v>454.38</v>
          </cell>
        </row>
        <row r="72">
          <cell r="N72">
            <v>1475.96</v>
          </cell>
        </row>
        <row r="73">
          <cell r="N73">
            <v>471.24</v>
          </cell>
        </row>
        <row r="74">
          <cell r="N74">
            <v>770.07</v>
          </cell>
        </row>
        <row r="75">
          <cell r="N75">
            <v>668.6</v>
          </cell>
        </row>
        <row r="76">
          <cell r="N76">
            <v>2921.67</v>
          </cell>
        </row>
        <row r="77">
          <cell r="N77">
            <v>1819.1</v>
          </cell>
        </row>
        <row r="78">
          <cell r="N78">
            <v>425.94</v>
          </cell>
        </row>
        <row r="79">
          <cell r="N79">
            <v>129.30000000000001</v>
          </cell>
        </row>
        <row r="80">
          <cell r="N80">
            <v>893.16</v>
          </cell>
        </row>
        <row r="81">
          <cell r="N81">
            <v>35.840000000000003</v>
          </cell>
        </row>
        <row r="82">
          <cell r="N82">
            <v>1003.02</v>
          </cell>
        </row>
        <row r="83">
          <cell r="N83">
            <v>279.72000000000003</v>
          </cell>
        </row>
        <row r="84">
          <cell r="N84">
            <v>2858.16</v>
          </cell>
        </row>
        <row r="85">
          <cell r="N85">
            <v>897.92</v>
          </cell>
        </row>
        <row r="86">
          <cell r="N86">
            <v>81.88</v>
          </cell>
        </row>
        <row r="87">
          <cell r="N87">
            <v>3012.88</v>
          </cell>
        </row>
        <row r="88">
          <cell r="N88">
            <v>116.72</v>
          </cell>
        </row>
        <row r="89">
          <cell r="N89">
            <v>231.84</v>
          </cell>
        </row>
        <row r="90">
          <cell r="N90">
            <v>695.42</v>
          </cell>
        </row>
        <row r="91">
          <cell r="N91">
            <v>2778.96</v>
          </cell>
        </row>
        <row r="92">
          <cell r="N92">
            <v>90.99</v>
          </cell>
        </row>
        <row r="93">
          <cell r="N93">
            <v>133.9</v>
          </cell>
        </row>
        <row r="94">
          <cell r="N94">
            <v>1605.12</v>
          </cell>
        </row>
        <row r="95">
          <cell r="N95">
            <v>3100.2</v>
          </cell>
        </row>
        <row r="96">
          <cell r="N96">
            <v>1876.1</v>
          </cell>
        </row>
        <row r="97">
          <cell r="N97">
            <v>19.88</v>
          </cell>
        </row>
        <row r="98">
          <cell r="N98">
            <v>429.78</v>
          </cell>
        </row>
        <row r="99">
          <cell r="N99">
            <v>405.66</v>
          </cell>
        </row>
        <row r="100">
          <cell r="N100">
            <v>1088.3499999999999</v>
          </cell>
        </row>
        <row r="101">
          <cell r="N101">
            <v>2146.06</v>
          </cell>
        </row>
        <row r="102">
          <cell r="N102">
            <v>251.84</v>
          </cell>
        </row>
        <row r="103">
          <cell r="N103">
            <v>3636.3</v>
          </cell>
        </row>
        <row r="104">
          <cell r="N104">
            <v>2876.4</v>
          </cell>
        </row>
        <row r="105">
          <cell r="N105">
            <v>466.24</v>
          </cell>
        </row>
        <row r="106">
          <cell r="N106">
            <v>132.06</v>
          </cell>
        </row>
        <row r="107">
          <cell r="N107">
            <v>523.86</v>
          </cell>
        </row>
        <row r="108">
          <cell r="N108">
            <v>1633.25</v>
          </cell>
        </row>
        <row r="109">
          <cell r="N109">
            <v>577.44000000000005</v>
          </cell>
        </row>
        <row r="110">
          <cell r="N110">
            <v>505.89</v>
          </cell>
        </row>
        <row r="111">
          <cell r="N111">
            <v>1806.6</v>
          </cell>
        </row>
        <row r="112">
          <cell r="N112">
            <v>2388.6999999999998</v>
          </cell>
        </row>
        <row r="113">
          <cell r="N113">
            <v>711.13</v>
          </cell>
        </row>
        <row r="114">
          <cell r="N114">
            <v>1486.05</v>
          </cell>
        </row>
        <row r="115">
          <cell r="N115">
            <v>1873.2</v>
          </cell>
        </row>
        <row r="116">
          <cell r="N116">
            <v>3567.4</v>
          </cell>
        </row>
        <row r="117">
          <cell r="N117">
            <v>607.29999999999995</v>
          </cell>
        </row>
        <row r="118">
          <cell r="N118">
            <v>2949.9</v>
          </cell>
        </row>
        <row r="119">
          <cell r="N119">
            <v>1557.81</v>
          </cell>
        </row>
        <row r="120">
          <cell r="N120">
            <v>2363.2199999999998</v>
          </cell>
        </row>
        <row r="121">
          <cell r="N121">
            <v>225.72</v>
          </cell>
        </row>
        <row r="122">
          <cell r="N122">
            <v>1081.4000000000001</v>
          </cell>
        </row>
        <row r="123">
          <cell r="N123">
            <v>1602.8</v>
          </cell>
        </row>
        <row r="124">
          <cell r="N124">
            <v>1357.25</v>
          </cell>
        </row>
        <row r="125">
          <cell r="N125">
            <v>175.35</v>
          </cell>
        </row>
        <row r="126">
          <cell r="N126">
            <v>796.32</v>
          </cell>
        </row>
        <row r="127">
          <cell r="N127">
            <v>347.26</v>
          </cell>
        </row>
        <row r="128">
          <cell r="N128">
            <v>824.7</v>
          </cell>
        </row>
        <row r="129">
          <cell r="N129">
            <v>3090.96</v>
          </cell>
        </row>
        <row r="130">
          <cell r="N130">
            <v>376.1</v>
          </cell>
        </row>
        <row r="131">
          <cell r="N131">
            <v>987.6</v>
          </cell>
        </row>
        <row r="132">
          <cell r="N132">
            <v>35.85</v>
          </cell>
        </row>
        <row r="133">
          <cell r="N133">
            <v>452.61</v>
          </cell>
        </row>
        <row r="134">
          <cell r="N134">
            <v>350.01</v>
          </cell>
        </row>
        <row r="135">
          <cell r="N135">
            <v>1782</v>
          </cell>
        </row>
        <row r="136">
          <cell r="N136">
            <v>666.65</v>
          </cell>
        </row>
        <row r="137">
          <cell r="N137">
            <v>51.87</v>
          </cell>
        </row>
        <row r="138">
          <cell r="N138">
            <v>2109.4</v>
          </cell>
        </row>
        <row r="139">
          <cell r="N139">
            <v>489.92</v>
          </cell>
        </row>
        <row r="140">
          <cell r="N140">
            <v>43.92</v>
          </cell>
        </row>
        <row r="141">
          <cell r="N141">
            <v>752.43</v>
          </cell>
        </row>
        <row r="142">
          <cell r="N142">
            <v>226.69</v>
          </cell>
        </row>
        <row r="143">
          <cell r="N143">
            <v>1608.74</v>
          </cell>
        </row>
        <row r="144">
          <cell r="N144">
            <v>1705.2</v>
          </cell>
        </row>
        <row r="145">
          <cell r="N145">
            <v>1310.52</v>
          </cell>
        </row>
        <row r="146">
          <cell r="N146">
            <v>1293.8399999999999</v>
          </cell>
        </row>
        <row r="147">
          <cell r="N147">
            <v>1593.06</v>
          </cell>
        </row>
        <row r="148">
          <cell r="N148">
            <v>1885.59</v>
          </cell>
        </row>
        <row r="149">
          <cell r="N149">
            <v>1028.76</v>
          </cell>
        </row>
        <row r="150">
          <cell r="N150">
            <v>219.44</v>
          </cell>
        </row>
        <row r="151">
          <cell r="N151">
            <v>1735.28</v>
          </cell>
        </row>
        <row r="152">
          <cell r="N152">
            <v>3125.1</v>
          </cell>
        </row>
        <row r="153">
          <cell r="N153">
            <v>601.84</v>
          </cell>
        </row>
        <row r="154">
          <cell r="N154">
            <v>805.84</v>
          </cell>
        </row>
        <row r="155">
          <cell r="N155">
            <v>256.49</v>
          </cell>
        </row>
        <row r="156">
          <cell r="N156">
            <v>852.7</v>
          </cell>
        </row>
        <row r="157">
          <cell r="N157">
            <v>735.76</v>
          </cell>
        </row>
        <row r="158">
          <cell r="N158">
            <v>721.14</v>
          </cell>
        </row>
        <row r="159">
          <cell r="N159">
            <v>601.76</v>
          </cell>
        </row>
        <row r="160">
          <cell r="N160">
            <v>759.99</v>
          </cell>
        </row>
        <row r="161">
          <cell r="N161">
            <v>803.32</v>
          </cell>
        </row>
        <row r="162">
          <cell r="N162">
            <v>471.52</v>
          </cell>
        </row>
        <row r="163">
          <cell r="N163">
            <v>1705.76</v>
          </cell>
        </row>
        <row r="164">
          <cell r="N164">
            <v>891.42</v>
          </cell>
        </row>
        <row r="165">
          <cell r="N165">
            <v>543.41</v>
          </cell>
        </row>
        <row r="166">
          <cell r="N166">
            <v>78.56</v>
          </cell>
        </row>
        <row r="167">
          <cell r="N167">
            <v>229.85</v>
          </cell>
        </row>
        <row r="168">
          <cell r="N168">
            <v>1569.88</v>
          </cell>
        </row>
        <row r="169">
          <cell r="N169">
            <v>3081.96</v>
          </cell>
        </row>
        <row r="170">
          <cell r="N170">
            <v>377.86</v>
          </cell>
        </row>
        <row r="171">
          <cell r="N171">
            <v>1600.14</v>
          </cell>
        </row>
        <row r="172">
          <cell r="N172">
            <v>3239.1</v>
          </cell>
        </row>
        <row r="173">
          <cell r="N173">
            <v>1833.02</v>
          </cell>
        </row>
        <row r="174">
          <cell r="N174">
            <v>903.69</v>
          </cell>
        </row>
        <row r="175">
          <cell r="N175">
            <v>3063.7</v>
          </cell>
        </row>
        <row r="176">
          <cell r="N176">
            <v>2482.08</v>
          </cell>
        </row>
        <row r="177">
          <cell r="N177">
            <v>182.66</v>
          </cell>
        </row>
        <row r="178">
          <cell r="N178">
            <v>195.54</v>
          </cell>
        </row>
        <row r="179">
          <cell r="N179">
            <v>144.03</v>
          </cell>
        </row>
        <row r="180">
          <cell r="N180">
            <v>482.64</v>
          </cell>
        </row>
        <row r="181">
          <cell r="N181">
            <v>11.7</v>
          </cell>
        </row>
        <row r="182">
          <cell r="N182">
            <v>142.57</v>
          </cell>
        </row>
        <row r="183">
          <cell r="N183">
            <v>1547.77</v>
          </cell>
        </row>
        <row r="184">
          <cell r="N184">
            <v>2126.46</v>
          </cell>
        </row>
        <row r="185">
          <cell r="N185">
            <v>3557.4</v>
          </cell>
        </row>
        <row r="186">
          <cell r="N186">
            <v>868.28</v>
          </cell>
        </row>
        <row r="187">
          <cell r="N187">
            <v>710.2</v>
          </cell>
        </row>
        <row r="188">
          <cell r="N188">
            <v>431.2</v>
          </cell>
        </row>
        <row r="189">
          <cell r="N189">
            <v>1483.6</v>
          </cell>
        </row>
        <row r="190">
          <cell r="N190">
            <v>1505.1</v>
          </cell>
        </row>
        <row r="191">
          <cell r="N191">
            <v>3549.78</v>
          </cell>
        </row>
        <row r="192">
          <cell r="N192">
            <v>780.16</v>
          </cell>
        </row>
        <row r="193">
          <cell r="N193">
            <v>485.95</v>
          </cell>
        </row>
        <row r="194">
          <cell r="N194">
            <v>909.3</v>
          </cell>
        </row>
        <row r="195">
          <cell r="N195">
            <v>1496.88</v>
          </cell>
        </row>
        <row r="196">
          <cell r="N196">
            <v>80.34</v>
          </cell>
        </row>
        <row r="197">
          <cell r="N197">
            <v>345.24</v>
          </cell>
        </row>
        <row r="198">
          <cell r="N198">
            <v>1186.74</v>
          </cell>
        </row>
        <row r="199">
          <cell r="N199">
            <v>2426</v>
          </cell>
        </row>
        <row r="200">
          <cell r="N200">
            <v>715.05</v>
          </cell>
        </row>
        <row r="201">
          <cell r="N201">
            <v>53.75</v>
          </cell>
        </row>
        <row r="202">
          <cell r="N202">
            <v>248.14</v>
          </cell>
        </row>
        <row r="203">
          <cell r="N203">
            <v>746.06</v>
          </cell>
        </row>
        <row r="204">
          <cell r="N204">
            <v>177.74</v>
          </cell>
        </row>
        <row r="205">
          <cell r="N205">
            <v>2029.5</v>
          </cell>
        </row>
        <row r="206">
          <cell r="N206">
            <v>248.33</v>
          </cell>
        </row>
        <row r="207">
          <cell r="N207">
            <v>862.62</v>
          </cell>
        </row>
        <row r="208">
          <cell r="N208">
            <v>874.64</v>
          </cell>
        </row>
        <row r="209">
          <cell r="N209">
            <v>458.99</v>
          </cell>
        </row>
        <row r="210">
          <cell r="N210">
            <v>1442.28</v>
          </cell>
        </row>
        <row r="211">
          <cell r="N211">
            <v>157.01</v>
          </cell>
        </row>
        <row r="212">
          <cell r="N212">
            <v>809.35</v>
          </cell>
        </row>
        <row r="213">
          <cell r="N213">
            <v>850.1</v>
          </cell>
        </row>
        <row r="214">
          <cell r="N214">
            <v>728.49</v>
          </cell>
        </row>
        <row r="215">
          <cell r="N215">
            <v>1163.7</v>
          </cell>
        </row>
        <row r="216">
          <cell r="N216">
            <v>458.9</v>
          </cell>
        </row>
        <row r="217">
          <cell r="N217">
            <v>887.18</v>
          </cell>
        </row>
        <row r="218">
          <cell r="N218">
            <v>598.98</v>
          </cell>
        </row>
        <row r="219">
          <cell r="N219">
            <v>2582.6999999999998</v>
          </cell>
        </row>
        <row r="220">
          <cell r="N220">
            <v>5.74</v>
          </cell>
        </row>
        <row r="221">
          <cell r="N221">
            <v>2834.32</v>
          </cell>
        </row>
        <row r="222">
          <cell r="N222">
            <v>1795.76</v>
          </cell>
        </row>
        <row r="223">
          <cell r="N223">
            <v>2156.4</v>
          </cell>
        </row>
        <row r="224">
          <cell r="N224">
            <v>33.880000000000003</v>
          </cell>
        </row>
        <row r="225">
          <cell r="N225">
            <v>2716.14</v>
          </cell>
        </row>
        <row r="226">
          <cell r="N226">
            <v>193.52</v>
          </cell>
        </row>
        <row r="227">
          <cell r="N227">
            <v>1308.0999999999999</v>
          </cell>
        </row>
        <row r="228">
          <cell r="N228">
            <v>1687.1</v>
          </cell>
        </row>
        <row r="229">
          <cell r="N229">
            <v>344.4</v>
          </cell>
        </row>
        <row r="230">
          <cell r="N230">
            <v>884.19</v>
          </cell>
        </row>
        <row r="231">
          <cell r="N231">
            <v>609.6</v>
          </cell>
        </row>
        <row r="232">
          <cell r="N232">
            <v>528.08000000000004</v>
          </cell>
        </row>
        <row r="233">
          <cell r="N233">
            <v>835.32</v>
          </cell>
        </row>
        <row r="234">
          <cell r="N234">
            <v>1591.38</v>
          </cell>
        </row>
        <row r="235">
          <cell r="N235">
            <v>3588.75</v>
          </cell>
        </row>
        <row r="236">
          <cell r="N236">
            <v>3927.1</v>
          </cell>
        </row>
        <row r="237">
          <cell r="N237">
            <v>1923.6</v>
          </cell>
        </row>
        <row r="238">
          <cell r="N238">
            <v>1013.8</v>
          </cell>
        </row>
        <row r="239">
          <cell r="N239">
            <v>1243</v>
          </cell>
        </row>
        <row r="240">
          <cell r="N240">
            <v>415.44</v>
          </cell>
        </row>
        <row r="241">
          <cell r="N241">
            <v>323.92</v>
          </cell>
        </row>
        <row r="242">
          <cell r="N242">
            <v>120.27</v>
          </cell>
        </row>
        <row r="243">
          <cell r="N243">
            <v>201.06</v>
          </cell>
        </row>
        <row r="244">
          <cell r="N244">
            <v>815.67</v>
          </cell>
        </row>
        <row r="245">
          <cell r="N245">
            <v>356.8</v>
          </cell>
        </row>
        <row r="246">
          <cell r="N246">
            <v>594.16</v>
          </cell>
        </row>
        <row r="247">
          <cell r="N247">
            <v>74.88</v>
          </cell>
        </row>
        <row r="248">
          <cell r="N248">
            <v>2922.48</v>
          </cell>
        </row>
        <row r="249">
          <cell r="N249">
            <v>1452</v>
          </cell>
        </row>
        <row r="250">
          <cell r="N250">
            <v>398.15</v>
          </cell>
        </row>
        <row r="251">
          <cell r="N251">
            <v>1710.8</v>
          </cell>
        </row>
        <row r="252">
          <cell r="N252">
            <v>318.93</v>
          </cell>
        </row>
        <row r="253">
          <cell r="N253">
            <v>2698.6</v>
          </cell>
        </row>
        <row r="254">
          <cell r="N254">
            <v>497.38</v>
          </cell>
        </row>
        <row r="255">
          <cell r="N255">
            <v>1574.48</v>
          </cell>
        </row>
        <row r="256">
          <cell r="N256">
            <v>3914.3</v>
          </cell>
        </row>
        <row r="257">
          <cell r="N257">
            <v>202.72</v>
          </cell>
        </row>
        <row r="258">
          <cell r="N258">
            <v>2035</v>
          </cell>
        </row>
        <row r="259">
          <cell r="N259">
            <v>269.56</v>
          </cell>
        </row>
        <row r="260">
          <cell r="N260">
            <v>1099.77</v>
          </cell>
        </row>
        <row r="261">
          <cell r="N261">
            <v>227.17</v>
          </cell>
        </row>
        <row r="262">
          <cell r="N262">
            <v>3154.14</v>
          </cell>
        </row>
        <row r="263">
          <cell r="N263">
            <v>1372.3</v>
          </cell>
        </row>
        <row r="264">
          <cell r="N264">
            <v>782.56</v>
          </cell>
        </row>
        <row r="265">
          <cell r="N265">
            <v>2387.1</v>
          </cell>
        </row>
        <row r="266">
          <cell r="N266">
            <v>342.6</v>
          </cell>
        </row>
        <row r="267">
          <cell r="N267">
            <v>1263.52</v>
          </cell>
        </row>
        <row r="268">
          <cell r="N268">
            <v>3696.3</v>
          </cell>
        </row>
        <row r="269">
          <cell r="N269">
            <v>980.55</v>
          </cell>
        </row>
        <row r="270">
          <cell r="N270">
            <v>1183.3</v>
          </cell>
        </row>
        <row r="271">
          <cell r="N271">
            <v>1236.96</v>
          </cell>
        </row>
        <row r="272">
          <cell r="N272">
            <v>1054.6199999999999</v>
          </cell>
        </row>
        <row r="273">
          <cell r="N273">
            <v>1264.1600000000001</v>
          </cell>
        </row>
        <row r="274">
          <cell r="N274">
            <v>308.26</v>
          </cell>
        </row>
        <row r="275">
          <cell r="N275">
            <v>86.84</v>
          </cell>
        </row>
        <row r="276">
          <cell r="N276">
            <v>2102.4499999999998</v>
          </cell>
        </row>
        <row r="277">
          <cell r="N277">
            <v>1810.15</v>
          </cell>
        </row>
        <row r="278">
          <cell r="N278">
            <v>1316.28</v>
          </cell>
        </row>
        <row r="279">
          <cell r="N279">
            <v>1534.16</v>
          </cell>
        </row>
        <row r="280">
          <cell r="N280">
            <v>2029.2</v>
          </cell>
        </row>
        <row r="281">
          <cell r="N281">
            <v>992.81</v>
          </cell>
        </row>
        <row r="282">
          <cell r="N282">
            <v>27.15</v>
          </cell>
        </row>
        <row r="283">
          <cell r="N283">
            <v>61.14</v>
          </cell>
        </row>
        <row r="284">
          <cell r="N284">
            <v>3806.3</v>
          </cell>
        </row>
        <row r="285">
          <cell r="N285">
            <v>664.12</v>
          </cell>
        </row>
        <row r="286">
          <cell r="N286">
            <v>1737.25</v>
          </cell>
        </row>
        <row r="287">
          <cell r="N287">
            <v>801.66</v>
          </cell>
        </row>
        <row r="288">
          <cell r="N288">
            <v>1540.2</v>
          </cell>
        </row>
        <row r="289">
          <cell r="N289">
            <v>461.92</v>
          </cell>
        </row>
        <row r="290">
          <cell r="N290">
            <v>1054.5</v>
          </cell>
        </row>
        <row r="291">
          <cell r="N291">
            <v>120.72</v>
          </cell>
        </row>
        <row r="292">
          <cell r="N292">
            <v>1861.92</v>
          </cell>
        </row>
        <row r="293">
          <cell r="N293">
            <v>353.52</v>
          </cell>
        </row>
        <row r="294">
          <cell r="N294">
            <v>116.2</v>
          </cell>
        </row>
        <row r="295">
          <cell r="N295">
            <v>2622.08</v>
          </cell>
        </row>
        <row r="296">
          <cell r="N296">
            <v>90.56</v>
          </cell>
        </row>
        <row r="297">
          <cell r="N297">
            <v>1602.79</v>
          </cell>
        </row>
        <row r="298">
          <cell r="N298">
            <v>3503.25</v>
          </cell>
        </row>
        <row r="299">
          <cell r="N299">
            <v>724.16</v>
          </cell>
        </row>
        <row r="300">
          <cell r="N300">
            <v>1262.0999999999999</v>
          </cell>
        </row>
        <row r="301">
          <cell r="N301">
            <v>705.57</v>
          </cell>
        </row>
        <row r="302">
          <cell r="N302">
            <v>3140.1</v>
          </cell>
        </row>
        <row r="303">
          <cell r="N303">
            <v>1811.2</v>
          </cell>
        </row>
        <row r="304">
          <cell r="N304">
            <v>322.88</v>
          </cell>
        </row>
        <row r="305">
          <cell r="N305">
            <v>2948.08</v>
          </cell>
        </row>
        <row r="306">
          <cell r="N306">
            <v>563.96</v>
          </cell>
        </row>
        <row r="307">
          <cell r="N307">
            <v>209.8</v>
          </cell>
        </row>
        <row r="308">
          <cell r="N308">
            <v>842.28</v>
          </cell>
        </row>
        <row r="309">
          <cell r="N309">
            <v>542.88</v>
          </cell>
        </row>
        <row r="310">
          <cell r="N310">
            <v>980.9</v>
          </cell>
        </row>
        <row r="311">
          <cell r="N311">
            <v>1851.76</v>
          </cell>
        </row>
        <row r="312">
          <cell r="N312">
            <v>3121.4</v>
          </cell>
        </row>
        <row r="313">
          <cell r="N313">
            <v>808.29</v>
          </cell>
        </row>
        <row r="314">
          <cell r="N314">
            <v>1711.56</v>
          </cell>
        </row>
        <row r="315">
          <cell r="N315">
            <v>1763.19</v>
          </cell>
        </row>
        <row r="316">
          <cell r="N316">
            <v>708.28</v>
          </cell>
        </row>
        <row r="317">
          <cell r="N317">
            <v>449.91</v>
          </cell>
        </row>
        <row r="318">
          <cell r="N318">
            <v>871.56</v>
          </cell>
        </row>
        <row r="319">
          <cell r="N319">
            <v>723.06</v>
          </cell>
        </row>
        <row r="320">
          <cell r="N320">
            <v>33.06</v>
          </cell>
        </row>
        <row r="321">
          <cell r="N321">
            <v>1092.6600000000001</v>
          </cell>
        </row>
        <row r="322">
          <cell r="N322">
            <v>785.28</v>
          </cell>
        </row>
        <row r="323">
          <cell r="N323">
            <v>2089.5300000000002</v>
          </cell>
        </row>
        <row r="324">
          <cell r="N324">
            <v>1830.85</v>
          </cell>
        </row>
        <row r="325">
          <cell r="N325">
            <v>3306</v>
          </cell>
        </row>
        <row r="326">
          <cell r="N326">
            <v>763.14</v>
          </cell>
        </row>
        <row r="327">
          <cell r="N327">
            <v>1297.5999999999999</v>
          </cell>
        </row>
        <row r="328">
          <cell r="N328">
            <v>230.76</v>
          </cell>
        </row>
        <row r="329">
          <cell r="N329">
            <v>442.58</v>
          </cell>
        </row>
        <row r="330">
          <cell r="N330">
            <v>165.46</v>
          </cell>
        </row>
        <row r="331">
          <cell r="N331">
            <v>31.5</v>
          </cell>
        </row>
        <row r="332">
          <cell r="N332">
            <v>1314.52</v>
          </cell>
        </row>
        <row r="333">
          <cell r="N333">
            <v>1155.06</v>
          </cell>
        </row>
        <row r="334">
          <cell r="N334">
            <v>3580.2</v>
          </cell>
        </row>
        <row r="335">
          <cell r="N335">
            <v>292.55</v>
          </cell>
        </row>
        <row r="336">
          <cell r="N336">
            <v>3466.2</v>
          </cell>
        </row>
        <row r="337">
          <cell r="N337">
            <v>891.51</v>
          </cell>
        </row>
        <row r="338">
          <cell r="N338">
            <v>681.18</v>
          </cell>
        </row>
        <row r="339">
          <cell r="N339">
            <v>392.8</v>
          </cell>
        </row>
        <row r="340">
          <cell r="N340">
            <v>3252.51</v>
          </cell>
        </row>
        <row r="341">
          <cell r="N341">
            <v>1885.3</v>
          </cell>
        </row>
        <row r="342">
          <cell r="N342">
            <v>2243.46</v>
          </cell>
        </row>
        <row r="343">
          <cell r="N343">
            <v>263.81</v>
          </cell>
        </row>
        <row r="344">
          <cell r="N344">
            <v>766.32</v>
          </cell>
        </row>
        <row r="345">
          <cell r="N345">
            <v>989.1</v>
          </cell>
        </row>
        <row r="346">
          <cell r="N346">
            <v>2523.9</v>
          </cell>
        </row>
        <row r="347">
          <cell r="N347">
            <v>202.95</v>
          </cell>
        </row>
        <row r="348">
          <cell r="N348">
            <v>2545.1999999999998</v>
          </cell>
        </row>
        <row r="349">
          <cell r="N349">
            <v>654.28</v>
          </cell>
        </row>
        <row r="350">
          <cell r="N350">
            <v>2141.8000000000002</v>
          </cell>
        </row>
        <row r="351">
          <cell r="N351">
            <v>369.36</v>
          </cell>
        </row>
        <row r="352">
          <cell r="N352">
            <v>2144.94</v>
          </cell>
        </row>
        <row r="353">
          <cell r="N353">
            <v>64.2</v>
          </cell>
        </row>
        <row r="354">
          <cell r="N354">
            <v>3265.83</v>
          </cell>
        </row>
        <row r="355">
          <cell r="N355">
            <v>1774.85</v>
          </cell>
        </row>
        <row r="356">
          <cell r="N356">
            <v>873.32</v>
          </cell>
        </row>
        <row r="357">
          <cell r="N357">
            <v>87.7</v>
          </cell>
        </row>
        <row r="358">
          <cell r="N358">
            <v>910.05</v>
          </cell>
        </row>
        <row r="359">
          <cell r="N359">
            <v>653.44000000000005</v>
          </cell>
        </row>
        <row r="360">
          <cell r="N360">
            <v>149.71</v>
          </cell>
        </row>
        <row r="361">
          <cell r="N361">
            <v>1723.2</v>
          </cell>
        </row>
        <row r="362">
          <cell r="N362">
            <v>128.69</v>
          </cell>
        </row>
        <row r="363">
          <cell r="N363">
            <v>1011.28</v>
          </cell>
        </row>
        <row r="364">
          <cell r="N364">
            <v>636.21</v>
          </cell>
        </row>
        <row r="365">
          <cell r="N365">
            <v>2140.3000000000002</v>
          </cell>
        </row>
        <row r="366">
          <cell r="N366">
            <v>1595.25</v>
          </cell>
        </row>
        <row r="367">
          <cell r="N367">
            <v>368.76</v>
          </cell>
        </row>
        <row r="368">
          <cell r="N368">
            <v>977.06</v>
          </cell>
        </row>
        <row r="369">
          <cell r="N369">
            <v>315.3</v>
          </cell>
        </row>
        <row r="370">
          <cell r="N370">
            <v>938.16</v>
          </cell>
        </row>
        <row r="371">
          <cell r="N371">
            <v>628.52</v>
          </cell>
        </row>
        <row r="372">
          <cell r="N372">
            <v>1561.44</v>
          </cell>
        </row>
        <row r="373">
          <cell r="N373">
            <v>1245.24</v>
          </cell>
        </row>
        <row r="374">
          <cell r="N374">
            <v>899.12</v>
          </cell>
        </row>
        <row r="375">
          <cell r="N375">
            <v>1146.5999999999999</v>
          </cell>
        </row>
        <row r="376">
          <cell r="N376">
            <v>36.85</v>
          </cell>
        </row>
        <row r="377">
          <cell r="N377">
            <v>259.92</v>
          </cell>
        </row>
        <row r="378">
          <cell r="N378">
            <v>2515.0300000000002</v>
          </cell>
        </row>
        <row r="379">
          <cell r="N379">
            <v>365</v>
          </cell>
        </row>
        <row r="380">
          <cell r="N380">
            <v>982.73</v>
          </cell>
        </row>
        <row r="381">
          <cell r="N381">
            <v>1362.2</v>
          </cell>
        </row>
        <row r="382">
          <cell r="N382">
            <v>2390.4</v>
          </cell>
        </row>
        <row r="383">
          <cell r="N383">
            <v>370.72</v>
          </cell>
        </row>
        <row r="384">
          <cell r="N384">
            <v>1072.6400000000001</v>
          </cell>
        </row>
        <row r="385">
          <cell r="N385">
            <v>3170.07</v>
          </cell>
        </row>
        <row r="386">
          <cell r="N386">
            <v>621.99</v>
          </cell>
        </row>
        <row r="387">
          <cell r="N387">
            <v>1036.98</v>
          </cell>
        </row>
        <row r="388">
          <cell r="N388">
            <v>885.33</v>
          </cell>
        </row>
        <row r="389">
          <cell r="N389">
            <v>765.36</v>
          </cell>
        </row>
        <row r="390">
          <cell r="N390">
            <v>160.26</v>
          </cell>
        </row>
        <row r="391">
          <cell r="N391">
            <v>409.17</v>
          </cell>
        </row>
        <row r="392">
          <cell r="N392">
            <v>322.86</v>
          </cell>
        </row>
        <row r="393">
          <cell r="N393">
            <v>884.1</v>
          </cell>
        </row>
        <row r="394">
          <cell r="N394">
            <v>988.5</v>
          </cell>
        </row>
        <row r="395">
          <cell r="N395">
            <v>607.04999999999995</v>
          </cell>
        </row>
        <row r="396">
          <cell r="N396">
            <v>165.68</v>
          </cell>
        </row>
        <row r="397">
          <cell r="N397">
            <v>768.53</v>
          </cell>
        </row>
        <row r="398">
          <cell r="N398">
            <v>694.53</v>
          </cell>
        </row>
        <row r="399">
          <cell r="N399">
            <v>588.17999999999995</v>
          </cell>
        </row>
        <row r="400">
          <cell r="N400">
            <v>3027.2</v>
          </cell>
        </row>
        <row r="401">
          <cell r="N401">
            <v>213.92</v>
          </cell>
        </row>
        <row r="402">
          <cell r="N402">
            <v>334.6</v>
          </cell>
        </row>
        <row r="403">
          <cell r="N403">
            <v>596.30999999999995</v>
          </cell>
        </row>
        <row r="404">
          <cell r="N404">
            <v>2203.02</v>
          </cell>
        </row>
        <row r="405">
          <cell r="N405">
            <v>546.79999999999995</v>
          </cell>
        </row>
        <row r="406">
          <cell r="N406">
            <v>1708.4</v>
          </cell>
        </row>
        <row r="407">
          <cell r="N407">
            <v>633.91999999999996</v>
          </cell>
        </row>
        <row r="408">
          <cell r="N408">
            <v>375.32</v>
          </cell>
        </row>
        <row r="409">
          <cell r="N409">
            <v>215.6</v>
          </cell>
        </row>
        <row r="410">
          <cell r="N410">
            <v>648.91999999999996</v>
          </cell>
        </row>
        <row r="411">
          <cell r="N411">
            <v>314.48</v>
          </cell>
        </row>
        <row r="412">
          <cell r="N412">
            <v>194.9</v>
          </cell>
        </row>
        <row r="413">
          <cell r="N413">
            <v>821.6</v>
          </cell>
        </row>
        <row r="414">
          <cell r="N414">
            <v>1245.5999999999999</v>
          </cell>
        </row>
        <row r="415">
          <cell r="N415">
            <v>52.64</v>
          </cell>
        </row>
        <row r="416">
          <cell r="N416">
            <v>304.29000000000002</v>
          </cell>
        </row>
        <row r="417">
          <cell r="N417">
            <v>1084.83</v>
          </cell>
        </row>
        <row r="418">
          <cell r="N418">
            <v>1455.08</v>
          </cell>
        </row>
        <row r="419">
          <cell r="N419">
            <v>833.04</v>
          </cell>
        </row>
        <row r="420">
          <cell r="N420">
            <v>2319.92</v>
          </cell>
        </row>
        <row r="421">
          <cell r="N421">
            <v>367.5</v>
          </cell>
        </row>
        <row r="422">
          <cell r="N422">
            <v>2485.5</v>
          </cell>
        </row>
        <row r="423">
          <cell r="N423">
            <v>240</v>
          </cell>
        </row>
        <row r="424">
          <cell r="N424">
            <v>193.56</v>
          </cell>
        </row>
        <row r="425">
          <cell r="N425">
            <v>1135.55</v>
          </cell>
        </row>
        <row r="426">
          <cell r="N426">
            <v>805.84</v>
          </cell>
        </row>
        <row r="427">
          <cell r="N427">
            <v>2613.17</v>
          </cell>
        </row>
        <row r="428">
          <cell r="N428">
            <v>92.34</v>
          </cell>
        </row>
        <row r="429">
          <cell r="N429">
            <v>1610.8</v>
          </cell>
        </row>
        <row r="430">
          <cell r="N430">
            <v>1319.85</v>
          </cell>
        </row>
        <row r="431">
          <cell r="N431">
            <v>134.47</v>
          </cell>
        </row>
        <row r="432">
          <cell r="N432">
            <v>830.37</v>
          </cell>
        </row>
        <row r="433">
          <cell r="N433">
            <v>1583.1</v>
          </cell>
        </row>
        <row r="434">
          <cell r="N434">
            <v>287.22000000000003</v>
          </cell>
        </row>
        <row r="435">
          <cell r="N435">
            <v>2430.6799999999998</v>
          </cell>
        </row>
        <row r="436">
          <cell r="N436">
            <v>563.5</v>
          </cell>
        </row>
        <row r="437">
          <cell r="N437">
            <v>514</v>
          </cell>
        </row>
        <row r="438">
          <cell r="N438">
            <v>3029</v>
          </cell>
        </row>
        <row r="439">
          <cell r="N439">
            <v>536.4</v>
          </cell>
        </row>
        <row r="440">
          <cell r="N440">
            <v>188.82</v>
          </cell>
        </row>
        <row r="441">
          <cell r="N441">
            <v>163.41</v>
          </cell>
        </row>
        <row r="442">
          <cell r="N442">
            <v>420.93</v>
          </cell>
        </row>
        <row r="443">
          <cell r="N443">
            <v>2801.07</v>
          </cell>
        </row>
        <row r="444">
          <cell r="N444">
            <v>806.16</v>
          </cell>
        </row>
        <row r="445">
          <cell r="N445">
            <v>2389.8000000000002</v>
          </cell>
        </row>
        <row r="446">
          <cell r="N446">
            <v>181</v>
          </cell>
        </row>
        <row r="447">
          <cell r="N447">
            <v>2012.34</v>
          </cell>
        </row>
        <row r="448">
          <cell r="N448">
            <v>72.67</v>
          </cell>
        </row>
        <row r="449">
          <cell r="N449">
            <v>2827.5</v>
          </cell>
        </row>
        <row r="450">
          <cell r="N450">
            <v>654.99</v>
          </cell>
        </row>
        <row r="451">
          <cell r="N451">
            <v>1211.5999999999999</v>
          </cell>
        </row>
        <row r="452">
          <cell r="N452">
            <v>1401.32</v>
          </cell>
        </row>
        <row r="453">
          <cell r="N453">
            <v>1534.8</v>
          </cell>
        </row>
        <row r="454">
          <cell r="N454">
            <v>2432.88</v>
          </cell>
        </row>
        <row r="455">
          <cell r="N455">
            <v>2942.37</v>
          </cell>
        </row>
        <row r="456">
          <cell r="N456">
            <v>929.34</v>
          </cell>
        </row>
        <row r="457">
          <cell r="N457">
            <v>655.38</v>
          </cell>
        </row>
        <row r="458">
          <cell r="N458">
            <v>2196.39</v>
          </cell>
        </row>
        <row r="459">
          <cell r="N459">
            <v>2287.52</v>
          </cell>
        </row>
        <row r="460">
          <cell r="N460">
            <v>1365.2</v>
          </cell>
        </row>
        <row r="461">
          <cell r="N461">
            <v>2478.56</v>
          </cell>
        </row>
        <row r="462">
          <cell r="N462">
            <v>927</v>
          </cell>
        </row>
        <row r="463">
          <cell r="N463">
            <v>1858.2</v>
          </cell>
        </row>
        <row r="464">
          <cell r="N464">
            <v>2529.17</v>
          </cell>
        </row>
        <row r="465">
          <cell r="N465">
            <v>3691</v>
          </cell>
        </row>
        <row r="466">
          <cell r="N466">
            <v>704.95</v>
          </cell>
        </row>
        <row r="467">
          <cell r="N467">
            <v>1251.52</v>
          </cell>
        </row>
        <row r="468">
          <cell r="N468">
            <v>53.94</v>
          </cell>
        </row>
        <row r="469">
          <cell r="N469">
            <v>8.0500000000000007</v>
          </cell>
        </row>
        <row r="470">
          <cell r="N470">
            <v>2734.02</v>
          </cell>
        </row>
        <row r="471">
          <cell r="N471">
            <v>2932.4</v>
          </cell>
        </row>
        <row r="472">
          <cell r="N472">
            <v>1063.44</v>
          </cell>
        </row>
        <row r="473">
          <cell r="N473">
            <v>1205.25</v>
          </cell>
        </row>
        <row r="474">
          <cell r="N474">
            <v>380.74</v>
          </cell>
        </row>
        <row r="475">
          <cell r="N475">
            <v>84.98</v>
          </cell>
        </row>
        <row r="476">
          <cell r="N476">
            <v>328.72</v>
          </cell>
        </row>
        <row r="477">
          <cell r="N477">
            <v>2131.3000000000002</v>
          </cell>
        </row>
        <row r="478">
          <cell r="N478">
            <v>633.29999999999995</v>
          </cell>
        </row>
        <row r="479">
          <cell r="N479">
            <v>1615.18</v>
          </cell>
        </row>
        <row r="480">
          <cell r="N480">
            <v>1872.08</v>
          </cell>
        </row>
        <row r="481">
          <cell r="N481">
            <v>171.4</v>
          </cell>
        </row>
        <row r="482">
          <cell r="N482">
            <v>498.32</v>
          </cell>
        </row>
        <row r="483">
          <cell r="N483">
            <v>3829.9</v>
          </cell>
        </row>
        <row r="484">
          <cell r="N484">
            <v>2059.19</v>
          </cell>
        </row>
        <row r="485">
          <cell r="N485">
            <v>743.8</v>
          </cell>
        </row>
        <row r="486">
          <cell r="N486">
            <v>247.71</v>
          </cell>
        </row>
        <row r="487">
          <cell r="N487">
            <v>3093.3</v>
          </cell>
        </row>
        <row r="488">
          <cell r="N488">
            <v>810.9</v>
          </cell>
        </row>
        <row r="489">
          <cell r="N489">
            <v>152.05000000000001</v>
          </cell>
        </row>
        <row r="490">
          <cell r="N490">
            <v>2278.4</v>
          </cell>
        </row>
        <row r="491">
          <cell r="N491">
            <v>1067.9000000000001</v>
          </cell>
        </row>
        <row r="492">
          <cell r="N492">
            <v>285.95999999999998</v>
          </cell>
        </row>
        <row r="493">
          <cell r="N493">
            <v>366.47</v>
          </cell>
        </row>
        <row r="494">
          <cell r="N494">
            <v>1005.9</v>
          </cell>
        </row>
        <row r="495">
          <cell r="N495">
            <v>367.92</v>
          </cell>
        </row>
        <row r="496">
          <cell r="N496">
            <v>840.91</v>
          </cell>
        </row>
        <row r="497">
          <cell r="N497">
            <v>2119.1</v>
          </cell>
        </row>
        <row r="498">
          <cell r="N498">
            <v>1528.32</v>
          </cell>
        </row>
        <row r="499">
          <cell r="N499">
            <v>1341.64</v>
          </cell>
        </row>
        <row r="500">
          <cell r="N500">
            <v>1443.54</v>
          </cell>
        </row>
        <row r="501">
          <cell r="N501">
            <v>194.45</v>
          </cell>
        </row>
        <row r="502">
          <cell r="N502">
            <v>653.79999999999995</v>
          </cell>
        </row>
        <row r="503">
          <cell r="N503">
            <v>1504.98</v>
          </cell>
        </row>
        <row r="504">
          <cell r="N504">
            <v>382.68</v>
          </cell>
        </row>
        <row r="505">
          <cell r="N505">
            <v>162.47999999999999</v>
          </cell>
        </row>
        <row r="506">
          <cell r="N506">
            <v>208.28</v>
          </cell>
        </row>
        <row r="507">
          <cell r="N507">
            <v>776.22</v>
          </cell>
        </row>
        <row r="508">
          <cell r="N508">
            <v>612.65</v>
          </cell>
        </row>
        <row r="509">
          <cell r="N509">
            <v>197.2</v>
          </cell>
        </row>
        <row r="510">
          <cell r="N510">
            <v>1755.36</v>
          </cell>
        </row>
        <row r="511">
          <cell r="N511">
            <v>633.67999999999995</v>
          </cell>
        </row>
        <row r="512">
          <cell r="N512">
            <v>1029</v>
          </cell>
        </row>
        <row r="513">
          <cell r="N513">
            <v>2871.28</v>
          </cell>
        </row>
        <row r="514">
          <cell r="N514">
            <v>500.76</v>
          </cell>
        </row>
        <row r="515">
          <cell r="N515">
            <v>148.44</v>
          </cell>
        </row>
        <row r="516">
          <cell r="N516">
            <v>2238.84</v>
          </cell>
        </row>
        <row r="517">
          <cell r="N517">
            <v>2720.07</v>
          </cell>
        </row>
        <row r="518">
          <cell r="N518">
            <v>910.05</v>
          </cell>
        </row>
        <row r="519">
          <cell r="N519">
            <v>170.04</v>
          </cell>
        </row>
        <row r="520">
          <cell r="N520">
            <v>207.99</v>
          </cell>
        </row>
        <row r="521">
          <cell r="N521">
            <v>693.68</v>
          </cell>
        </row>
        <row r="522">
          <cell r="N522">
            <v>1185.8399999999999</v>
          </cell>
        </row>
        <row r="523">
          <cell r="N523">
            <v>315.75</v>
          </cell>
        </row>
        <row r="524">
          <cell r="N524">
            <v>662.58</v>
          </cell>
        </row>
        <row r="525">
          <cell r="N525">
            <v>561.89</v>
          </cell>
        </row>
        <row r="526">
          <cell r="N526">
            <v>370.08</v>
          </cell>
        </row>
        <row r="527">
          <cell r="N527">
            <v>657</v>
          </cell>
        </row>
        <row r="528">
          <cell r="N528">
            <v>615</v>
          </cell>
        </row>
        <row r="529">
          <cell r="N529">
            <v>1328.58</v>
          </cell>
        </row>
        <row r="530">
          <cell r="N530">
            <v>1181</v>
          </cell>
        </row>
        <row r="531">
          <cell r="N531">
            <v>2292</v>
          </cell>
        </row>
        <row r="532">
          <cell r="N532">
            <v>104.85</v>
          </cell>
        </row>
        <row r="533">
          <cell r="N533">
            <v>72.55</v>
          </cell>
        </row>
        <row r="534">
          <cell r="N534">
            <v>3130.1</v>
          </cell>
        </row>
        <row r="535">
          <cell r="N535">
            <v>1110</v>
          </cell>
        </row>
        <row r="536">
          <cell r="N536">
            <v>1619.68</v>
          </cell>
        </row>
        <row r="537">
          <cell r="N537">
            <v>449.37</v>
          </cell>
        </row>
        <row r="538">
          <cell r="N538">
            <v>229.84</v>
          </cell>
        </row>
        <row r="539">
          <cell r="N539">
            <v>509.96</v>
          </cell>
        </row>
        <row r="540">
          <cell r="N540">
            <v>168.2</v>
          </cell>
        </row>
        <row r="541">
          <cell r="N541">
            <v>1258.92</v>
          </cell>
        </row>
        <row r="542">
          <cell r="N542">
            <v>46.55</v>
          </cell>
        </row>
        <row r="543">
          <cell r="N543">
            <v>412.4</v>
          </cell>
        </row>
        <row r="544">
          <cell r="N544">
            <v>1197.57</v>
          </cell>
        </row>
        <row r="545">
          <cell r="N545">
            <v>237.99</v>
          </cell>
        </row>
        <row r="546">
          <cell r="N546">
            <v>1167.96</v>
          </cell>
        </row>
        <row r="547">
          <cell r="N547">
            <v>1450.1</v>
          </cell>
        </row>
        <row r="548">
          <cell r="N548">
            <v>2517.84</v>
          </cell>
        </row>
        <row r="549">
          <cell r="N549">
            <v>2615.83</v>
          </cell>
        </row>
        <row r="550">
          <cell r="N550">
            <v>60.07</v>
          </cell>
        </row>
        <row r="551">
          <cell r="N551">
            <v>1037.95</v>
          </cell>
        </row>
        <row r="552">
          <cell r="N552">
            <v>1084.77</v>
          </cell>
        </row>
        <row r="553">
          <cell r="N553">
            <v>266.73</v>
          </cell>
        </row>
        <row r="554">
          <cell r="N554">
            <v>2858.88</v>
          </cell>
        </row>
        <row r="555">
          <cell r="N555">
            <v>461.88</v>
          </cell>
        </row>
        <row r="556">
          <cell r="N556">
            <v>3949.1</v>
          </cell>
        </row>
        <row r="557">
          <cell r="N557">
            <v>321.2</v>
          </cell>
        </row>
        <row r="558">
          <cell r="N558">
            <v>827.36</v>
          </cell>
        </row>
        <row r="559">
          <cell r="N559">
            <v>72</v>
          </cell>
        </row>
        <row r="560">
          <cell r="N560">
            <v>215.47</v>
          </cell>
        </row>
        <row r="561">
          <cell r="N561">
            <v>1592.99</v>
          </cell>
        </row>
        <row r="562">
          <cell r="N562">
            <v>1833.16</v>
          </cell>
        </row>
        <row r="563">
          <cell r="N563">
            <v>1153.26</v>
          </cell>
        </row>
        <row r="564">
          <cell r="N564">
            <v>1025.1600000000001</v>
          </cell>
        </row>
        <row r="565">
          <cell r="N565">
            <v>2292.84</v>
          </cell>
        </row>
        <row r="566">
          <cell r="N566">
            <v>1335.88</v>
          </cell>
        </row>
        <row r="567">
          <cell r="N567">
            <v>2040</v>
          </cell>
        </row>
        <row r="568">
          <cell r="N568">
            <v>1787.31</v>
          </cell>
        </row>
        <row r="569">
          <cell r="N569">
            <v>1474.04</v>
          </cell>
        </row>
        <row r="570">
          <cell r="N570">
            <v>2711.1</v>
          </cell>
        </row>
        <row r="571">
          <cell r="N571">
            <v>397.26</v>
          </cell>
        </row>
        <row r="572">
          <cell r="N572">
            <v>2860</v>
          </cell>
        </row>
        <row r="573">
          <cell r="N573">
            <v>196.88</v>
          </cell>
        </row>
        <row r="574">
          <cell r="N574">
            <v>1177.1199999999999</v>
          </cell>
        </row>
        <row r="575">
          <cell r="N575">
            <v>251.16</v>
          </cell>
        </row>
        <row r="576">
          <cell r="N576">
            <v>1017.12</v>
          </cell>
        </row>
        <row r="577">
          <cell r="N577">
            <v>1663.08</v>
          </cell>
        </row>
        <row r="578">
          <cell r="N578">
            <v>3829.5</v>
          </cell>
        </row>
        <row r="579">
          <cell r="N579">
            <v>279.39999999999998</v>
          </cell>
        </row>
        <row r="580">
          <cell r="N580">
            <v>2879.3</v>
          </cell>
        </row>
        <row r="581">
          <cell r="N581">
            <v>1236.06</v>
          </cell>
        </row>
        <row r="582">
          <cell r="N582">
            <v>2954.52</v>
          </cell>
        </row>
        <row r="583">
          <cell r="N583">
            <v>2249.37</v>
          </cell>
        </row>
        <row r="584">
          <cell r="N584">
            <v>2791.81</v>
          </cell>
        </row>
        <row r="585">
          <cell r="N585">
            <v>3083.28</v>
          </cell>
        </row>
        <row r="586">
          <cell r="N586">
            <v>1273.0999999999999</v>
          </cell>
        </row>
        <row r="587">
          <cell r="N587">
            <v>1684.06</v>
          </cell>
        </row>
        <row r="588">
          <cell r="N588">
            <v>2003.49</v>
          </cell>
        </row>
        <row r="589">
          <cell r="N589">
            <v>1387.48</v>
          </cell>
        </row>
        <row r="590">
          <cell r="N590">
            <v>2148.64</v>
          </cell>
        </row>
        <row r="591">
          <cell r="N591">
            <v>836.2</v>
          </cell>
        </row>
        <row r="592">
          <cell r="N592">
            <v>205.45</v>
          </cell>
        </row>
        <row r="593">
          <cell r="N593">
            <v>409.6</v>
          </cell>
        </row>
        <row r="594">
          <cell r="N594">
            <v>107.19</v>
          </cell>
        </row>
        <row r="595">
          <cell r="N595">
            <v>1194.45</v>
          </cell>
        </row>
        <row r="596">
          <cell r="N596">
            <v>599.17999999999995</v>
          </cell>
        </row>
        <row r="597">
          <cell r="N597">
            <v>2340.84</v>
          </cell>
        </row>
        <row r="598">
          <cell r="N598">
            <v>1866.66</v>
          </cell>
        </row>
        <row r="599">
          <cell r="N599">
            <v>3997.4</v>
          </cell>
        </row>
        <row r="600">
          <cell r="N600">
            <v>917</v>
          </cell>
        </row>
        <row r="601">
          <cell r="N601">
            <v>468.3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Pivot Analysis"/>
      <sheetName val="Project Notes"/>
      <sheetName val="Formula Reference"/>
    </sheetNames>
    <sheetDataSet>
      <sheetData sheetId="0">
        <row r="2">
          <cell r="H2" t="str">
            <v>Gift Card</v>
          </cell>
          <cell r="L2" t="str">
            <v>Afternoon</v>
          </cell>
          <cell r="M2" t="str">
            <v>Saturday</v>
          </cell>
          <cell r="N2">
            <v>1092.6600000000001</v>
          </cell>
        </row>
        <row r="3">
          <cell r="H3" t="str">
            <v>Online</v>
          </cell>
          <cell r="L3" t="str">
            <v>Afternoon</v>
          </cell>
          <cell r="M3" t="str">
            <v>Thursday</v>
          </cell>
          <cell r="N3">
            <v>3462.66</v>
          </cell>
        </row>
        <row r="4">
          <cell r="H4" t="str">
            <v>Debit Card</v>
          </cell>
          <cell r="L4" t="str">
            <v>Evening</v>
          </cell>
          <cell r="M4" t="str">
            <v>Friday</v>
          </cell>
          <cell r="N4">
            <v>3580.2</v>
          </cell>
        </row>
        <row r="5">
          <cell r="H5" t="str">
            <v>Online</v>
          </cell>
          <cell r="L5" t="str">
            <v>Afternoon</v>
          </cell>
          <cell r="M5" t="str">
            <v>Saturday</v>
          </cell>
          <cell r="N5">
            <v>561.89</v>
          </cell>
        </row>
        <row r="6">
          <cell r="H6" t="str">
            <v>Gift Card</v>
          </cell>
          <cell r="L6" t="str">
            <v>Evening</v>
          </cell>
          <cell r="M6" t="str">
            <v>Monday</v>
          </cell>
          <cell r="N6">
            <v>2140.3000000000002</v>
          </cell>
        </row>
        <row r="7">
          <cell r="H7" t="str">
            <v>Cash</v>
          </cell>
          <cell r="L7" t="str">
            <v>Evening</v>
          </cell>
          <cell r="M7" t="str">
            <v>Thursday</v>
          </cell>
          <cell r="N7">
            <v>359.59</v>
          </cell>
        </row>
        <row r="8">
          <cell r="H8" t="str">
            <v>Debit Card</v>
          </cell>
          <cell r="L8" t="str">
            <v>Morning</v>
          </cell>
          <cell r="M8" t="str">
            <v>Sunday</v>
          </cell>
          <cell r="N8">
            <v>74.88</v>
          </cell>
        </row>
        <row r="9">
          <cell r="H9" t="str">
            <v>Cash</v>
          </cell>
          <cell r="L9" t="str">
            <v>Evening</v>
          </cell>
          <cell r="M9" t="str">
            <v>Sunday</v>
          </cell>
          <cell r="N9">
            <v>377.86</v>
          </cell>
        </row>
        <row r="10">
          <cell r="H10" t="str">
            <v>Credit Card</v>
          </cell>
          <cell r="L10" t="str">
            <v>Afternoon</v>
          </cell>
          <cell r="M10" t="str">
            <v>Friday</v>
          </cell>
          <cell r="N10">
            <v>202.95</v>
          </cell>
        </row>
        <row r="11">
          <cell r="H11" t="str">
            <v>Online</v>
          </cell>
          <cell r="L11" t="str">
            <v>Evening</v>
          </cell>
          <cell r="M11" t="str">
            <v>Friday</v>
          </cell>
          <cell r="N11">
            <v>710.19999999999993</v>
          </cell>
        </row>
        <row r="12">
          <cell r="H12" t="str">
            <v>Online</v>
          </cell>
          <cell r="L12" t="str">
            <v>Evening</v>
          </cell>
          <cell r="M12" t="str">
            <v>Wednesday</v>
          </cell>
          <cell r="N12">
            <v>780.16</v>
          </cell>
        </row>
        <row r="13">
          <cell r="H13" t="str">
            <v>Online</v>
          </cell>
          <cell r="L13" t="str">
            <v>Afternoon</v>
          </cell>
          <cell r="M13" t="str">
            <v>Friday</v>
          </cell>
          <cell r="N13">
            <v>461.92</v>
          </cell>
        </row>
        <row r="14">
          <cell r="H14" t="str">
            <v>Gift Card</v>
          </cell>
          <cell r="L14" t="str">
            <v>Evening</v>
          </cell>
          <cell r="M14" t="str">
            <v>Friday</v>
          </cell>
          <cell r="N14">
            <v>1610.8</v>
          </cell>
        </row>
        <row r="15">
          <cell r="H15" t="str">
            <v>Debit Card</v>
          </cell>
          <cell r="L15" t="str">
            <v>Afternoon</v>
          </cell>
          <cell r="M15" t="str">
            <v>Tuesday</v>
          </cell>
          <cell r="N15">
            <v>409.6</v>
          </cell>
        </row>
        <row r="16">
          <cell r="H16" t="str">
            <v>Credit Card</v>
          </cell>
          <cell r="L16" t="str">
            <v>Morning</v>
          </cell>
          <cell r="M16" t="str">
            <v>Friday</v>
          </cell>
          <cell r="N16">
            <v>88.74</v>
          </cell>
        </row>
        <row r="17">
          <cell r="H17" t="str">
            <v>Debit Card</v>
          </cell>
          <cell r="L17" t="str">
            <v>Evening</v>
          </cell>
          <cell r="M17" t="str">
            <v>Thursday</v>
          </cell>
          <cell r="N17">
            <v>1810.15</v>
          </cell>
        </row>
        <row r="18">
          <cell r="H18" t="str">
            <v>Debit Card</v>
          </cell>
          <cell r="L18" t="str">
            <v>Morning</v>
          </cell>
          <cell r="M18" t="str">
            <v>Sunday</v>
          </cell>
          <cell r="N18">
            <v>80.34</v>
          </cell>
        </row>
        <row r="19">
          <cell r="H19" t="str">
            <v>Credit Card</v>
          </cell>
          <cell r="L19" t="str">
            <v>Evening</v>
          </cell>
          <cell r="M19" t="str">
            <v>Saturday</v>
          </cell>
          <cell r="N19">
            <v>35.849999999999987</v>
          </cell>
        </row>
        <row r="20">
          <cell r="H20" t="str">
            <v>Credit Card</v>
          </cell>
          <cell r="L20" t="str">
            <v>Afternoon</v>
          </cell>
          <cell r="M20" t="str">
            <v>Friday</v>
          </cell>
          <cell r="N20">
            <v>801.18000000000006</v>
          </cell>
        </row>
        <row r="21">
          <cell r="H21" t="str">
            <v>Debit Card</v>
          </cell>
          <cell r="L21" t="str">
            <v>Evening</v>
          </cell>
          <cell r="M21" t="str">
            <v>Wednesday</v>
          </cell>
          <cell r="N21">
            <v>891.42</v>
          </cell>
        </row>
        <row r="22">
          <cell r="H22" t="str">
            <v>Cash</v>
          </cell>
          <cell r="L22" t="str">
            <v>Morning</v>
          </cell>
          <cell r="M22" t="str">
            <v>Monday</v>
          </cell>
          <cell r="N22">
            <v>1442.28</v>
          </cell>
        </row>
        <row r="23">
          <cell r="H23" t="str">
            <v>Gift Card</v>
          </cell>
          <cell r="L23" t="str">
            <v>Afternoon</v>
          </cell>
          <cell r="M23" t="str">
            <v>Sunday</v>
          </cell>
          <cell r="N23">
            <v>2319.92</v>
          </cell>
        </row>
        <row r="24">
          <cell r="H24" t="str">
            <v>Online</v>
          </cell>
          <cell r="L24" t="str">
            <v>Evening</v>
          </cell>
          <cell r="M24" t="str">
            <v>Monday</v>
          </cell>
          <cell r="N24">
            <v>78.56</v>
          </cell>
        </row>
        <row r="25">
          <cell r="H25" t="str">
            <v>Online</v>
          </cell>
          <cell r="L25" t="str">
            <v>Evening</v>
          </cell>
          <cell r="M25" t="str">
            <v>Friday</v>
          </cell>
          <cell r="N25">
            <v>1708.4</v>
          </cell>
        </row>
        <row r="26">
          <cell r="H26" t="str">
            <v>Cash</v>
          </cell>
          <cell r="L26" t="str">
            <v>Morning</v>
          </cell>
          <cell r="M26" t="str">
            <v>Tuesday</v>
          </cell>
          <cell r="N26">
            <v>1737.25</v>
          </cell>
        </row>
        <row r="27">
          <cell r="H27" t="str">
            <v>Online</v>
          </cell>
          <cell r="L27" t="str">
            <v>Evening</v>
          </cell>
          <cell r="M27" t="str">
            <v>Tuesday</v>
          </cell>
          <cell r="N27">
            <v>2238.84</v>
          </cell>
        </row>
        <row r="28">
          <cell r="H28" t="str">
            <v>Online</v>
          </cell>
          <cell r="L28" t="str">
            <v>Evening</v>
          </cell>
          <cell r="M28" t="str">
            <v>Monday</v>
          </cell>
          <cell r="N28">
            <v>509.96</v>
          </cell>
        </row>
        <row r="29">
          <cell r="H29" t="str">
            <v>Debit Card</v>
          </cell>
          <cell r="L29" t="str">
            <v>Evening</v>
          </cell>
          <cell r="M29" t="str">
            <v>Monday</v>
          </cell>
          <cell r="N29">
            <v>658.8</v>
          </cell>
        </row>
        <row r="30">
          <cell r="H30" t="str">
            <v>Cash</v>
          </cell>
          <cell r="L30" t="str">
            <v>Evening</v>
          </cell>
          <cell r="M30" t="str">
            <v>Thursday</v>
          </cell>
          <cell r="N30">
            <v>1866.66</v>
          </cell>
        </row>
        <row r="31">
          <cell r="H31" t="str">
            <v>Gift Card</v>
          </cell>
          <cell r="L31" t="str">
            <v>Afternoon</v>
          </cell>
          <cell r="M31" t="str">
            <v>Tuesday</v>
          </cell>
          <cell r="N31">
            <v>205.45</v>
          </cell>
        </row>
        <row r="32">
          <cell r="H32" t="str">
            <v>Gift Card</v>
          </cell>
          <cell r="L32" t="str">
            <v>Morning</v>
          </cell>
          <cell r="M32" t="str">
            <v>Thursday</v>
          </cell>
          <cell r="N32">
            <v>1163.7</v>
          </cell>
        </row>
        <row r="33">
          <cell r="H33" t="str">
            <v>Credit Card</v>
          </cell>
          <cell r="L33" t="str">
            <v>Afternoon</v>
          </cell>
          <cell r="M33" t="str">
            <v>Wednesday</v>
          </cell>
          <cell r="N33">
            <v>177.74</v>
          </cell>
        </row>
        <row r="34">
          <cell r="H34" t="str">
            <v>Debit Card</v>
          </cell>
          <cell r="L34" t="str">
            <v>Evening</v>
          </cell>
          <cell r="M34" t="str">
            <v>Friday</v>
          </cell>
          <cell r="N34">
            <v>152.05000000000001</v>
          </cell>
        </row>
        <row r="35">
          <cell r="H35" t="str">
            <v>Gift Card</v>
          </cell>
          <cell r="L35" t="str">
            <v>Morning</v>
          </cell>
          <cell r="M35" t="str">
            <v>Tuesday</v>
          </cell>
          <cell r="N35">
            <v>977.06000000000006</v>
          </cell>
        </row>
        <row r="36">
          <cell r="H36" t="str">
            <v>Debit Card</v>
          </cell>
          <cell r="L36" t="str">
            <v>Evening</v>
          </cell>
          <cell r="M36" t="str">
            <v>Thursday</v>
          </cell>
          <cell r="N36">
            <v>728.49</v>
          </cell>
        </row>
        <row r="37">
          <cell r="H37" t="str">
            <v>Debit Card</v>
          </cell>
          <cell r="L37" t="str">
            <v>Afternoon</v>
          </cell>
          <cell r="M37" t="str">
            <v>Friday</v>
          </cell>
          <cell r="N37">
            <v>1534.16</v>
          </cell>
        </row>
        <row r="38">
          <cell r="H38" t="str">
            <v>Gift Card</v>
          </cell>
          <cell r="L38" t="str">
            <v>Afternoon</v>
          </cell>
          <cell r="M38" t="str">
            <v>Tuesday</v>
          </cell>
          <cell r="N38">
            <v>1005.9</v>
          </cell>
        </row>
        <row r="39">
          <cell r="H39" t="str">
            <v>Gift Card</v>
          </cell>
          <cell r="L39" t="str">
            <v>Evening</v>
          </cell>
          <cell r="M39" t="str">
            <v>Sunday</v>
          </cell>
          <cell r="N39">
            <v>2432.88</v>
          </cell>
        </row>
        <row r="40">
          <cell r="H40" t="str">
            <v>Debit Card</v>
          </cell>
          <cell r="L40" t="str">
            <v>Evening</v>
          </cell>
          <cell r="M40" t="str">
            <v>Thursday</v>
          </cell>
          <cell r="N40">
            <v>1025.1600000000001</v>
          </cell>
        </row>
        <row r="41">
          <cell r="H41" t="str">
            <v>Gift Card</v>
          </cell>
          <cell r="L41" t="str">
            <v>Afternoon</v>
          </cell>
          <cell r="M41" t="str">
            <v>Friday</v>
          </cell>
          <cell r="N41">
            <v>314.48</v>
          </cell>
        </row>
        <row r="42">
          <cell r="H42" t="str">
            <v>Online</v>
          </cell>
          <cell r="L42" t="str">
            <v>Evening</v>
          </cell>
          <cell r="M42" t="str">
            <v>Saturday</v>
          </cell>
          <cell r="N42">
            <v>695.42</v>
          </cell>
        </row>
        <row r="43">
          <cell r="H43" t="str">
            <v>Cash</v>
          </cell>
          <cell r="L43" t="str">
            <v>Afternoon</v>
          </cell>
          <cell r="M43" t="str">
            <v>Thursday</v>
          </cell>
          <cell r="N43">
            <v>315.3</v>
          </cell>
        </row>
        <row r="44">
          <cell r="H44" t="str">
            <v>Credit Card</v>
          </cell>
          <cell r="L44" t="str">
            <v>Evening</v>
          </cell>
          <cell r="M44" t="str">
            <v>Friday</v>
          </cell>
          <cell r="N44">
            <v>938.16</v>
          </cell>
        </row>
        <row r="45">
          <cell r="H45" t="str">
            <v>Cash</v>
          </cell>
          <cell r="L45" t="str">
            <v>Afternoon</v>
          </cell>
          <cell r="M45" t="str">
            <v>Sunday</v>
          </cell>
          <cell r="N45">
            <v>86.84</v>
          </cell>
        </row>
        <row r="46">
          <cell r="H46" t="str">
            <v>Gift Card</v>
          </cell>
          <cell r="L46" t="str">
            <v>Afternoon</v>
          </cell>
          <cell r="M46" t="str">
            <v>Wednesday</v>
          </cell>
          <cell r="N46">
            <v>1372.3</v>
          </cell>
        </row>
        <row r="47">
          <cell r="H47" t="str">
            <v>Gift Card</v>
          </cell>
          <cell r="L47" t="str">
            <v>Evening</v>
          </cell>
          <cell r="M47" t="str">
            <v>Friday</v>
          </cell>
          <cell r="N47">
            <v>873.32</v>
          </cell>
        </row>
        <row r="48">
          <cell r="H48" t="str">
            <v>Online</v>
          </cell>
          <cell r="L48" t="str">
            <v>Evening</v>
          </cell>
          <cell r="M48" t="str">
            <v>Monday</v>
          </cell>
          <cell r="N48">
            <v>266.73</v>
          </cell>
        </row>
        <row r="49">
          <cell r="H49" t="str">
            <v>Online</v>
          </cell>
          <cell r="L49" t="str">
            <v>Morning</v>
          </cell>
          <cell r="M49" t="str">
            <v>Tuesday</v>
          </cell>
          <cell r="N49">
            <v>827.36</v>
          </cell>
        </row>
        <row r="50">
          <cell r="H50" t="str">
            <v>Cash</v>
          </cell>
          <cell r="L50" t="str">
            <v>Evening</v>
          </cell>
          <cell r="M50" t="str">
            <v>Friday</v>
          </cell>
          <cell r="N50">
            <v>209.8</v>
          </cell>
        </row>
        <row r="51">
          <cell r="H51" t="str">
            <v>Credit Card</v>
          </cell>
          <cell r="L51" t="str">
            <v>Evening</v>
          </cell>
          <cell r="M51" t="str">
            <v>Monday</v>
          </cell>
          <cell r="N51">
            <v>120.27</v>
          </cell>
        </row>
        <row r="52">
          <cell r="H52" t="str">
            <v>Cash</v>
          </cell>
          <cell r="L52" t="str">
            <v>Afternoon</v>
          </cell>
          <cell r="M52" t="str">
            <v>Friday</v>
          </cell>
          <cell r="N52">
            <v>84.98</v>
          </cell>
        </row>
        <row r="53">
          <cell r="H53" t="str">
            <v>Debit Card</v>
          </cell>
          <cell r="L53" t="str">
            <v>Afternoon</v>
          </cell>
          <cell r="M53" t="str">
            <v>Wednesday</v>
          </cell>
          <cell r="N53">
            <v>449.91</v>
          </cell>
        </row>
        <row r="54">
          <cell r="H54" t="str">
            <v>Gift Card</v>
          </cell>
          <cell r="L54" t="str">
            <v>Afternoon</v>
          </cell>
          <cell r="M54" t="str">
            <v>Monday</v>
          </cell>
          <cell r="N54">
            <v>201.06</v>
          </cell>
        </row>
        <row r="55">
          <cell r="H55" t="str">
            <v>Gift Card</v>
          </cell>
          <cell r="L55" t="str">
            <v>Evening</v>
          </cell>
          <cell r="M55" t="str">
            <v>Wednesday</v>
          </cell>
          <cell r="N55">
            <v>33.880000000000003</v>
          </cell>
        </row>
        <row r="56">
          <cell r="H56" t="str">
            <v>Debit Card</v>
          </cell>
          <cell r="L56" t="str">
            <v>Evening</v>
          </cell>
          <cell r="M56" t="str">
            <v>Saturday</v>
          </cell>
          <cell r="N56">
            <v>910.05000000000007</v>
          </cell>
        </row>
        <row r="57">
          <cell r="H57" t="str">
            <v>Credit Card</v>
          </cell>
          <cell r="L57" t="str">
            <v>Afternoon</v>
          </cell>
          <cell r="M57" t="str">
            <v>Monday</v>
          </cell>
          <cell r="N57">
            <v>711.13</v>
          </cell>
        </row>
        <row r="58">
          <cell r="H58" t="str">
            <v>Gift Card</v>
          </cell>
          <cell r="L58" t="str">
            <v>Evening</v>
          </cell>
          <cell r="M58" t="str">
            <v>Saturday</v>
          </cell>
          <cell r="N58">
            <v>263.81</v>
          </cell>
        </row>
        <row r="59">
          <cell r="H59" t="str">
            <v>Online</v>
          </cell>
          <cell r="L59" t="str">
            <v>Evening</v>
          </cell>
          <cell r="M59" t="str">
            <v>Saturday</v>
          </cell>
          <cell r="N59">
            <v>382.68</v>
          </cell>
        </row>
        <row r="60">
          <cell r="H60" t="str">
            <v>Debit Card</v>
          </cell>
          <cell r="L60" t="str">
            <v>Evening</v>
          </cell>
          <cell r="M60" t="str">
            <v>Monday</v>
          </cell>
          <cell r="N60">
            <v>2059.19</v>
          </cell>
        </row>
        <row r="61">
          <cell r="H61" t="str">
            <v>Debit Card</v>
          </cell>
          <cell r="L61" t="str">
            <v>Afternoon</v>
          </cell>
          <cell r="M61" t="str">
            <v>Thursday</v>
          </cell>
          <cell r="N61">
            <v>2029.5</v>
          </cell>
        </row>
        <row r="62">
          <cell r="H62" t="str">
            <v>Debit Card</v>
          </cell>
          <cell r="L62" t="str">
            <v>Afternoon</v>
          </cell>
          <cell r="M62" t="str">
            <v>Tuesday</v>
          </cell>
          <cell r="N62">
            <v>2292</v>
          </cell>
        </row>
        <row r="63">
          <cell r="H63" t="str">
            <v>Gift Card</v>
          </cell>
          <cell r="L63" t="str">
            <v>Evening</v>
          </cell>
          <cell r="M63" t="str">
            <v>Sunday</v>
          </cell>
          <cell r="N63">
            <v>1547.77</v>
          </cell>
        </row>
        <row r="64">
          <cell r="H64" t="str">
            <v>Cash</v>
          </cell>
          <cell r="L64" t="str">
            <v>Evening</v>
          </cell>
          <cell r="M64" t="str">
            <v>Wednesday</v>
          </cell>
          <cell r="N64">
            <v>735.76</v>
          </cell>
        </row>
        <row r="65">
          <cell r="H65" t="str">
            <v>Credit Card</v>
          </cell>
          <cell r="L65" t="str">
            <v>Afternoon</v>
          </cell>
          <cell r="M65" t="str">
            <v>Wednesday</v>
          </cell>
          <cell r="N65">
            <v>2716.14</v>
          </cell>
        </row>
        <row r="66">
          <cell r="H66" t="str">
            <v>Online</v>
          </cell>
          <cell r="L66" t="str">
            <v>Evening</v>
          </cell>
          <cell r="M66" t="str">
            <v>Wednesday</v>
          </cell>
          <cell r="N66">
            <v>609.6</v>
          </cell>
        </row>
        <row r="67">
          <cell r="H67" t="str">
            <v>Cash</v>
          </cell>
          <cell r="L67" t="str">
            <v>Evening</v>
          </cell>
          <cell r="M67" t="str">
            <v>Thursday</v>
          </cell>
          <cell r="N67">
            <v>3063.7</v>
          </cell>
        </row>
        <row r="68">
          <cell r="H68" t="str">
            <v>Debit Card</v>
          </cell>
          <cell r="L68" t="str">
            <v>Afternoon</v>
          </cell>
          <cell r="M68" t="str">
            <v>Tuesday</v>
          </cell>
          <cell r="N68">
            <v>2416</v>
          </cell>
        </row>
        <row r="69">
          <cell r="H69" t="str">
            <v>Gift Card</v>
          </cell>
          <cell r="L69" t="str">
            <v>Evening</v>
          </cell>
          <cell r="M69" t="str">
            <v>Monday</v>
          </cell>
          <cell r="N69">
            <v>2834.32</v>
          </cell>
        </row>
        <row r="70">
          <cell r="H70" t="str">
            <v>Debit Card</v>
          </cell>
          <cell r="L70" t="str">
            <v>Morning</v>
          </cell>
          <cell r="M70" t="str">
            <v>Thursday</v>
          </cell>
          <cell r="N70">
            <v>532.04</v>
          </cell>
        </row>
        <row r="71">
          <cell r="H71" t="str">
            <v>Gift Card</v>
          </cell>
          <cell r="L71" t="str">
            <v>Evening</v>
          </cell>
          <cell r="M71" t="str">
            <v>Tuesday</v>
          </cell>
          <cell r="N71">
            <v>72.55</v>
          </cell>
        </row>
        <row r="72">
          <cell r="H72" t="str">
            <v>Debit Card</v>
          </cell>
          <cell r="L72" t="str">
            <v>Morning</v>
          </cell>
          <cell r="M72" t="str">
            <v>Thursday</v>
          </cell>
          <cell r="N72">
            <v>1605.12</v>
          </cell>
        </row>
        <row r="73">
          <cell r="H73" t="str">
            <v>Debit Card</v>
          </cell>
          <cell r="L73" t="str">
            <v>Evening</v>
          </cell>
          <cell r="M73" t="str">
            <v>Tuesday</v>
          </cell>
          <cell r="N73">
            <v>1486.05</v>
          </cell>
        </row>
        <row r="74">
          <cell r="H74" t="str">
            <v>Cash</v>
          </cell>
          <cell r="L74" t="str">
            <v>Afternoon</v>
          </cell>
          <cell r="M74" t="str">
            <v>Monday</v>
          </cell>
          <cell r="N74">
            <v>342.6</v>
          </cell>
        </row>
        <row r="75">
          <cell r="H75" t="str">
            <v>Credit Card</v>
          </cell>
          <cell r="L75" t="str">
            <v>Afternoon</v>
          </cell>
          <cell r="M75" t="str">
            <v>Sunday</v>
          </cell>
          <cell r="N75">
            <v>1425.33</v>
          </cell>
        </row>
        <row r="76">
          <cell r="H76" t="str">
            <v>Online</v>
          </cell>
          <cell r="L76" t="str">
            <v>Evening</v>
          </cell>
          <cell r="M76" t="str">
            <v>Saturday</v>
          </cell>
          <cell r="N76">
            <v>588.18000000000006</v>
          </cell>
        </row>
        <row r="77">
          <cell r="H77" t="str">
            <v>Credit Card</v>
          </cell>
          <cell r="L77" t="str">
            <v>Evening</v>
          </cell>
          <cell r="M77" t="str">
            <v>Wednesday</v>
          </cell>
          <cell r="N77">
            <v>334.88</v>
          </cell>
        </row>
        <row r="78">
          <cell r="H78" t="str">
            <v>Debit Card</v>
          </cell>
          <cell r="L78" t="str">
            <v>Morning</v>
          </cell>
          <cell r="M78" t="str">
            <v>Thursday</v>
          </cell>
          <cell r="N78">
            <v>2529.17</v>
          </cell>
        </row>
        <row r="79">
          <cell r="H79" t="str">
            <v>Credit Card</v>
          </cell>
          <cell r="L79" t="str">
            <v>Afternoon</v>
          </cell>
          <cell r="M79" t="str">
            <v>Tuesday</v>
          </cell>
          <cell r="N79">
            <v>1387.48</v>
          </cell>
        </row>
        <row r="80">
          <cell r="H80" t="str">
            <v>Gift Card</v>
          </cell>
          <cell r="L80" t="str">
            <v>Morning</v>
          </cell>
          <cell r="M80" t="str">
            <v>Tuesday</v>
          </cell>
          <cell r="N80">
            <v>420.93</v>
          </cell>
        </row>
        <row r="81">
          <cell r="H81" t="str">
            <v>Credit Card</v>
          </cell>
          <cell r="L81" t="str">
            <v>Evening</v>
          </cell>
          <cell r="M81" t="str">
            <v>Tuesday</v>
          </cell>
          <cell r="N81">
            <v>836.2</v>
          </cell>
        </row>
        <row r="82">
          <cell r="H82" t="str">
            <v>Cash</v>
          </cell>
          <cell r="L82" t="str">
            <v>Evening</v>
          </cell>
          <cell r="M82" t="str">
            <v>Saturday</v>
          </cell>
          <cell r="N82">
            <v>1557.81</v>
          </cell>
        </row>
        <row r="83">
          <cell r="H83" t="str">
            <v>Cash</v>
          </cell>
          <cell r="L83" t="str">
            <v>Evening</v>
          </cell>
          <cell r="M83" t="str">
            <v>Friday</v>
          </cell>
          <cell r="N83">
            <v>471.52</v>
          </cell>
        </row>
        <row r="84">
          <cell r="H84" t="str">
            <v>Credit Card</v>
          </cell>
          <cell r="L84" t="str">
            <v>Afternoon</v>
          </cell>
          <cell r="M84" t="str">
            <v>Monday</v>
          </cell>
          <cell r="N84">
            <v>1595.25</v>
          </cell>
        </row>
        <row r="85">
          <cell r="H85" t="str">
            <v>Debit Card</v>
          </cell>
          <cell r="L85" t="str">
            <v>Afternoon</v>
          </cell>
          <cell r="M85" t="str">
            <v>Thursday</v>
          </cell>
          <cell r="N85">
            <v>43.92</v>
          </cell>
        </row>
        <row r="86">
          <cell r="H86" t="str">
            <v>Gift Card</v>
          </cell>
          <cell r="L86" t="str">
            <v>Morning</v>
          </cell>
          <cell r="M86" t="str">
            <v>Tuesday</v>
          </cell>
          <cell r="N86">
            <v>52.64</v>
          </cell>
        </row>
        <row r="87">
          <cell r="H87" t="str">
            <v>Gift Card</v>
          </cell>
          <cell r="L87" t="str">
            <v>Morning</v>
          </cell>
          <cell r="M87" t="str">
            <v>Saturday</v>
          </cell>
          <cell r="N87">
            <v>61.14</v>
          </cell>
        </row>
        <row r="88">
          <cell r="H88" t="str">
            <v>Online</v>
          </cell>
          <cell r="L88" t="str">
            <v>Morning</v>
          </cell>
          <cell r="M88" t="str">
            <v>Friday</v>
          </cell>
          <cell r="N88">
            <v>1401.32</v>
          </cell>
        </row>
        <row r="89">
          <cell r="H89" t="str">
            <v>Credit Card</v>
          </cell>
          <cell r="L89" t="str">
            <v>Evening</v>
          </cell>
          <cell r="M89" t="str">
            <v>Saturday</v>
          </cell>
          <cell r="N89">
            <v>1216.3800000000001</v>
          </cell>
        </row>
        <row r="90">
          <cell r="H90" t="str">
            <v>Credit Card</v>
          </cell>
          <cell r="L90" t="str">
            <v>Morning</v>
          </cell>
          <cell r="M90" t="str">
            <v>Tuesday</v>
          </cell>
          <cell r="N90">
            <v>461.88</v>
          </cell>
        </row>
        <row r="91">
          <cell r="H91" t="str">
            <v>Cash</v>
          </cell>
          <cell r="L91" t="str">
            <v>Evening</v>
          </cell>
          <cell r="M91" t="str">
            <v>Thursday</v>
          </cell>
          <cell r="N91">
            <v>1858.2</v>
          </cell>
        </row>
        <row r="92">
          <cell r="H92" t="str">
            <v>Cash</v>
          </cell>
          <cell r="L92" t="str">
            <v>Evening</v>
          </cell>
          <cell r="M92" t="str">
            <v>Friday</v>
          </cell>
          <cell r="N92">
            <v>752.43</v>
          </cell>
        </row>
        <row r="93">
          <cell r="H93" t="str">
            <v>Credit Card</v>
          </cell>
          <cell r="L93" t="str">
            <v>Afternoon</v>
          </cell>
          <cell r="M93" t="str">
            <v>Tuesday</v>
          </cell>
          <cell r="N93">
            <v>884.09999999999991</v>
          </cell>
        </row>
        <row r="94">
          <cell r="H94" t="str">
            <v>Gift Card</v>
          </cell>
          <cell r="L94" t="str">
            <v>Evening</v>
          </cell>
          <cell r="M94" t="str">
            <v>Tuesday</v>
          </cell>
          <cell r="N94">
            <v>2478.56</v>
          </cell>
        </row>
        <row r="95">
          <cell r="H95" t="str">
            <v>Credit Card</v>
          </cell>
          <cell r="L95" t="str">
            <v>Evening</v>
          </cell>
          <cell r="M95" t="str">
            <v>Wednesday</v>
          </cell>
          <cell r="N95">
            <v>801.66000000000008</v>
          </cell>
        </row>
        <row r="96">
          <cell r="H96" t="str">
            <v>Gift Card</v>
          </cell>
          <cell r="L96" t="str">
            <v>Evening</v>
          </cell>
          <cell r="M96" t="str">
            <v>Tuesday</v>
          </cell>
          <cell r="N96">
            <v>1335.88</v>
          </cell>
        </row>
        <row r="97">
          <cell r="H97" t="str">
            <v>Online</v>
          </cell>
          <cell r="L97" t="str">
            <v>Afternoon</v>
          </cell>
          <cell r="M97" t="str">
            <v>Friday</v>
          </cell>
          <cell r="N97">
            <v>1194.45</v>
          </cell>
        </row>
        <row r="98">
          <cell r="H98" t="str">
            <v>Cash</v>
          </cell>
          <cell r="L98" t="str">
            <v>Evening</v>
          </cell>
          <cell r="M98" t="str">
            <v>Tuesday</v>
          </cell>
          <cell r="N98">
            <v>90.56</v>
          </cell>
        </row>
        <row r="99">
          <cell r="H99" t="str">
            <v>Credit Card</v>
          </cell>
          <cell r="L99" t="str">
            <v>Afternoon</v>
          </cell>
          <cell r="M99" t="str">
            <v>Friday</v>
          </cell>
          <cell r="N99">
            <v>835.92</v>
          </cell>
        </row>
        <row r="100">
          <cell r="H100" t="str">
            <v>Gift Card</v>
          </cell>
          <cell r="L100" t="str">
            <v>Morning</v>
          </cell>
          <cell r="M100" t="str">
            <v>Tuesday</v>
          </cell>
          <cell r="N100">
            <v>2515.0300000000002</v>
          </cell>
        </row>
        <row r="101">
          <cell r="H101" t="str">
            <v>Online</v>
          </cell>
          <cell r="L101" t="str">
            <v>Afternoon</v>
          </cell>
          <cell r="M101" t="str">
            <v>Friday</v>
          </cell>
          <cell r="N101">
            <v>160.26</v>
          </cell>
        </row>
        <row r="102">
          <cell r="H102" t="str">
            <v>Credit Card</v>
          </cell>
          <cell r="L102" t="str">
            <v>Afternoon</v>
          </cell>
          <cell r="M102" t="str">
            <v>Wednesday</v>
          </cell>
          <cell r="N102">
            <v>1763.19</v>
          </cell>
        </row>
        <row r="103">
          <cell r="H103" t="str">
            <v>Debit Card</v>
          </cell>
          <cell r="L103" t="str">
            <v>Morning</v>
          </cell>
          <cell r="M103" t="str">
            <v>Thursday</v>
          </cell>
          <cell r="N103">
            <v>546.79999999999995</v>
          </cell>
        </row>
        <row r="104">
          <cell r="H104" t="str">
            <v>Debit Card</v>
          </cell>
          <cell r="L104" t="str">
            <v>Evening</v>
          </cell>
          <cell r="M104" t="str">
            <v>Monday</v>
          </cell>
          <cell r="N104">
            <v>392.8</v>
          </cell>
        </row>
        <row r="105">
          <cell r="H105" t="str">
            <v>Online</v>
          </cell>
          <cell r="L105" t="str">
            <v>Morning</v>
          </cell>
          <cell r="M105" t="str">
            <v>Friday</v>
          </cell>
          <cell r="N105">
            <v>165.68</v>
          </cell>
        </row>
        <row r="106">
          <cell r="H106" t="str">
            <v>Credit Card</v>
          </cell>
          <cell r="L106" t="str">
            <v>Afternoon</v>
          </cell>
          <cell r="M106" t="str">
            <v>Tuesday</v>
          </cell>
          <cell r="N106">
            <v>2119.1</v>
          </cell>
        </row>
        <row r="107">
          <cell r="H107" t="str">
            <v>Gift Card</v>
          </cell>
          <cell r="L107" t="str">
            <v>Morning</v>
          </cell>
          <cell r="M107" t="str">
            <v>Thursday</v>
          </cell>
          <cell r="N107">
            <v>655.38</v>
          </cell>
        </row>
        <row r="108">
          <cell r="H108" t="str">
            <v>Debit Card</v>
          </cell>
          <cell r="L108" t="str">
            <v>Morning</v>
          </cell>
          <cell r="M108" t="str">
            <v>Monday</v>
          </cell>
          <cell r="N108">
            <v>1341.64</v>
          </cell>
        </row>
        <row r="109">
          <cell r="H109" t="str">
            <v>Cash</v>
          </cell>
          <cell r="L109" t="str">
            <v>Evening</v>
          </cell>
          <cell r="M109" t="str">
            <v>Saturday</v>
          </cell>
          <cell r="N109">
            <v>1185.8399999999999</v>
          </cell>
        </row>
        <row r="110">
          <cell r="H110" t="str">
            <v>Gift Card</v>
          </cell>
          <cell r="L110" t="str">
            <v>Evening</v>
          </cell>
          <cell r="M110" t="str">
            <v>Wednesday</v>
          </cell>
          <cell r="N110">
            <v>215.47</v>
          </cell>
        </row>
        <row r="111">
          <cell r="H111" t="str">
            <v>Cash</v>
          </cell>
          <cell r="L111" t="str">
            <v>Afternoon</v>
          </cell>
          <cell r="M111" t="str">
            <v>Saturday</v>
          </cell>
          <cell r="N111">
            <v>1167.96</v>
          </cell>
        </row>
        <row r="112">
          <cell r="H112" t="str">
            <v>Online</v>
          </cell>
          <cell r="L112" t="str">
            <v>Morning</v>
          </cell>
          <cell r="M112" t="str">
            <v>Friday</v>
          </cell>
          <cell r="N112">
            <v>308.26</v>
          </cell>
        </row>
        <row r="113">
          <cell r="H113" t="str">
            <v>Debit Card</v>
          </cell>
          <cell r="L113" t="str">
            <v>Afternoon</v>
          </cell>
          <cell r="M113" t="str">
            <v>Sunday</v>
          </cell>
          <cell r="N113">
            <v>833.04</v>
          </cell>
        </row>
        <row r="114">
          <cell r="H114" t="str">
            <v>Debit Card</v>
          </cell>
          <cell r="L114" t="str">
            <v>Morning</v>
          </cell>
          <cell r="M114" t="str">
            <v>Friday</v>
          </cell>
          <cell r="N114">
            <v>2791.81</v>
          </cell>
        </row>
        <row r="115">
          <cell r="H115" t="str">
            <v>Gift Card</v>
          </cell>
          <cell r="L115" t="str">
            <v>Evening</v>
          </cell>
          <cell r="M115" t="str">
            <v>Tuesday</v>
          </cell>
          <cell r="N115">
            <v>368.76</v>
          </cell>
        </row>
        <row r="116">
          <cell r="H116" t="str">
            <v>Online</v>
          </cell>
          <cell r="L116" t="str">
            <v>Morning</v>
          </cell>
          <cell r="M116" t="str">
            <v>Wednesday</v>
          </cell>
          <cell r="N116">
            <v>659.84</v>
          </cell>
        </row>
        <row r="117">
          <cell r="H117" t="str">
            <v>Online</v>
          </cell>
          <cell r="L117" t="str">
            <v>Evening</v>
          </cell>
          <cell r="M117" t="str">
            <v>Thursday</v>
          </cell>
          <cell r="N117">
            <v>3466.2</v>
          </cell>
        </row>
        <row r="118">
          <cell r="H118" t="str">
            <v>Credit Card</v>
          </cell>
          <cell r="L118" t="str">
            <v>Evening</v>
          </cell>
          <cell r="M118" t="str">
            <v>Friday</v>
          </cell>
          <cell r="N118">
            <v>2720.07</v>
          </cell>
        </row>
        <row r="119">
          <cell r="H119" t="str">
            <v>Cash</v>
          </cell>
          <cell r="L119" t="str">
            <v>Evening</v>
          </cell>
          <cell r="M119" t="str">
            <v>Thursday</v>
          </cell>
          <cell r="N119">
            <v>3557.4</v>
          </cell>
        </row>
        <row r="120">
          <cell r="H120" t="str">
            <v>Credit Card</v>
          </cell>
          <cell r="L120" t="str">
            <v>Afternoon</v>
          </cell>
          <cell r="M120" t="str">
            <v>Friday</v>
          </cell>
          <cell r="N120">
            <v>1316.28</v>
          </cell>
        </row>
        <row r="121">
          <cell r="H121" t="str">
            <v>Credit Card</v>
          </cell>
          <cell r="L121" t="str">
            <v>Morning</v>
          </cell>
          <cell r="M121" t="str">
            <v>Thursday</v>
          </cell>
          <cell r="N121">
            <v>871.56</v>
          </cell>
        </row>
        <row r="122">
          <cell r="H122" t="str">
            <v>Debit Card</v>
          </cell>
          <cell r="L122" t="str">
            <v>Morning</v>
          </cell>
          <cell r="M122" t="str">
            <v>Wednesday</v>
          </cell>
          <cell r="N122">
            <v>356.8</v>
          </cell>
        </row>
        <row r="123">
          <cell r="H123" t="str">
            <v>Credit Card</v>
          </cell>
          <cell r="L123" t="str">
            <v>Evening</v>
          </cell>
          <cell r="M123" t="str">
            <v>Wednesday</v>
          </cell>
          <cell r="N123">
            <v>3636.3</v>
          </cell>
        </row>
        <row r="124">
          <cell r="H124" t="str">
            <v>Gift Card</v>
          </cell>
          <cell r="L124" t="str">
            <v>Evening</v>
          </cell>
          <cell r="M124" t="str">
            <v>Monday</v>
          </cell>
          <cell r="N124">
            <v>1263.52</v>
          </cell>
        </row>
        <row r="125">
          <cell r="H125" t="str">
            <v>Credit Card</v>
          </cell>
          <cell r="L125" t="str">
            <v>Afternoon</v>
          </cell>
          <cell r="M125" t="str">
            <v>Tuesday</v>
          </cell>
          <cell r="N125">
            <v>3140.1</v>
          </cell>
        </row>
        <row r="126">
          <cell r="H126" t="str">
            <v>Gift Card</v>
          </cell>
          <cell r="L126" t="str">
            <v>Evening</v>
          </cell>
          <cell r="M126" t="str">
            <v>Thursday</v>
          </cell>
          <cell r="N126">
            <v>797.6</v>
          </cell>
        </row>
        <row r="127">
          <cell r="H127" t="str">
            <v>Online</v>
          </cell>
          <cell r="L127" t="str">
            <v>Afternoon</v>
          </cell>
          <cell r="M127" t="str">
            <v>Friday</v>
          </cell>
          <cell r="N127">
            <v>2545.1999999999998</v>
          </cell>
        </row>
        <row r="128">
          <cell r="H128" t="str">
            <v>Online</v>
          </cell>
          <cell r="L128" t="str">
            <v>Evening</v>
          </cell>
          <cell r="M128" t="str">
            <v>Wednesday</v>
          </cell>
          <cell r="N128">
            <v>1885.3</v>
          </cell>
        </row>
        <row r="129">
          <cell r="H129" t="str">
            <v>Debit Card</v>
          </cell>
          <cell r="L129" t="str">
            <v>Afternoon</v>
          </cell>
          <cell r="M129" t="str">
            <v>Saturday</v>
          </cell>
          <cell r="N129">
            <v>120.72</v>
          </cell>
        </row>
        <row r="130">
          <cell r="H130" t="str">
            <v>Credit Card</v>
          </cell>
          <cell r="L130" t="str">
            <v>Afternoon</v>
          </cell>
          <cell r="M130" t="str">
            <v>Sunday</v>
          </cell>
          <cell r="N130">
            <v>347.26</v>
          </cell>
        </row>
        <row r="131">
          <cell r="H131" t="str">
            <v>Gift Card</v>
          </cell>
          <cell r="L131" t="str">
            <v>Morning</v>
          </cell>
          <cell r="M131" t="str">
            <v>Saturday</v>
          </cell>
          <cell r="N131">
            <v>458.9</v>
          </cell>
        </row>
        <row r="132">
          <cell r="H132" t="str">
            <v>Debit Card</v>
          </cell>
          <cell r="L132" t="str">
            <v>Afternoon</v>
          </cell>
          <cell r="M132" t="str">
            <v>Tuesday</v>
          </cell>
          <cell r="N132">
            <v>31.5</v>
          </cell>
        </row>
        <row r="133">
          <cell r="H133" t="str">
            <v>Credit Card</v>
          </cell>
          <cell r="L133" t="str">
            <v>Afternoon</v>
          </cell>
          <cell r="M133" t="str">
            <v>Sunday</v>
          </cell>
          <cell r="N133">
            <v>240</v>
          </cell>
        </row>
        <row r="134">
          <cell r="H134" t="str">
            <v>Credit Card</v>
          </cell>
          <cell r="L134" t="str">
            <v>Afternoon</v>
          </cell>
          <cell r="M134" t="str">
            <v>Tuesday</v>
          </cell>
          <cell r="N134">
            <v>886.82999999999993</v>
          </cell>
        </row>
        <row r="135">
          <cell r="H135" t="str">
            <v>Cash</v>
          </cell>
          <cell r="L135" t="str">
            <v>Afternoon</v>
          </cell>
          <cell r="M135" t="str">
            <v>Thursday</v>
          </cell>
          <cell r="N135">
            <v>1328.58</v>
          </cell>
        </row>
        <row r="136">
          <cell r="H136" t="str">
            <v>Cash</v>
          </cell>
          <cell r="L136" t="str">
            <v>Evening</v>
          </cell>
          <cell r="M136" t="str">
            <v>Friday</v>
          </cell>
          <cell r="N136">
            <v>2860</v>
          </cell>
        </row>
        <row r="137">
          <cell r="H137" t="str">
            <v>Debit Card</v>
          </cell>
          <cell r="L137" t="str">
            <v>Afternoon</v>
          </cell>
          <cell r="M137" t="str">
            <v>Monday</v>
          </cell>
          <cell r="N137">
            <v>256.49</v>
          </cell>
        </row>
        <row r="138">
          <cell r="H138" t="str">
            <v>Cash</v>
          </cell>
          <cell r="L138" t="str">
            <v>Afternoon</v>
          </cell>
          <cell r="M138" t="str">
            <v>Friday</v>
          </cell>
          <cell r="N138">
            <v>607.29999999999995</v>
          </cell>
        </row>
        <row r="139">
          <cell r="H139" t="str">
            <v>Online</v>
          </cell>
          <cell r="L139" t="str">
            <v>Afternoon</v>
          </cell>
          <cell r="M139" t="str">
            <v>Saturday</v>
          </cell>
          <cell r="N139">
            <v>1784.23</v>
          </cell>
        </row>
        <row r="140">
          <cell r="H140" t="str">
            <v>Gift Card</v>
          </cell>
          <cell r="L140" t="str">
            <v>Afternoon</v>
          </cell>
          <cell r="M140" t="str">
            <v>Monday</v>
          </cell>
          <cell r="N140">
            <v>921.42</v>
          </cell>
        </row>
        <row r="141">
          <cell r="H141" t="str">
            <v>Online</v>
          </cell>
          <cell r="L141" t="str">
            <v>Morning</v>
          </cell>
          <cell r="M141" t="str">
            <v>Saturday</v>
          </cell>
          <cell r="N141">
            <v>3806.3</v>
          </cell>
        </row>
        <row r="142">
          <cell r="H142" t="str">
            <v>Cash</v>
          </cell>
          <cell r="L142" t="str">
            <v>Afternoon</v>
          </cell>
          <cell r="M142" t="str">
            <v>Sunday</v>
          </cell>
          <cell r="N142">
            <v>1262.0999999999999</v>
          </cell>
        </row>
        <row r="143">
          <cell r="H143" t="str">
            <v>Gift Card</v>
          </cell>
          <cell r="L143" t="str">
            <v>Evening</v>
          </cell>
          <cell r="M143" t="str">
            <v>Sunday</v>
          </cell>
          <cell r="N143">
            <v>621.99</v>
          </cell>
        </row>
        <row r="144">
          <cell r="H144" t="str">
            <v>Online</v>
          </cell>
          <cell r="L144" t="str">
            <v>Afternoon</v>
          </cell>
          <cell r="M144" t="str">
            <v>Saturday</v>
          </cell>
          <cell r="N144">
            <v>808.29</v>
          </cell>
        </row>
        <row r="145">
          <cell r="H145" t="str">
            <v>Credit Card</v>
          </cell>
          <cell r="L145" t="str">
            <v>Afternoon</v>
          </cell>
          <cell r="M145" t="str">
            <v>Monday</v>
          </cell>
          <cell r="N145">
            <v>366.47</v>
          </cell>
        </row>
        <row r="146">
          <cell r="H146" t="str">
            <v>Online</v>
          </cell>
          <cell r="L146" t="str">
            <v>Morning</v>
          </cell>
          <cell r="M146" t="str">
            <v>Saturday</v>
          </cell>
          <cell r="N146">
            <v>542.88</v>
          </cell>
        </row>
        <row r="147">
          <cell r="H147" t="str">
            <v>Debit Card</v>
          </cell>
          <cell r="L147" t="str">
            <v>Morning</v>
          </cell>
          <cell r="M147" t="str">
            <v>Saturday</v>
          </cell>
          <cell r="N147">
            <v>269.56</v>
          </cell>
        </row>
        <row r="148">
          <cell r="H148" t="str">
            <v>Credit Card</v>
          </cell>
          <cell r="L148" t="str">
            <v>Afternoon</v>
          </cell>
          <cell r="M148" t="str">
            <v>Sunday</v>
          </cell>
          <cell r="N148">
            <v>1251.52</v>
          </cell>
        </row>
        <row r="149">
          <cell r="H149" t="str">
            <v>Gift Card</v>
          </cell>
          <cell r="L149" t="str">
            <v>Evening</v>
          </cell>
          <cell r="M149" t="str">
            <v>Friday</v>
          </cell>
          <cell r="N149">
            <v>3125.1</v>
          </cell>
        </row>
        <row r="150">
          <cell r="H150" t="str">
            <v>Debit Card</v>
          </cell>
          <cell r="L150" t="str">
            <v>Evening</v>
          </cell>
          <cell r="M150" t="str">
            <v>Tuesday</v>
          </cell>
          <cell r="N150">
            <v>405.66</v>
          </cell>
        </row>
        <row r="151">
          <cell r="H151" t="str">
            <v>Online</v>
          </cell>
          <cell r="L151" t="str">
            <v>Afternoon</v>
          </cell>
          <cell r="M151" t="str">
            <v>Monday</v>
          </cell>
          <cell r="N151">
            <v>353.52</v>
          </cell>
        </row>
        <row r="152">
          <cell r="H152" t="str">
            <v>Gift Card</v>
          </cell>
          <cell r="L152" t="str">
            <v>Morning</v>
          </cell>
          <cell r="M152" t="str">
            <v>Thursday</v>
          </cell>
          <cell r="N152">
            <v>1615.18</v>
          </cell>
        </row>
        <row r="153">
          <cell r="H153" t="str">
            <v>Credit Card</v>
          </cell>
          <cell r="L153" t="str">
            <v>Morning</v>
          </cell>
          <cell r="M153" t="str">
            <v>Sunday</v>
          </cell>
          <cell r="N153">
            <v>194.9</v>
          </cell>
        </row>
        <row r="154">
          <cell r="H154" t="str">
            <v>Debit Card</v>
          </cell>
          <cell r="L154" t="str">
            <v>Morning</v>
          </cell>
          <cell r="M154" t="str">
            <v>Monday</v>
          </cell>
          <cell r="N154">
            <v>746.06</v>
          </cell>
        </row>
        <row r="155">
          <cell r="H155" t="str">
            <v>Online</v>
          </cell>
          <cell r="L155" t="str">
            <v>Afternoon</v>
          </cell>
          <cell r="M155" t="str">
            <v>Monday</v>
          </cell>
          <cell r="N155">
            <v>2029.2</v>
          </cell>
        </row>
        <row r="156">
          <cell r="H156" t="str">
            <v>Gift Card</v>
          </cell>
          <cell r="L156" t="str">
            <v>Afternoon</v>
          </cell>
          <cell r="M156" t="str">
            <v>Sunday</v>
          </cell>
          <cell r="N156">
            <v>8.0500000000000007</v>
          </cell>
        </row>
        <row r="157">
          <cell r="H157" t="str">
            <v>Gift Card</v>
          </cell>
          <cell r="L157" t="str">
            <v>Morning</v>
          </cell>
          <cell r="M157" t="str">
            <v>Friday</v>
          </cell>
          <cell r="N157">
            <v>1243</v>
          </cell>
        </row>
        <row r="158">
          <cell r="H158" t="str">
            <v>Gift Card</v>
          </cell>
          <cell r="L158" t="str">
            <v>Evening</v>
          </cell>
          <cell r="M158" t="str">
            <v>Friday</v>
          </cell>
          <cell r="N158">
            <v>230.76</v>
          </cell>
        </row>
        <row r="159">
          <cell r="H159" t="str">
            <v>Online</v>
          </cell>
          <cell r="L159" t="str">
            <v>Evening</v>
          </cell>
          <cell r="M159" t="str">
            <v>Wednesday</v>
          </cell>
          <cell r="N159">
            <v>334.6</v>
          </cell>
        </row>
        <row r="160">
          <cell r="H160" t="str">
            <v>Cash</v>
          </cell>
          <cell r="L160" t="str">
            <v>Morning</v>
          </cell>
          <cell r="M160" t="str">
            <v>Sunday</v>
          </cell>
          <cell r="N160">
            <v>279.39999999999998</v>
          </cell>
        </row>
        <row r="161">
          <cell r="H161" t="str">
            <v>Cash</v>
          </cell>
          <cell r="L161" t="str">
            <v>Afternoon</v>
          </cell>
          <cell r="M161" t="str">
            <v>Wednesday</v>
          </cell>
          <cell r="N161">
            <v>35.840000000000003</v>
          </cell>
        </row>
        <row r="162">
          <cell r="H162" t="str">
            <v>Credit Card</v>
          </cell>
          <cell r="L162" t="str">
            <v>Morning</v>
          </cell>
          <cell r="M162" t="str">
            <v>Monday</v>
          </cell>
          <cell r="N162">
            <v>1633.25</v>
          </cell>
        </row>
        <row r="163">
          <cell r="H163" t="str">
            <v>Credit Card</v>
          </cell>
          <cell r="L163" t="str">
            <v>Evening</v>
          </cell>
          <cell r="M163" t="str">
            <v>Tuesday</v>
          </cell>
          <cell r="N163">
            <v>2102.4499999999998</v>
          </cell>
        </row>
        <row r="164">
          <cell r="H164" t="str">
            <v>Debit Card</v>
          </cell>
          <cell r="L164" t="str">
            <v>Evening</v>
          </cell>
          <cell r="M164" t="str">
            <v>Friday</v>
          </cell>
          <cell r="N164">
            <v>1474.04</v>
          </cell>
        </row>
        <row r="165">
          <cell r="H165" t="str">
            <v>Gift Card</v>
          </cell>
          <cell r="L165" t="str">
            <v>Afternoon</v>
          </cell>
          <cell r="M165" t="str">
            <v>Tuesday</v>
          </cell>
          <cell r="N165">
            <v>296.3</v>
          </cell>
        </row>
        <row r="166">
          <cell r="H166" t="str">
            <v>Gift Card</v>
          </cell>
          <cell r="L166" t="str">
            <v>Evening</v>
          </cell>
          <cell r="M166" t="str">
            <v>Monday</v>
          </cell>
          <cell r="N166">
            <v>500.76</v>
          </cell>
        </row>
        <row r="167">
          <cell r="H167" t="str">
            <v>Credit Card</v>
          </cell>
          <cell r="L167" t="str">
            <v>Evening</v>
          </cell>
          <cell r="M167" t="str">
            <v>Tuesday</v>
          </cell>
          <cell r="N167">
            <v>775.26</v>
          </cell>
        </row>
        <row r="168">
          <cell r="H168" t="str">
            <v>Online</v>
          </cell>
          <cell r="L168" t="str">
            <v>Afternoon</v>
          </cell>
          <cell r="M168" t="str">
            <v>Monday</v>
          </cell>
          <cell r="N168">
            <v>648.91999999999996</v>
          </cell>
        </row>
        <row r="169">
          <cell r="H169" t="str">
            <v>Cash</v>
          </cell>
          <cell r="L169" t="str">
            <v>Morning</v>
          </cell>
          <cell r="M169" t="str">
            <v>Saturday</v>
          </cell>
          <cell r="N169">
            <v>1319.85</v>
          </cell>
        </row>
        <row r="170">
          <cell r="H170" t="str">
            <v>Debit Card</v>
          </cell>
          <cell r="L170" t="str">
            <v>Evening</v>
          </cell>
          <cell r="M170" t="str">
            <v>Saturday</v>
          </cell>
          <cell r="N170">
            <v>694.53</v>
          </cell>
        </row>
        <row r="171">
          <cell r="H171" t="str">
            <v>Debit Card</v>
          </cell>
          <cell r="L171" t="str">
            <v>Afternoon</v>
          </cell>
          <cell r="M171" t="str">
            <v>Wednesday</v>
          </cell>
          <cell r="N171">
            <v>1081.4000000000001</v>
          </cell>
        </row>
        <row r="172">
          <cell r="H172" t="str">
            <v>Credit Card</v>
          </cell>
          <cell r="L172" t="str">
            <v>Evening</v>
          </cell>
          <cell r="M172" t="str">
            <v>Friday</v>
          </cell>
          <cell r="N172">
            <v>1186.5899999999999</v>
          </cell>
        </row>
        <row r="173">
          <cell r="H173" t="str">
            <v>Gift Card</v>
          </cell>
          <cell r="L173" t="str">
            <v>Evening</v>
          </cell>
          <cell r="M173" t="str">
            <v>Sunday</v>
          </cell>
          <cell r="N173">
            <v>215.6</v>
          </cell>
        </row>
        <row r="174">
          <cell r="H174" t="str">
            <v>Online</v>
          </cell>
          <cell r="L174" t="str">
            <v>Evening</v>
          </cell>
          <cell r="M174" t="str">
            <v>Thursday</v>
          </cell>
          <cell r="N174">
            <v>909.30000000000007</v>
          </cell>
        </row>
        <row r="175">
          <cell r="H175" t="str">
            <v>Debit Card</v>
          </cell>
          <cell r="L175" t="str">
            <v>Morning</v>
          </cell>
          <cell r="M175" t="str">
            <v>Sunday</v>
          </cell>
          <cell r="N175">
            <v>681.18000000000006</v>
          </cell>
        </row>
        <row r="176">
          <cell r="H176" t="str">
            <v>Gift Card</v>
          </cell>
          <cell r="L176" t="str">
            <v>Evening</v>
          </cell>
          <cell r="M176" t="str">
            <v>Tuesday</v>
          </cell>
          <cell r="N176">
            <v>2156.4</v>
          </cell>
        </row>
        <row r="177">
          <cell r="H177" t="str">
            <v>Online</v>
          </cell>
          <cell r="L177" t="str">
            <v>Evening</v>
          </cell>
          <cell r="M177" t="str">
            <v>Tuesday</v>
          </cell>
          <cell r="N177">
            <v>3588.75</v>
          </cell>
        </row>
        <row r="178">
          <cell r="H178" t="str">
            <v>Gift Card</v>
          </cell>
          <cell r="L178" t="str">
            <v>Afternoon</v>
          </cell>
          <cell r="M178" t="str">
            <v>Sunday</v>
          </cell>
          <cell r="N178">
            <v>1036.98</v>
          </cell>
        </row>
        <row r="179">
          <cell r="H179" t="str">
            <v>Credit Card</v>
          </cell>
          <cell r="L179" t="str">
            <v>Afternoon</v>
          </cell>
          <cell r="M179" t="str">
            <v>Wednesday</v>
          </cell>
          <cell r="N179">
            <v>1810.83</v>
          </cell>
        </row>
        <row r="180">
          <cell r="H180" t="str">
            <v>Gift Card</v>
          </cell>
          <cell r="L180" t="str">
            <v>Morning</v>
          </cell>
          <cell r="M180" t="str">
            <v>Tuesday</v>
          </cell>
          <cell r="N180">
            <v>803.32</v>
          </cell>
        </row>
        <row r="181">
          <cell r="H181" t="str">
            <v>Cash</v>
          </cell>
          <cell r="L181" t="str">
            <v>Afternoon</v>
          </cell>
          <cell r="M181" t="str">
            <v>Saturday</v>
          </cell>
          <cell r="N181">
            <v>175.35</v>
          </cell>
        </row>
        <row r="182">
          <cell r="H182" t="str">
            <v>Gift Card</v>
          </cell>
          <cell r="L182" t="str">
            <v>Evening</v>
          </cell>
          <cell r="M182" t="str">
            <v>Monday</v>
          </cell>
          <cell r="N182">
            <v>2388.6999999999998</v>
          </cell>
        </row>
        <row r="183">
          <cell r="H183" t="str">
            <v>Debit Card</v>
          </cell>
          <cell r="L183" t="str">
            <v>Evening</v>
          </cell>
          <cell r="M183" t="str">
            <v>Monday</v>
          </cell>
          <cell r="N183">
            <v>2003.49</v>
          </cell>
        </row>
        <row r="184">
          <cell r="H184" t="str">
            <v>Gift Card</v>
          </cell>
          <cell r="L184" t="str">
            <v>Morning</v>
          </cell>
          <cell r="M184" t="str">
            <v>Tuesday</v>
          </cell>
          <cell r="N184">
            <v>929.33999999999992</v>
          </cell>
        </row>
        <row r="185">
          <cell r="H185" t="str">
            <v>Debit Card</v>
          </cell>
          <cell r="L185" t="str">
            <v>Afternoon</v>
          </cell>
          <cell r="M185" t="str">
            <v>Friday</v>
          </cell>
          <cell r="N185">
            <v>2387.1</v>
          </cell>
        </row>
        <row r="186">
          <cell r="H186" t="str">
            <v>Credit Card</v>
          </cell>
          <cell r="L186" t="str">
            <v>Afternoon</v>
          </cell>
          <cell r="M186" t="str">
            <v>Wednesday</v>
          </cell>
          <cell r="N186">
            <v>129.30000000000001</v>
          </cell>
        </row>
        <row r="187">
          <cell r="H187" t="str">
            <v>Debit Card</v>
          </cell>
          <cell r="L187" t="str">
            <v>Evening</v>
          </cell>
          <cell r="M187" t="str">
            <v>Saturday</v>
          </cell>
          <cell r="N187">
            <v>446.46</v>
          </cell>
        </row>
        <row r="188">
          <cell r="H188" t="str">
            <v>Gift Card</v>
          </cell>
          <cell r="L188" t="str">
            <v>Evening</v>
          </cell>
          <cell r="M188" t="str">
            <v>Sunday</v>
          </cell>
          <cell r="N188">
            <v>1310.52</v>
          </cell>
        </row>
        <row r="189">
          <cell r="H189" t="str">
            <v>Credit Card</v>
          </cell>
          <cell r="L189" t="str">
            <v>Evening</v>
          </cell>
          <cell r="M189" t="str">
            <v>Thursday</v>
          </cell>
          <cell r="N189">
            <v>1504.98</v>
          </cell>
        </row>
        <row r="190">
          <cell r="H190" t="str">
            <v>Gift Card</v>
          </cell>
          <cell r="L190" t="str">
            <v>Morning</v>
          </cell>
          <cell r="M190" t="str">
            <v>Sunday</v>
          </cell>
          <cell r="N190">
            <v>1037.95</v>
          </cell>
        </row>
        <row r="191">
          <cell r="H191" t="str">
            <v>Credit Card</v>
          </cell>
          <cell r="L191" t="str">
            <v>Morning</v>
          </cell>
          <cell r="M191" t="str">
            <v>Saturday</v>
          </cell>
          <cell r="N191">
            <v>237.99</v>
          </cell>
        </row>
        <row r="192">
          <cell r="H192" t="str">
            <v>Gift Card</v>
          </cell>
          <cell r="L192" t="str">
            <v>Morning</v>
          </cell>
          <cell r="M192" t="str">
            <v>Friday</v>
          </cell>
          <cell r="N192">
            <v>454.38</v>
          </cell>
        </row>
        <row r="193">
          <cell r="H193" t="str">
            <v>Debit Card</v>
          </cell>
          <cell r="L193" t="str">
            <v>Evening</v>
          </cell>
          <cell r="M193" t="str">
            <v>Wednesday</v>
          </cell>
          <cell r="N193">
            <v>596.31000000000006</v>
          </cell>
        </row>
        <row r="194">
          <cell r="H194" t="str">
            <v>Credit Card</v>
          </cell>
          <cell r="L194" t="str">
            <v>Evening</v>
          </cell>
          <cell r="M194" t="str">
            <v>Tuesday</v>
          </cell>
          <cell r="N194">
            <v>2948.08</v>
          </cell>
        </row>
        <row r="195">
          <cell r="H195" t="str">
            <v>Cash</v>
          </cell>
          <cell r="L195" t="str">
            <v>Evening</v>
          </cell>
          <cell r="M195" t="str">
            <v>Saturday</v>
          </cell>
          <cell r="N195">
            <v>840.36</v>
          </cell>
        </row>
        <row r="196">
          <cell r="H196" t="str">
            <v>Gift Card</v>
          </cell>
          <cell r="L196" t="str">
            <v>Evening</v>
          </cell>
          <cell r="M196" t="str">
            <v>Wednesday</v>
          </cell>
          <cell r="N196">
            <v>2582.6999999999998</v>
          </cell>
        </row>
        <row r="197">
          <cell r="H197" t="str">
            <v>Online</v>
          </cell>
          <cell r="L197" t="str">
            <v>Morning</v>
          </cell>
          <cell r="M197" t="str">
            <v>Sunday</v>
          </cell>
          <cell r="N197">
            <v>835.32</v>
          </cell>
        </row>
        <row r="198">
          <cell r="H198" t="str">
            <v>Debit Card</v>
          </cell>
          <cell r="L198" t="str">
            <v>Afternoon</v>
          </cell>
          <cell r="M198" t="str">
            <v>Friday</v>
          </cell>
          <cell r="N198">
            <v>768.53000000000009</v>
          </cell>
        </row>
        <row r="199">
          <cell r="H199" t="str">
            <v>Credit Card</v>
          </cell>
          <cell r="L199" t="str">
            <v>Afternoon</v>
          </cell>
          <cell r="M199" t="str">
            <v>Tuesday</v>
          </cell>
          <cell r="N199">
            <v>1711.56</v>
          </cell>
        </row>
        <row r="200">
          <cell r="H200" t="str">
            <v>Credit Card</v>
          </cell>
          <cell r="L200" t="str">
            <v>Evening</v>
          </cell>
          <cell r="M200" t="str">
            <v>Tuesday</v>
          </cell>
          <cell r="N200">
            <v>2363.2199999999998</v>
          </cell>
        </row>
        <row r="201">
          <cell r="H201" t="str">
            <v>Online</v>
          </cell>
          <cell r="L201" t="str">
            <v>Evening</v>
          </cell>
          <cell r="M201" t="str">
            <v>Wednesday</v>
          </cell>
          <cell r="N201">
            <v>2613.17</v>
          </cell>
        </row>
        <row r="202">
          <cell r="H202" t="str">
            <v>Debit Card</v>
          </cell>
          <cell r="L202" t="str">
            <v>Evening</v>
          </cell>
          <cell r="M202" t="str">
            <v>Sunday</v>
          </cell>
          <cell r="N202">
            <v>219.44</v>
          </cell>
        </row>
        <row r="203">
          <cell r="H203" t="str">
            <v>Cash</v>
          </cell>
          <cell r="L203" t="str">
            <v>Evening</v>
          </cell>
          <cell r="M203" t="str">
            <v>Thursday</v>
          </cell>
          <cell r="N203">
            <v>1602.8</v>
          </cell>
        </row>
        <row r="204">
          <cell r="H204" t="str">
            <v>Gift Card</v>
          </cell>
          <cell r="L204" t="str">
            <v>Afternoon</v>
          </cell>
          <cell r="M204" t="str">
            <v>Sunday</v>
          </cell>
          <cell r="N204">
            <v>2778.96</v>
          </cell>
        </row>
        <row r="205">
          <cell r="H205" t="str">
            <v>Online</v>
          </cell>
          <cell r="L205" t="str">
            <v>Afternoon</v>
          </cell>
          <cell r="M205" t="str">
            <v>Monday</v>
          </cell>
          <cell r="N205">
            <v>1211.0999999999999</v>
          </cell>
        </row>
        <row r="206">
          <cell r="H206" t="str">
            <v>Debit Card</v>
          </cell>
          <cell r="L206" t="str">
            <v>Afternoon</v>
          </cell>
          <cell r="M206" t="str">
            <v>Sunday</v>
          </cell>
          <cell r="N206">
            <v>229.84</v>
          </cell>
        </row>
        <row r="207">
          <cell r="H207" t="str">
            <v>Cash</v>
          </cell>
          <cell r="L207" t="str">
            <v>Evening</v>
          </cell>
          <cell r="M207" t="str">
            <v>Thursday</v>
          </cell>
          <cell r="N207">
            <v>391.72</v>
          </cell>
        </row>
        <row r="208">
          <cell r="H208" t="str">
            <v>Debit Card</v>
          </cell>
          <cell r="L208" t="str">
            <v>Evening</v>
          </cell>
          <cell r="M208" t="str">
            <v>Sunday</v>
          </cell>
          <cell r="N208">
            <v>3265.83</v>
          </cell>
        </row>
        <row r="209">
          <cell r="H209" t="str">
            <v>Debit Card</v>
          </cell>
          <cell r="L209" t="str">
            <v>Evening</v>
          </cell>
          <cell r="M209" t="str">
            <v>Saturday</v>
          </cell>
          <cell r="N209">
            <v>723.06000000000006</v>
          </cell>
        </row>
        <row r="210">
          <cell r="H210" t="str">
            <v>Cash</v>
          </cell>
          <cell r="L210" t="str">
            <v>Evening</v>
          </cell>
          <cell r="M210" t="str">
            <v>Saturday</v>
          </cell>
          <cell r="N210">
            <v>1819.1</v>
          </cell>
        </row>
        <row r="211">
          <cell r="H211" t="str">
            <v>Debit Card</v>
          </cell>
          <cell r="L211" t="str">
            <v>Evening</v>
          </cell>
          <cell r="M211" t="str">
            <v>Friday</v>
          </cell>
          <cell r="N211">
            <v>304.29000000000002</v>
          </cell>
        </row>
        <row r="212">
          <cell r="H212" t="str">
            <v>Credit Card</v>
          </cell>
          <cell r="L212" t="str">
            <v>Evening</v>
          </cell>
          <cell r="M212" t="str">
            <v>Sunday</v>
          </cell>
          <cell r="N212">
            <v>72.67</v>
          </cell>
        </row>
        <row r="213">
          <cell r="H213" t="str">
            <v>Cash</v>
          </cell>
          <cell r="L213" t="str">
            <v>Afternoon</v>
          </cell>
          <cell r="M213" t="str">
            <v>Wednesday</v>
          </cell>
          <cell r="N213">
            <v>283.26</v>
          </cell>
        </row>
        <row r="214">
          <cell r="H214" t="str">
            <v>Cash</v>
          </cell>
          <cell r="L214" t="str">
            <v>Morning</v>
          </cell>
          <cell r="M214" t="str">
            <v>Sunday</v>
          </cell>
          <cell r="N214">
            <v>1687.1</v>
          </cell>
        </row>
        <row r="215">
          <cell r="H215" t="str">
            <v>Credit Card</v>
          </cell>
          <cell r="L215" t="str">
            <v>Afternoon</v>
          </cell>
          <cell r="M215" t="str">
            <v>Thursday</v>
          </cell>
          <cell r="N215">
            <v>3829.9</v>
          </cell>
        </row>
        <row r="216">
          <cell r="H216" t="str">
            <v>Credit Card</v>
          </cell>
          <cell r="L216" t="str">
            <v>Evening</v>
          </cell>
          <cell r="M216" t="str">
            <v>Sunday</v>
          </cell>
          <cell r="N216">
            <v>171.4</v>
          </cell>
        </row>
        <row r="217">
          <cell r="H217" t="str">
            <v>Debit Card</v>
          </cell>
          <cell r="L217" t="str">
            <v>Afternoon</v>
          </cell>
          <cell r="M217" t="str">
            <v>Wednesday</v>
          </cell>
          <cell r="N217">
            <v>2109.4</v>
          </cell>
        </row>
        <row r="218">
          <cell r="H218" t="str">
            <v>Debit Card</v>
          </cell>
          <cell r="L218" t="str">
            <v>Evening</v>
          </cell>
          <cell r="M218" t="str">
            <v>Thursday</v>
          </cell>
          <cell r="N218">
            <v>502.64</v>
          </cell>
        </row>
        <row r="219">
          <cell r="H219" t="str">
            <v>Online</v>
          </cell>
          <cell r="L219" t="str">
            <v>Evening</v>
          </cell>
          <cell r="M219" t="str">
            <v>Wednesday</v>
          </cell>
          <cell r="N219">
            <v>1600.14</v>
          </cell>
        </row>
        <row r="220">
          <cell r="H220" t="str">
            <v>Gift Card</v>
          </cell>
          <cell r="L220" t="str">
            <v>Afternoon</v>
          </cell>
          <cell r="M220" t="str">
            <v>Monday</v>
          </cell>
          <cell r="N220">
            <v>168.2</v>
          </cell>
        </row>
        <row r="221">
          <cell r="H221" t="str">
            <v>Debit Card</v>
          </cell>
          <cell r="L221" t="str">
            <v>Evening</v>
          </cell>
          <cell r="M221" t="str">
            <v>Friday</v>
          </cell>
          <cell r="N221">
            <v>226.69</v>
          </cell>
        </row>
        <row r="222">
          <cell r="H222" t="str">
            <v>Cash</v>
          </cell>
          <cell r="L222" t="str">
            <v>Afternoon</v>
          </cell>
          <cell r="M222" t="str">
            <v>Thursday</v>
          </cell>
          <cell r="N222">
            <v>481.7</v>
          </cell>
        </row>
        <row r="223">
          <cell r="H223" t="str">
            <v>Cash</v>
          </cell>
          <cell r="L223" t="str">
            <v>Afternoon</v>
          </cell>
          <cell r="M223" t="str">
            <v>Sunday</v>
          </cell>
          <cell r="N223">
            <v>2921.67</v>
          </cell>
        </row>
        <row r="224">
          <cell r="H224" t="str">
            <v>Credit Card</v>
          </cell>
          <cell r="L224" t="str">
            <v>Morning</v>
          </cell>
          <cell r="M224" t="str">
            <v>Thursday</v>
          </cell>
          <cell r="N224">
            <v>3997.4</v>
          </cell>
        </row>
        <row r="225">
          <cell r="H225" t="str">
            <v>Debit Card</v>
          </cell>
          <cell r="L225" t="str">
            <v>Evening</v>
          </cell>
          <cell r="M225" t="str">
            <v>Wednesday</v>
          </cell>
          <cell r="N225">
            <v>3093.3</v>
          </cell>
        </row>
        <row r="226">
          <cell r="H226" t="str">
            <v>Credit Card</v>
          </cell>
          <cell r="L226" t="str">
            <v>Afternoon</v>
          </cell>
          <cell r="M226" t="str">
            <v>Friday</v>
          </cell>
          <cell r="N226">
            <v>1068.08</v>
          </cell>
        </row>
        <row r="227">
          <cell r="H227" t="str">
            <v>Online</v>
          </cell>
          <cell r="L227" t="str">
            <v>Morning</v>
          </cell>
          <cell r="M227" t="str">
            <v>Wednesday</v>
          </cell>
          <cell r="N227">
            <v>2203.02</v>
          </cell>
        </row>
        <row r="228">
          <cell r="H228" t="str">
            <v>Gift Card</v>
          </cell>
          <cell r="L228" t="str">
            <v>Morning</v>
          </cell>
          <cell r="M228" t="str">
            <v>Friday</v>
          </cell>
          <cell r="N228">
            <v>612.65</v>
          </cell>
        </row>
        <row r="229">
          <cell r="H229" t="str">
            <v>Online</v>
          </cell>
          <cell r="L229" t="str">
            <v>Evening</v>
          </cell>
          <cell r="M229" t="str">
            <v>Monday</v>
          </cell>
          <cell r="N229">
            <v>666.65000000000009</v>
          </cell>
        </row>
        <row r="230">
          <cell r="H230" t="str">
            <v>Cash</v>
          </cell>
          <cell r="L230" t="str">
            <v>Morning</v>
          </cell>
          <cell r="M230" t="str">
            <v>Sunday</v>
          </cell>
          <cell r="N230">
            <v>910.05000000000007</v>
          </cell>
        </row>
        <row r="231">
          <cell r="H231" t="str">
            <v>Debit Card</v>
          </cell>
          <cell r="L231" t="str">
            <v>Afternoon</v>
          </cell>
          <cell r="M231" t="str">
            <v>Sunday</v>
          </cell>
          <cell r="N231">
            <v>1177.1199999999999</v>
          </cell>
        </row>
        <row r="232">
          <cell r="H232" t="str">
            <v>Debit Card</v>
          </cell>
          <cell r="L232" t="str">
            <v>Morning</v>
          </cell>
          <cell r="M232" t="str">
            <v>Sunday</v>
          </cell>
          <cell r="N232">
            <v>805.84</v>
          </cell>
        </row>
        <row r="233">
          <cell r="H233" t="str">
            <v>Gift Card</v>
          </cell>
          <cell r="L233" t="str">
            <v>Evening</v>
          </cell>
          <cell r="M233" t="str">
            <v>Wednesday</v>
          </cell>
          <cell r="N233">
            <v>708.28</v>
          </cell>
        </row>
        <row r="234">
          <cell r="H234" t="str">
            <v>Gift Card</v>
          </cell>
          <cell r="L234" t="str">
            <v>Afternoon</v>
          </cell>
          <cell r="M234" t="str">
            <v>Saturday</v>
          </cell>
          <cell r="N234">
            <v>142.57</v>
          </cell>
        </row>
        <row r="235">
          <cell r="H235" t="str">
            <v>Online</v>
          </cell>
          <cell r="L235" t="str">
            <v>Morning</v>
          </cell>
          <cell r="M235" t="str">
            <v>Sunday</v>
          </cell>
          <cell r="N235">
            <v>1723.2</v>
          </cell>
        </row>
        <row r="236">
          <cell r="H236" t="str">
            <v>Debit Card</v>
          </cell>
          <cell r="L236" t="str">
            <v>Afternoon</v>
          </cell>
          <cell r="M236" t="str">
            <v>Tuesday</v>
          </cell>
          <cell r="N236">
            <v>1755.36</v>
          </cell>
        </row>
        <row r="237">
          <cell r="H237" t="str">
            <v>Credit Card</v>
          </cell>
          <cell r="L237" t="str">
            <v>Afternoon</v>
          </cell>
          <cell r="M237" t="str">
            <v>Thursday</v>
          </cell>
          <cell r="N237">
            <v>2390.4</v>
          </cell>
        </row>
        <row r="238">
          <cell r="H238" t="str">
            <v>Online</v>
          </cell>
          <cell r="L238" t="str">
            <v>Evening</v>
          </cell>
          <cell r="M238" t="str">
            <v>Wednesday</v>
          </cell>
          <cell r="N238">
            <v>51.87</v>
          </cell>
        </row>
        <row r="239">
          <cell r="H239" t="str">
            <v>Gift Card</v>
          </cell>
          <cell r="L239" t="str">
            <v>Evening</v>
          </cell>
          <cell r="M239" t="str">
            <v>Saturday</v>
          </cell>
          <cell r="N239">
            <v>292.55</v>
          </cell>
        </row>
        <row r="240">
          <cell r="H240" t="str">
            <v>Credit Card</v>
          </cell>
          <cell r="L240" t="str">
            <v>Afternoon</v>
          </cell>
          <cell r="M240" t="str">
            <v>Sunday</v>
          </cell>
          <cell r="N240">
            <v>458.99</v>
          </cell>
        </row>
        <row r="241">
          <cell r="H241" t="str">
            <v>Online</v>
          </cell>
          <cell r="L241" t="str">
            <v>Evening</v>
          </cell>
          <cell r="M241" t="str">
            <v>Tuesday</v>
          </cell>
          <cell r="N241">
            <v>662.58</v>
          </cell>
        </row>
        <row r="242">
          <cell r="H242" t="str">
            <v>Credit Card</v>
          </cell>
          <cell r="L242" t="str">
            <v>Afternoon</v>
          </cell>
          <cell r="M242" t="str">
            <v>Wednesday</v>
          </cell>
          <cell r="N242">
            <v>2827.5</v>
          </cell>
        </row>
        <row r="243">
          <cell r="H243" t="str">
            <v>Online</v>
          </cell>
          <cell r="L243" t="str">
            <v>Morning</v>
          </cell>
          <cell r="M243" t="str">
            <v>Friday</v>
          </cell>
          <cell r="N243">
            <v>899.12</v>
          </cell>
        </row>
        <row r="244">
          <cell r="H244" t="str">
            <v>Online</v>
          </cell>
          <cell r="L244" t="str">
            <v>Morning</v>
          </cell>
          <cell r="M244" t="str">
            <v>Tuesday</v>
          </cell>
          <cell r="N244">
            <v>431.2</v>
          </cell>
        </row>
        <row r="245">
          <cell r="H245" t="str">
            <v>Cash</v>
          </cell>
          <cell r="L245" t="str">
            <v>Morning</v>
          </cell>
          <cell r="M245" t="str">
            <v>Thursday</v>
          </cell>
          <cell r="N245">
            <v>2426</v>
          </cell>
        </row>
        <row r="246">
          <cell r="H246" t="str">
            <v>Online</v>
          </cell>
          <cell r="L246" t="str">
            <v>Afternoon</v>
          </cell>
          <cell r="M246" t="str">
            <v>Tuesday</v>
          </cell>
          <cell r="N246">
            <v>81.88</v>
          </cell>
        </row>
        <row r="247">
          <cell r="H247" t="str">
            <v>Gift Card</v>
          </cell>
          <cell r="L247" t="str">
            <v>Afternoon</v>
          </cell>
          <cell r="M247" t="str">
            <v>Friday</v>
          </cell>
          <cell r="N247">
            <v>1028.76</v>
          </cell>
        </row>
        <row r="248">
          <cell r="H248" t="str">
            <v>Cash</v>
          </cell>
          <cell r="L248" t="str">
            <v>Afternoon</v>
          </cell>
          <cell r="M248" t="str">
            <v>Friday</v>
          </cell>
          <cell r="N248">
            <v>1308.0999999999999</v>
          </cell>
        </row>
        <row r="249">
          <cell r="H249" t="str">
            <v>Gift Card</v>
          </cell>
          <cell r="L249" t="str">
            <v>Evening</v>
          </cell>
          <cell r="M249" t="str">
            <v>Tuesday</v>
          </cell>
          <cell r="N249">
            <v>1181</v>
          </cell>
        </row>
        <row r="250">
          <cell r="H250" t="str">
            <v>Credit Card</v>
          </cell>
          <cell r="L250" t="str">
            <v>Morning</v>
          </cell>
          <cell r="M250" t="str">
            <v>Monday</v>
          </cell>
          <cell r="N250">
            <v>2801.07</v>
          </cell>
        </row>
        <row r="251">
          <cell r="H251" t="str">
            <v>Gift Card</v>
          </cell>
          <cell r="L251" t="str">
            <v>Afternoon</v>
          </cell>
          <cell r="M251" t="str">
            <v>Friday</v>
          </cell>
          <cell r="N251">
            <v>765.36</v>
          </cell>
        </row>
        <row r="252">
          <cell r="H252" t="str">
            <v>Online</v>
          </cell>
          <cell r="L252" t="str">
            <v>Afternoon</v>
          </cell>
          <cell r="M252" t="str">
            <v>Friday</v>
          </cell>
          <cell r="N252">
            <v>1774.85</v>
          </cell>
        </row>
        <row r="253">
          <cell r="H253" t="str">
            <v>Cash</v>
          </cell>
          <cell r="L253" t="str">
            <v>Morning</v>
          </cell>
          <cell r="M253" t="str">
            <v>Thursday</v>
          </cell>
          <cell r="N253">
            <v>601.76</v>
          </cell>
        </row>
        <row r="254">
          <cell r="H254" t="str">
            <v>Debit Card</v>
          </cell>
          <cell r="L254" t="str">
            <v>Afternoon</v>
          </cell>
          <cell r="M254" t="str">
            <v>Saturday</v>
          </cell>
          <cell r="N254">
            <v>2485.5</v>
          </cell>
        </row>
        <row r="255">
          <cell r="H255" t="str">
            <v>Online</v>
          </cell>
          <cell r="L255" t="str">
            <v>Afternoon</v>
          </cell>
          <cell r="M255" t="str">
            <v>Monday</v>
          </cell>
          <cell r="N255">
            <v>1185.45</v>
          </cell>
        </row>
        <row r="256">
          <cell r="H256" t="str">
            <v>Gift Card</v>
          </cell>
          <cell r="L256" t="str">
            <v>Evening</v>
          </cell>
          <cell r="M256" t="str">
            <v>Saturday</v>
          </cell>
          <cell r="N256">
            <v>229.85</v>
          </cell>
        </row>
        <row r="257">
          <cell r="H257" t="str">
            <v>Online</v>
          </cell>
          <cell r="L257" t="str">
            <v>Evening</v>
          </cell>
          <cell r="M257" t="str">
            <v>Friday</v>
          </cell>
          <cell r="N257">
            <v>1264.1600000000001</v>
          </cell>
        </row>
        <row r="258">
          <cell r="H258" t="str">
            <v>Credit Card</v>
          </cell>
          <cell r="L258" t="str">
            <v>Afternoon</v>
          </cell>
          <cell r="M258" t="str">
            <v>Friday</v>
          </cell>
          <cell r="N258">
            <v>868.28</v>
          </cell>
        </row>
        <row r="259">
          <cell r="H259" t="str">
            <v>Debit Card</v>
          </cell>
          <cell r="L259" t="str">
            <v>Afternoon</v>
          </cell>
          <cell r="M259" t="str">
            <v>Saturday</v>
          </cell>
          <cell r="N259">
            <v>1608.74</v>
          </cell>
        </row>
        <row r="260">
          <cell r="H260" t="str">
            <v>Cash</v>
          </cell>
          <cell r="L260" t="str">
            <v>Afternoon</v>
          </cell>
          <cell r="M260" t="str">
            <v>Friday</v>
          </cell>
          <cell r="N260">
            <v>3100.2</v>
          </cell>
        </row>
        <row r="261">
          <cell r="H261" t="str">
            <v>Cash</v>
          </cell>
          <cell r="L261" t="str">
            <v>Evening</v>
          </cell>
          <cell r="M261" t="str">
            <v>Saturday</v>
          </cell>
          <cell r="N261">
            <v>2949.9</v>
          </cell>
        </row>
        <row r="262">
          <cell r="H262" t="str">
            <v>Credit Card</v>
          </cell>
          <cell r="L262" t="str">
            <v>Morning</v>
          </cell>
          <cell r="M262" t="str">
            <v>Tuesday</v>
          </cell>
          <cell r="N262">
            <v>1602.79</v>
          </cell>
        </row>
        <row r="263">
          <cell r="H263" t="str">
            <v>Gift Card</v>
          </cell>
          <cell r="L263" t="str">
            <v>Evening</v>
          </cell>
          <cell r="M263" t="str">
            <v>Saturday</v>
          </cell>
          <cell r="N263">
            <v>693.68</v>
          </cell>
        </row>
        <row r="264">
          <cell r="H264" t="str">
            <v>Online</v>
          </cell>
          <cell r="L264" t="str">
            <v>Evening</v>
          </cell>
          <cell r="M264" t="str">
            <v>Wednesday</v>
          </cell>
          <cell r="N264">
            <v>1569.88</v>
          </cell>
        </row>
        <row r="265">
          <cell r="H265" t="str">
            <v>Credit Card</v>
          </cell>
          <cell r="L265" t="str">
            <v>Afternoon</v>
          </cell>
          <cell r="M265" t="str">
            <v>Monday</v>
          </cell>
          <cell r="N265">
            <v>344.4</v>
          </cell>
        </row>
        <row r="266">
          <cell r="H266" t="str">
            <v>Credit Card</v>
          </cell>
          <cell r="L266" t="str">
            <v>Afternoon</v>
          </cell>
          <cell r="M266" t="str">
            <v>Friday</v>
          </cell>
          <cell r="N266">
            <v>2012.34</v>
          </cell>
        </row>
        <row r="267">
          <cell r="H267" t="str">
            <v>Online</v>
          </cell>
          <cell r="L267" t="str">
            <v>Afternoon</v>
          </cell>
          <cell r="M267" t="str">
            <v>Monday</v>
          </cell>
          <cell r="N267">
            <v>116.2</v>
          </cell>
        </row>
        <row r="268">
          <cell r="H268" t="str">
            <v>Online</v>
          </cell>
          <cell r="L268" t="str">
            <v>Evening</v>
          </cell>
          <cell r="M268" t="str">
            <v>Sunday</v>
          </cell>
          <cell r="N268">
            <v>458.25</v>
          </cell>
        </row>
        <row r="269">
          <cell r="H269" t="str">
            <v>Debit Card</v>
          </cell>
          <cell r="L269" t="str">
            <v>Evening</v>
          </cell>
          <cell r="M269" t="str">
            <v>Wednesday</v>
          </cell>
          <cell r="N269">
            <v>1851.76</v>
          </cell>
        </row>
        <row r="270">
          <cell r="H270" t="str">
            <v>Debit Card</v>
          </cell>
          <cell r="L270" t="str">
            <v>Afternoon</v>
          </cell>
          <cell r="M270" t="str">
            <v>Thursday</v>
          </cell>
          <cell r="N270">
            <v>2954.52</v>
          </cell>
        </row>
        <row r="271">
          <cell r="H271" t="str">
            <v>Debit Card</v>
          </cell>
          <cell r="L271" t="str">
            <v>Morning</v>
          </cell>
          <cell r="M271" t="str">
            <v>Saturday</v>
          </cell>
          <cell r="N271">
            <v>2292.84</v>
          </cell>
        </row>
        <row r="272">
          <cell r="H272" t="str">
            <v>Debit Card</v>
          </cell>
          <cell r="L272" t="str">
            <v>Afternoon</v>
          </cell>
          <cell r="M272" t="str">
            <v>Saturday</v>
          </cell>
          <cell r="N272">
            <v>523.86</v>
          </cell>
        </row>
        <row r="273">
          <cell r="H273" t="str">
            <v>Gift Card</v>
          </cell>
          <cell r="L273" t="str">
            <v>Evening</v>
          </cell>
          <cell r="M273" t="str">
            <v>Tuesday</v>
          </cell>
          <cell r="N273">
            <v>664.12</v>
          </cell>
        </row>
        <row r="274">
          <cell r="H274" t="str">
            <v>Credit Card</v>
          </cell>
          <cell r="L274" t="str">
            <v>Morning</v>
          </cell>
          <cell r="M274" t="str">
            <v>Saturday</v>
          </cell>
          <cell r="N274">
            <v>850.1</v>
          </cell>
        </row>
        <row r="275">
          <cell r="H275" t="str">
            <v>Online</v>
          </cell>
          <cell r="L275" t="str">
            <v>Evening</v>
          </cell>
          <cell r="M275" t="str">
            <v>Sunday</v>
          </cell>
          <cell r="N275">
            <v>53.94</v>
          </cell>
        </row>
        <row r="276">
          <cell r="H276" t="str">
            <v>Credit Card</v>
          </cell>
          <cell r="L276" t="str">
            <v>Morning</v>
          </cell>
          <cell r="M276" t="str">
            <v>Monday</v>
          </cell>
          <cell r="N276">
            <v>188.28</v>
          </cell>
        </row>
        <row r="277">
          <cell r="H277" t="str">
            <v>Credit Card</v>
          </cell>
          <cell r="L277" t="str">
            <v>Afternoon</v>
          </cell>
          <cell r="M277" t="str">
            <v>Thursday</v>
          </cell>
          <cell r="N277">
            <v>380.74</v>
          </cell>
        </row>
        <row r="278">
          <cell r="H278" t="str">
            <v>Credit Card</v>
          </cell>
          <cell r="L278" t="str">
            <v>Afternoon</v>
          </cell>
          <cell r="M278" t="str">
            <v>Thursday</v>
          </cell>
          <cell r="N278">
            <v>3174.32</v>
          </cell>
        </row>
        <row r="279">
          <cell r="H279" t="str">
            <v>Online</v>
          </cell>
          <cell r="L279" t="str">
            <v>Evening</v>
          </cell>
          <cell r="M279" t="str">
            <v>Tuesday</v>
          </cell>
          <cell r="N279">
            <v>259.92</v>
          </cell>
        </row>
        <row r="280">
          <cell r="H280" t="str">
            <v>Cash</v>
          </cell>
          <cell r="L280" t="str">
            <v>Evening</v>
          </cell>
          <cell r="M280" t="str">
            <v>Monday</v>
          </cell>
          <cell r="N280">
            <v>367.92</v>
          </cell>
        </row>
        <row r="281">
          <cell r="H281" t="str">
            <v>Debit Card</v>
          </cell>
          <cell r="L281" t="str">
            <v>Morning</v>
          </cell>
          <cell r="M281" t="str">
            <v>Monday</v>
          </cell>
          <cell r="N281">
            <v>201.06</v>
          </cell>
        </row>
        <row r="282">
          <cell r="H282" t="str">
            <v>Online</v>
          </cell>
          <cell r="L282" t="str">
            <v>Afternoon</v>
          </cell>
          <cell r="M282" t="str">
            <v>Tuesday</v>
          </cell>
          <cell r="N282">
            <v>1443.54</v>
          </cell>
        </row>
        <row r="283">
          <cell r="H283" t="str">
            <v>Credit Card</v>
          </cell>
          <cell r="L283" t="str">
            <v>Afternoon</v>
          </cell>
          <cell r="M283" t="str">
            <v>Wednesday</v>
          </cell>
          <cell r="N283">
            <v>55.77</v>
          </cell>
        </row>
        <row r="284">
          <cell r="H284" t="str">
            <v>Debit Card</v>
          </cell>
          <cell r="L284" t="str">
            <v>Evening</v>
          </cell>
          <cell r="M284" t="str">
            <v>Sunday</v>
          </cell>
          <cell r="N284">
            <v>821.59999999999991</v>
          </cell>
        </row>
        <row r="285">
          <cell r="H285" t="str">
            <v>Gift Card</v>
          </cell>
          <cell r="L285" t="str">
            <v>Morning</v>
          </cell>
          <cell r="M285" t="str">
            <v>Thursday</v>
          </cell>
          <cell r="N285">
            <v>2249.37</v>
          </cell>
        </row>
        <row r="286">
          <cell r="H286" t="str">
            <v>Cash</v>
          </cell>
          <cell r="L286" t="str">
            <v>Morning</v>
          </cell>
          <cell r="M286" t="str">
            <v>Wednesday</v>
          </cell>
          <cell r="N286">
            <v>1735.28</v>
          </cell>
        </row>
        <row r="287">
          <cell r="H287" t="str">
            <v>Credit Card</v>
          </cell>
          <cell r="L287" t="str">
            <v>Morning</v>
          </cell>
          <cell r="M287" t="str">
            <v>Saturday</v>
          </cell>
          <cell r="N287">
            <v>53.75</v>
          </cell>
        </row>
        <row r="288">
          <cell r="H288" t="str">
            <v>Online</v>
          </cell>
          <cell r="L288" t="str">
            <v>Afternoon</v>
          </cell>
          <cell r="M288" t="str">
            <v>Monday</v>
          </cell>
          <cell r="N288">
            <v>449.37</v>
          </cell>
        </row>
        <row r="289">
          <cell r="H289" t="str">
            <v>Credit Card</v>
          </cell>
          <cell r="L289" t="str">
            <v>Morning</v>
          </cell>
          <cell r="M289" t="str">
            <v>Sunday</v>
          </cell>
          <cell r="N289">
            <v>668.6</v>
          </cell>
        </row>
        <row r="290">
          <cell r="H290" t="str">
            <v>Cash</v>
          </cell>
          <cell r="L290" t="str">
            <v>Evening</v>
          </cell>
          <cell r="M290" t="str">
            <v>Saturday</v>
          </cell>
          <cell r="N290">
            <v>305.19</v>
          </cell>
        </row>
        <row r="291">
          <cell r="H291" t="str">
            <v>Cash</v>
          </cell>
          <cell r="L291" t="str">
            <v>Afternoon</v>
          </cell>
          <cell r="M291" t="str">
            <v>Wednesday</v>
          </cell>
          <cell r="N291">
            <v>2879.3</v>
          </cell>
        </row>
        <row r="292">
          <cell r="H292" t="str">
            <v>Debit Card</v>
          </cell>
          <cell r="L292" t="str">
            <v>Morning</v>
          </cell>
          <cell r="M292" t="str">
            <v>Wednesday</v>
          </cell>
          <cell r="N292">
            <v>3567.4</v>
          </cell>
        </row>
        <row r="293">
          <cell r="H293" t="str">
            <v>Cash</v>
          </cell>
          <cell r="L293" t="str">
            <v>Evening</v>
          </cell>
          <cell r="M293" t="str">
            <v>Friday</v>
          </cell>
          <cell r="N293">
            <v>1054.5</v>
          </cell>
        </row>
        <row r="294">
          <cell r="H294" t="str">
            <v>Credit Card</v>
          </cell>
          <cell r="L294" t="str">
            <v>Evening</v>
          </cell>
          <cell r="M294" t="str">
            <v>Thursday</v>
          </cell>
          <cell r="N294">
            <v>3691</v>
          </cell>
        </row>
        <row r="295">
          <cell r="H295" t="str">
            <v>Debit Card</v>
          </cell>
          <cell r="L295" t="str">
            <v>Afternoon</v>
          </cell>
          <cell r="M295" t="str">
            <v>Wednesday</v>
          </cell>
          <cell r="N295">
            <v>498.32</v>
          </cell>
        </row>
        <row r="296">
          <cell r="H296" t="str">
            <v>Cash</v>
          </cell>
          <cell r="L296" t="str">
            <v>Morning</v>
          </cell>
          <cell r="M296" t="str">
            <v>Thursday</v>
          </cell>
          <cell r="N296">
            <v>505.89</v>
          </cell>
        </row>
        <row r="297">
          <cell r="H297" t="str">
            <v>Gift Card</v>
          </cell>
          <cell r="L297" t="str">
            <v>Morning</v>
          </cell>
          <cell r="M297" t="str">
            <v>Monday</v>
          </cell>
          <cell r="N297">
            <v>615</v>
          </cell>
        </row>
        <row r="298">
          <cell r="H298" t="str">
            <v>Online</v>
          </cell>
          <cell r="L298" t="str">
            <v>Evening</v>
          </cell>
          <cell r="M298" t="str">
            <v>Tuesday</v>
          </cell>
          <cell r="N298">
            <v>170.73</v>
          </cell>
        </row>
        <row r="299">
          <cell r="H299" t="str">
            <v>Debit Card</v>
          </cell>
          <cell r="L299" t="str">
            <v>Afternoon</v>
          </cell>
          <cell r="M299" t="str">
            <v>Friday</v>
          </cell>
          <cell r="N299">
            <v>776.22</v>
          </cell>
        </row>
        <row r="300">
          <cell r="H300" t="str">
            <v>Cash</v>
          </cell>
          <cell r="L300" t="str">
            <v>Morning</v>
          </cell>
          <cell r="M300" t="str">
            <v>Friday</v>
          </cell>
          <cell r="N300">
            <v>197.2</v>
          </cell>
        </row>
        <row r="301">
          <cell r="H301" t="str">
            <v>Credit Card</v>
          </cell>
          <cell r="L301" t="str">
            <v>Afternoon</v>
          </cell>
          <cell r="M301" t="str">
            <v>Sunday</v>
          </cell>
          <cell r="N301">
            <v>60.07</v>
          </cell>
        </row>
        <row r="302">
          <cell r="H302" t="str">
            <v>Debit Card</v>
          </cell>
          <cell r="L302" t="str">
            <v>Afternoon</v>
          </cell>
          <cell r="M302" t="str">
            <v>Monday</v>
          </cell>
          <cell r="N302">
            <v>337.77</v>
          </cell>
        </row>
        <row r="303">
          <cell r="H303" t="str">
            <v>Online</v>
          </cell>
          <cell r="L303" t="str">
            <v>Morning</v>
          </cell>
          <cell r="M303" t="str">
            <v>Monday</v>
          </cell>
          <cell r="N303">
            <v>134.47</v>
          </cell>
        </row>
        <row r="304">
          <cell r="H304" t="str">
            <v>Online</v>
          </cell>
          <cell r="L304" t="str">
            <v>Evening</v>
          </cell>
          <cell r="M304" t="str">
            <v>Friday</v>
          </cell>
          <cell r="N304">
            <v>842.28</v>
          </cell>
        </row>
        <row r="305">
          <cell r="H305" t="str">
            <v>Online</v>
          </cell>
          <cell r="L305" t="str">
            <v>Morning</v>
          </cell>
          <cell r="M305" t="str">
            <v>Sunday</v>
          </cell>
          <cell r="N305">
            <v>1463.2</v>
          </cell>
        </row>
        <row r="306">
          <cell r="H306" t="str">
            <v>Cash</v>
          </cell>
          <cell r="L306" t="str">
            <v>Afternoon</v>
          </cell>
          <cell r="M306" t="str">
            <v>Thursday</v>
          </cell>
          <cell r="N306">
            <v>1245.24</v>
          </cell>
        </row>
        <row r="307">
          <cell r="H307" t="str">
            <v>Gift Card</v>
          </cell>
          <cell r="L307" t="str">
            <v>Evening</v>
          </cell>
          <cell r="M307" t="str">
            <v>Monday</v>
          </cell>
          <cell r="N307">
            <v>1293.8399999999999</v>
          </cell>
        </row>
        <row r="308">
          <cell r="H308" t="str">
            <v>Debit Card</v>
          </cell>
          <cell r="L308" t="str">
            <v>Afternoon</v>
          </cell>
          <cell r="M308" t="str">
            <v>Friday</v>
          </cell>
          <cell r="N308">
            <v>862.62000000000012</v>
          </cell>
        </row>
        <row r="309">
          <cell r="H309" t="str">
            <v>Cash</v>
          </cell>
          <cell r="L309" t="str">
            <v>Morning</v>
          </cell>
          <cell r="M309" t="str">
            <v>Monday</v>
          </cell>
          <cell r="N309">
            <v>1795.76</v>
          </cell>
        </row>
        <row r="310">
          <cell r="H310" t="str">
            <v>Credit Card</v>
          </cell>
          <cell r="L310" t="str">
            <v>Morning</v>
          </cell>
          <cell r="M310" t="str">
            <v>Saturday</v>
          </cell>
          <cell r="N310">
            <v>536.4</v>
          </cell>
        </row>
        <row r="311">
          <cell r="H311" t="str">
            <v>Credit Card</v>
          </cell>
          <cell r="L311" t="str">
            <v>Morning</v>
          </cell>
          <cell r="M311" t="str">
            <v>Tuesday</v>
          </cell>
          <cell r="N311">
            <v>2389.8000000000002</v>
          </cell>
        </row>
        <row r="312">
          <cell r="H312" t="str">
            <v>Gift Card</v>
          </cell>
          <cell r="L312" t="str">
            <v>Morning</v>
          </cell>
          <cell r="M312" t="str">
            <v>Wednesday</v>
          </cell>
          <cell r="N312">
            <v>157.01</v>
          </cell>
        </row>
        <row r="313">
          <cell r="H313" t="str">
            <v>Debit Card</v>
          </cell>
          <cell r="L313" t="str">
            <v>Afternoon</v>
          </cell>
          <cell r="M313" t="str">
            <v>Thursday</v>
          </cell>
          <cell r="N313">
            <v>1155.06</v>
          </cell>
        </row>
        <row r="314">
          <cell r="H314" t="str">
            <v>Online</v>
          </cell>
          <cell r="L314" t="str">
            <v>Afternoon</v>
          </cell>
          <cell r="M314" t="str">
            <v>Wednesday</v>
          </cell>
          <cell r="N314">
            <v>3252.51</v>
          </cell>
        </row>
        <row r="315">
          <cell r="H315" t="str">
            <v>Cash</v>
          </cell>
          <cell r="L315" t="str">
            <v>Evening</v>
          </cell>
          <cell r="M315" t="str">
            <v>Wednesday</v>
          </cell>
          <cell r="N315">
            <v>442.58</v>
          </cell>
        </row>
        <row r="316">
          <cell r="H316" t="str">
            <v>Cash</v>
          </cell>
          <cell r="L316" t="str">
            <v>Afternoon</v>
          </cell>
          <cell r="M316" t="str">
            <v>Thursday</v>
          </cell>
          <cell r="N316">
            <v>653.44000000000005</v>
          </cell>
        </row>
        <row r="317">
          <cell r="H317" t="str">
            <v>Online</v>
          </cell>
          <cell r="L317" t="str">
            <v>Morning</v>
          </cell>
          <cell r="M317" t="str">
            <v>Monday</v>
          </cell>
          <cell r="N317">
            <v>1084.77</v>
          </cell>
        </row>
        <row r="318">
          <cell r="H318" t="str">
            <v>Online</v>
          </cell>
          <cell r="L318" t="str">
            <v>Afternoon</v>
          </cell>
          <cell r="M318" t="str">
            <v>Friday</v>
          </cell>
          <cell r="N318">
            <v>415.43999999999988</v>
          </cell>
        </row>
        <row r="319">
          <cell r="H319" t="str">
            <v>Online</v>
          </cell>
          <cell r="L319" t="str">
            <v>Morning</v>
          </cell>
          <cell r="M319" t="str">
            <v>Thursday</v>
          </cell>
          <cell r="N319">
            <v>1362.2</v>
          </cell>
        </row>
        <row r="320">
          <cell r="H320" t="str">
            <v>Gift Card</v>
          </cell>
          <cell r="L320" t="str">
            <v>Morning</v>
          </cell>
          <cell r="M320" t="str">
            <v>Tuesday</v>
          </cell>
          <cell r="N320">
            <v>633.67999999999995</v>
          </cell>
        </row>
        <row r="321">
          <cell r="H321" t="str">
            <v>Cash</v>
          </cell>
          <cell r="L321" t="str">
            <v>Evening</v>
          </cell>
          <cell r="M321" t="str">
            <v>Wednesday</v>
          </cell>
          <cell r="N321">
            <v>412.4</v>
          </cell>
        </row>
        <row r="322">
          <cell r="H322" t="str">
            <v>Gift Card</v>
          </cell>
          <cell r="L322" t="str">
            <v>Afternoon</v>
          </cell>
          <cell r="M322" t="str">
            <v>Thursday</v>
          </cell>
          <cell r="N322">
            <v>116.72</v>
          </cell>
        </row>
        <row r="323">
          <cell r="H323" t="str">
            <v>Online</v>
          </cell>
          <cell r="L323" t="str">
            <v>Morning</v>
          </cell>
          <cell r="M323" t="str">
            <v>Sunday</v>
          </cell>
          <cell r="N323">
            <v>3306</v>
          </cell>
        </row>
        <row r="324">
          <cell r="H324" t="str">
            <v>Debit Card</v>
          </cell>
          <cell r="L324" t="str">
            <v>Evening</v>
          </cell>
          <cell r="M324" t="str">
            <v>Thursday</v>
          </cell>
          <cell r="N324">
            <v>1211.5999999999999</v>
          </cell>
        </row>
        <row r="325">
          <cell r="H325" t="str">
            <v>Cash</v>
          </cell>
          <cell r="L325" t="str">
            <v>Afternoon</v>
          </cell>
          <cell r="M325" t="str">
            <v>Tuesday</v>
          </cell>
          <cell r="N325">
            <v>194.45</v>
          </cell>
        </row>
        <row r="326">
          <cell r="H326" t="str">
            <v>Debit Card</v>
          </cell>
          <cell r="L326" t="str">
            <v>Morning</v>
          </cell>
          <cell r="M326" t="str">
            <v>Wednesday</v>
          </cell>
          <cell r="N326">
            <v>1583.1</v>
          </cell>
        </row>
        <row r="327">
          <cell r="H327" t="str">
            <v>Gift Card</v>
          </cell>
          <cell r="L327" t="str">
            <v>Evening</v>
          </cell>
          <cell r="M327" t="str">
            <v>Tuesday</v>
          </cell>
          <cell r="N327">
            <v>3696.3</v>
          </cell>
        </row>
        <row r="328">
          <cell r="H328" t="str">
            <v>Credit Card</v>
          </cell>
          <cell r="L328" t="str">
            <v>Morning</v>
          </cell>
          <cell r="M328" t="str">
            <v>Thursday</v>
          </cell>
          <cell r="N328">
            <v>466.24</v>
          </cell>
        </row>
        <row r="329">
          <cell r="H329" t="str">
            <v>Gift Card</v>
          </cell>
          <cell r="L329" t="str">
            <v>Afternoon</v>
          </cell>
          <cell r="M329" t="str">
            <v>Sunday</v>
          </cell>
          <cell r="N329">
            <v>409.17</v>
          </cell>
        </row>
        <row r="330">
          <cell r="H330" t="str">
            <v>Debit Card</v>
          </cell>
          <cell r="L330" t="str">
            <v>Evening</v>
          </cell>
          <cell r="M330" t="str">
            <v>Friday</v>
          </cell>
          <cell r="N330">
            <v>1258.92</v>
          </cell>
        </row>
        <row r="331">
          <cell r="H331" t="str">
            <v>Debit Card</v>
          </cell>
          <cell r="L331" t="str">
            <v>Evening</v>
          </cell>
          <cell r="M331" t="str">
            <v>Friday</v>
          </cell>
          <cell r="N331">
            <v>1110</v>
          </cell>
        </row>
        <row r="332">
          <cell r="H332" t="str">
            <v>Online</v>
          </cell>
          <cell r="L332" t="str">
            <v>Morning</v>
          </cell>
          <cell r="M332" t="str">
            <v>Sunday</v>
          </cell>
          <cell r="N332">
            <v>785.28</v>
          </cell>
        </row>
        <row r="333">
          <cell r="H333" t="str">
            <v>Online</v>
          </cell>
          <cell r="L333" t="str">
            <v>Evening</v>
          </cell>
          <cell r="M333" t="str">
            <v>Tuesday</v>
          </cell>
          <cell r="N333">
            <v>2148.64</v>
          </cell>
        </row>
        <row r="334">
          <cell r="H334" t="str">
            <v>Cash</v>
          </cell>
          <cell r="L334" t="str">
            <v>Morning</v>
          </cell>
          <cell r="M334" t="str">
            <v>Monday</v>
          </cell>
          <cell r="N334">
            <v>46.55</v>
          </cell>
        </row>
        <row r="335">
          <cell r="H335" t="str">
            <v>Gift Card</v>
          </cell>
          <cell r="L335" t="str">
            <v>Evening</v>
          </cell>
          <cell r="M335" t="str">
            <v>Monday</v>
          </cell>
          <cell r="N335">
            <v>743.8</v>
          </cell>
        </row>
        <row r="336">
          <cell r="H336" t="str">
            <v>Online</v>
          </cell>
          <cell r="L336" t="str">
            <v>Evening</v>
          </cell>
          <cell r="M336" t="str">
            <v>Tuesday</v>
          </cell>
          <cell r="N336">
            <v>3549.78</v>
          </cell>
        </row>
        <row r="337">
          <cell r="H337" t="str">
            <v>Gift Card</v>
          </cell>
          <cell r="L337" t="str">
            <v>Morning</v>
          </cell>
          <cell r="M337" t="str">
            <v>Tuesday</v>
          </cell>
          <cell r="N337">
            <v>72</v>
          </cell>
        </row>
        <row r="338">
          <cell r="H338" t="str">
            <v>Debit Card</v>
          </cell>
          <cell r="L338" t="str">
            <v>Morning</v>
          </cell>
          <cell r="M338" t="str">
            <v>Friday</v>
          </cell>
          <cell r="N338">
            <v>1811.2</v>
          </cell>
        </row>
        <row r="339">
          <cell r="H339" t="str">
            <v>Credit Card</v>
          </cell>
          <cell r="L339" t="str">
            <v>Evening</v>
          </cell>
          <cell r="M339" t="str">
            <v>Monday</v>
          </cell>
          <cell r="N339">
            <v>1054.6199999999999</v>
          </cell>
        </row>
        <row r="340">
          <cell r="H340" t="str">
            <v>Debit Card</v>
          </cell>
          <cell r="L340" t="str">
            <v>Evening</v>
          </cell>
          <cell r="M340" t="str">
            <v>Monday</v>
          </cell>
          <cell r="N340">
            <v>1099.77</v>
          </cell>
        </row>
        <row r="341">
          <cell r="H341" t="str">
            <v>Cash</v>
          </cell>
          <cell r="L341" t="str">
            <v>Evening</v>
          </cell>
          <cell r="M341" t="str">
            <v>Tuesday</v>
          </cell>
          <cell r="N341">
            <v>3927.1</v>
          </cell>
        </row>
        <row r="342">
          <cell r="H342" t="str">
            <v>Debit Card</v>
          </cell>
          <cell r="L342" t="str">
            <v>Afternoon</v>
          </cell>
          <cell r="M342" t="str">
            <v>Friday</v>
          </cell>
          <cell r="N342">
            <v>2482.08</v>
          </cell>
        </row>
        <row r="343">
          <cell r="H343" t="str">
            <v>Credit Card</v>
          </cell>
          <cell r="L343" t="str">
            <v>Evening</v>
          </cell>
          <cell r="M343" t="str">
            <v>Thursday</v>
          </cell>
          <cell r="N343">
            <v>107.19</v>
          </cell>
        </row>
        <row r="344">
          <cell r="H344" t="str">
            <v>Online</v>
          </cell>
          <cell r="L344" t="str">
            <v>Morning</v>
          </cell>
          <cell r="M344" t="str">
            <v>Monday</v>
          </cell>
          <cell r="N344">
            <v>367.5</v>
          </cell>
        </row>
        <row r="345">
          <cell r="H345" t="str">
            <v>Gift Card</v>
          </cell>
          <cell r="L345" t="str">
            <v>Evening</v>
          </cell>
          <cell r="M345" t="str">
            <v>Saturday</v>
          </cell>
          <cell r="N345">
            <v>375.32</v>
          </cell>
        </row>
        <row r="346">
          <cell r="H346" t="str">
            <v>Cash</v>
          </cell>
          <cell r="L346" t="str">
            <v>Evening</v>
          </cell>
          <cell r="M346" t="str">
            <v>Monday</v>
          </cell>
          <cell r="N346">
            <v>165.46</v>
          </cell>
        </row>
        <row r="347">
          <cell r="H347" t="str">
            <v>Credit Card</v>
          </cell>
          <cell r="L347" t="str">
            <v>Afternoon</v>
          </cell>
          <cell r="M347" t="str">
            <v>Monday</v>
          </cell>
          <cell r="N347">
            <v>227.17</v>
          </cell>
        </row>
        <row r="348">
          <cell r="H348" t="str">
            <v>Cash</v>
          </cell>
          <cell r="L348" t="str">
            <v>Morning</v>
          </cell>
          <cell r="M348" t="str">
            <v>Thursday</v>
          </cell>
          <cell r="N348">
            <v>181</v>
          </cell>
        </row>
        <row r="349">
          <cell r="H349" t="str">
            <v>Online</v>
          </cell>
          <cell r="L349" t="str">
            <v>Evening</v>
          </cell>
          <cell r="M349" t="str">
            <v>Friday</v>
          </cell>
          <cell r="N349">
            <v>657</v>
          </cell>
        </row>
        <row r="350">
          <cell r="H350" t="str">
            <v>Cash</v>
          </cell>
          <cell r="L350" t="str">
            <v>Afternoon</v>
          </cell>
          <cell r="M350" t="str">
            <v>Friday</v>
          </cell>
          <cell r="N350">
            <v>1475.96</v>
          </cell>
        </row>
        <row r="351">
          <cell r="H351" t="str">
            <v>Credit Card</v>
          </cell>
          <cell r="L351" t="str">
            <v>Evening</v>
          </cell>
          <cell r="M351" t="str">
            <v>Wednesday</v>
          </cell>
          <cell r="N351">
            <v>982.7299999999999</v>
          </cell>
        </row>
        <row r="352">
          <cell r="H352" t="str">
            <v>Cash</v>
          </cell>
          <cell r="L352" t="str">
            <v>Morning</v>
          </cell>
          <cell r="M352" t="str">
            <v>Friday</v>
          </cell>
          <cell r="N352">
            <v>468.3</v>
          </cell>
        </row>
        <row r="353">
          <cell r="H353" t="str">
            <v>Online</v>
          </cell>
          <cell r="L353" t="str">
            <v>Evening</v>
          </cell>
          <cell r="M353" t="str">
            <v>Tuesday</v>
          </cell>
          <cell r="N353">
            <v>2858.88</v>
          </cell>
        </row>
        <row r="354">
          <cell r="H354" t="str">
            <v>Cash</v>
          </cell>
          <cell r="L354" t="str">
            <v>Afternoon</v>
          </cell>
          <cell r="M354" t="str">
            <v>Tuesday</v>
          </cell>
          <cell r="N354">
            <v>3154.14</v>
          </cell>
        </row>
        <row r="355">
          <cell r="H355" t="str">
            <v>Cash</v>
          </cell>
          <cell r="L355" t="str">
            <v>Morning</v>
          </cell>
          <cell r="M355" t="str">
            <v>Monday</v>
          </cell>
          <cell r="N355">
            <v>2141.8000000000002</v>
          </cell>
        </row>
        <row r="356">
          <cell r="H356" t="str">
            <v>Debit Card</v>
          </cell>
          <cell r="L356" t="str">
            <v>Evening</v>
          </cell>
          <cell r="M356" t="str">
            <v>Saturday</v>
          </cell>
          <cell r="N356">
            <v>3029</v>
          </cell>
        </row>
        <row r="357">
          <cell r="H357" t="str">
            <v>Online</v>
          </cell>
          <cell r="L357" t="str">
            <v>Evening</v>
          </cell>
          <cell r="M357" t="str">
            <v>Monday</v>
          </cell>
          <cell r="N357">
            <v>193.56</v>
          </cell>
        </row>
        <row r="358">
          <cell r="H358" t="str">
            <v>Debit Card</v>
          </cell>
          <cell r="L358" t="str">
            <v>Morning</v>
          </cell>
          <cell r="M358" t="str">
            <v>Friday</v>
          </cell>
          <cell r="N358">
            <v>92.34</v>
          </cell>
        </row>
        <row r="359">
          <cell r="H359" t="str">
            <v>Gift Card</v>
          </cell>
          <cell r="L359" t="str">
            <v>Afternoon</v>
          </cell>
          <cell r="M359" t="str">
            <v>Friday</v>
          </cell>
          <cell r="N359">
            <v>917</v>
          </cell>
        </row>
        <row r="360">
          <cell r="H360" t="str">
            <v>Debit Card</v>
          </cell>
          <cell r="L360" t="str">
            <v>Evening</v>
          </cell>
          <cell r="M360" t="str">
            <v>Friday</v>
          </cell>
          <cell r="N360">
            <v>1787.31</v>
          </cell>
        </row>
        <row r="361">
          <cell r="H361" t="str">
            <v>Credit Card</v>
          </cell>
          <cell r="L361" t="str">
            <v>Morning</v>
          </cell>
          <cell r="M361" t="str">
            <v>Saturday</v>
          </cell>
          <cell r="N361">
            <v>1705.76</v>
          </cell>
        </row>
        <row r="362">
          <cell r="H362" t="str">
            <v>Debit Card</v>
          </cell>
          <cell r="L362" t="str">
            <v>Evening</v>
          </cell>
          <cell r="M362" t="str">
            <v>Tuesday</v>
          </cell>
          <cell r="N362">
            <v>805.84</v>
          </cell>
        </row>
        <row r="363">
          <cell r="H363" t="str">
            <v>Debit Card</v>
          </cell>
          <cell r="L363" t="str">
            <v>Evening</v>
          </cell>
          <cell r="M363" t="str">
            <v>Thursday</v>
          </cell>
          <cell r="N363">
            <v>528.07999999999993</v>
          </cell>
        </row>
        <row r="364">
          <cell r="H364" t="str">
            <v>Cash</v>
          </cell>
          <cell r="L364" t="str">
            <v>Evening</v>
          </cell>
          <cell r="M364" t="str">
            <v>Wednesday</v>
          </cell>
          <cell r="N364">
            <v>251.16</v>
          </cell>
        </row>
        <row r="365">
          <cell r="H365" t="str">
            <v>Cash</v>
          </cell>
          <cell r="L365" t="str">
            <v>Evening</v>
          </cell>
          <cell r="M365" t="str">
            <v>Wednesday</v>
          </cell>
          <cell r="N365">
            <v>5.74</v>
          </cell>
        </row>
        <row r="366">
          <cell r="H366" t="str">
            <v>Online</v>
          </cell>
          <cell r="L366" t="str">
            <v>Morning</v>
          </cell>
          <cell r="M366" t="str">
            <v>Monday</v>
          </cell>
          <cell r="N366">
            <v>1619.68</v>
          </cell>
        </row>
        <row r="367">
          <cell r="H367" t="str">
            <v>Credit Card</v>
          </cell>
          <cell r="L367" t="str">
            <v>Evening</v>
          </cell>
          <cell r="M367" t="str">
            <v>Sunday</v>
          </cell>
          <cell r="N367">
            <v>763.14</v>
          </cell>
        </row>
        <row r="368">
          <cell r="H368" t="str">
            <v>Online</v>
          </cell>
          <cell r="L368" t="str">
            <v>Afternoon</v>
          </cell>
          <cell r="M368" t="str">
            <v>Thursday</v>
          </cell>
          <cell r="N368">
            <v>1561.44</v>
          </cell>
        </row>
        <row r="369">
          <cell r="H369" t="str">
            <v>Credit Card</v>
          </cell>
          <cell r="L369" t="str">
            <v>Evening</v>
          </cell>
          <cell r="M369" t="str">
            <v>Thursday</v>
          </cell>
          <cell r="N369">
            <v>1591.38</v>
          </cell>
        </row>
        <row r="370">
          <cell r="H370" t="str">
            <v>Credit Card</v>
          </cell>
          <cell r="L370" t="str">
            <v>Afternoon</v>
          </cell>
          <cell r="M370" t="str">
            <v>Thursday</v>
          </cell>
          <cell r="N370">
            <v>925.36</v>
          </cell>
        </row>
        <row r="371">
          <cell r="H371" t="str">
            <v>Debit Card</v>
          </cell>
          <cell r="L371" t="str">
            <v>Morning</v>
          </cell>
          <cell r="M371" t="str">
            <v>Tuesday</v>
          </cell>
          <cell r="N371">
            <v>840.91</v>
          </cell>
        </row>
        <row r="372">
          <cell r="H372" t="str">
            <v>Gift Card</v>
          </cell>
          <cell r="L372" t="str">
            <v>Afternoon</v>
          </cell>
          <cell r="M372" t="str">
            <v>Monday</v>
          </cell>
          <cell r="N372">
            <v>3405.87</v>
          </cell>
        </row>
        <row r="373">
          <cell r="H373" t="str">
            <v>Gift Card</v>
          </cell>
          <cell r="L373" t="str">
            <v>Afternoon</v>
          </cell>
          <cell r="M373" t="str">
            <v>Saturday</v>
          </cell>
          <cell r="N373">
            <v>796.32</v>
          </cell>
        </row>
        <row r="374">
          <cell r="H374" t="str">
            <v>Cash</v>
          </cell>
          <cell r="L374" t="str">
            <v>Afternoon</v>
          </cell>
          <cell r="M374" t="str">
            <v>Thursday</v>
          </cell>
          <cell r="N374">
            <v>3503.25</v>
          </cell>
        </row>
        <row r="375">
          <cell r="H375" t="str">
            <v>Cash</v>
          </cell>
          <cell r="L375" t="str">
            <v>Evening</v>
          </cell>
          <cell r="M375" t="str">
            <v>Monday</v>
          </cell>
          <cell r="N375">
            <v>322.86</v>
          </cell>
        </row>
        <row r="376">
          <cell r="H376" t="str">
            <v>Credit Card</v>
          </cell>
          <cell r="L376" t="str">
            <v>Evening</v>
          </cell>
          <cell r="M376" t="str">
            <v>Wednesday</v>
          </cell>
          <cell r="N376">
            <v>903.69</v>
          </cell>
        </row>
        <row r="377">
          <cell r="H377" t="str">
            <v>Credit Card</v>
          </cell>
          <cell r="L377" t="str">
            <v>Evening</v>
          </cell>
          <cell r="M377" t="str">
            <v>Wednesday</v>
          </cell>
          <cell r="N377">
            <v>2871.28</v>
          </cell>
        </row>
        <row r="378">
          <cell r="H378" t="str">
            <v>Gift Card</v>
          </cell>
          <cell r="L378" t="str">
            <v>Morning</v>
          </cell>
          <cell r="M378" t="str">
            <v>Saturday</v>
          </cell>
          <cell r="N378">
            <v>1684.06</v>
          </cell>
        </row>
        <row r="379">
          <cell r="H379" t="str">
            <v>Gift Card</v>
          </cell>
          <cell r="L379" t="str">
            <v>Morning</v>
          </cell>
          <cell r="M379" t="str">
            <v>Tuesday</v>
          </cell>
          <cell r="N379">
            <v>1873.2</v>
          </cell>
        </row>
        <row r="380">
          <cell r="H380" t="str">
            <v>Gift Card</v>
          </cell>
          <cell r="L380" t="str">
            <v>Afternoon</v>
          </cell>
          <cell r="M380" t="str">
            <v>Tuesday</v>
          </cell>
          <cell r="N380">
            <v>345.24</v>
          </cell>
        </row>
        <row r="381">
          <cell r="H381" t="str">
            <v>Debit Card</v>
          </cell>
          <cell r="L381" t="str">
            <v>Afternoon</v>
          </cell>
          <cell r="M381" t="str">
            <v>Wednesday</v>
          </cell>
          <cell r="N381">
            <v>485.95</v>
          </cell>
        </row>
        <row r="382">
          <cell r="H382" t="str">
            <v>Credit Card</v>
          </cell>
          <cell r="L382" t="str">
            <v>Afternoon</v>
          </cell>
          <cell r="M382" t="str">
            <v>Monday</v>
          </cell>
          <cell r="N382">
            <v>3149.46</v>
          </cell>
        </row>
        <row r="383">
          <cell r="H383" t="str">
            <v>Cash</v>
          </cell>
          <cell r="L383" t="str">
            <v>Afternoon</v>
          </cell>
          <cell r="M383" t="str">
            <v>Sunday</v>
          </cell>
          <cell r="N383">
            <v>2131.3000000000002</v>
          </cell>
        </row>
        <row r="384">
          <cell r="H384" t="str">
            <v>Gift Card</v>
          </cell>
          <cell r="L384" t="str">
            <v>Evening</v>
          </cell>
          <cell r="M384" t="str">
            <v>Tuesday</v>
          </cell>
          <cell r="N384">
            <v>1063.44</v>
          </cell>
        </row>
        <row r="385">
          <cell r="H385" t="str">
            <v>Debit Card</v>
          </cell>
          <cell r="L385" t="str">
            <v>Afternoon</v>
          </cell>
          <cell r="M385" t="str">
            <v>Sunday</v>
          </cell>
          <cell r="N385">
            <v>897.92</v>
          </cell>
        </row>
        <row r="386">
          <cell r="H386" t="str">
            <v>Cash</v>
          </cell>
          <cell r="L386" t="str">
            <v>Morning</v>
          </cell>
          <cell r="M386" t="str">
            <v>Sunday</v>
          </cell>
          <cell r="N386">
            <v>33.06</v>
          </cell>
        </row>
        <row r="387">
          <cell r="H387" t="str">
            <v>Credit Card</v>
          </cell>
          <cell r="L387" t="str">
            <v>Afternoon</v>
          </cell>
          <cell r="M387" t="str">
            <v>Thursday</v>
          </cell>
          <cell r="N387">
            <v>563.96</v>
          </cell>
        </row>
        <row r="388">
          <cell r="H388" t="str">
            <v>Debit Card</v>
          </cell>
          <cell r="L388" t="str">
            <v>Afternoon</v>
          </cell>
          <cell r="M388" t="str">
            <v>Tuesday</v>
          </cell>
          <cell r="N388">
            <v>1517.31</v>
          </cell>
        </row>
        <row r="389">
          <cell r="H389" t="str">
            <v>Online</v>
          </cell>
          <cell r="L389" t="str">
            <v>Afternoon</v>
          </cell>
          <cell r="M389" t="str">
            <v>Tuesday</v>
          </cell>
          <cell r="N389">
            <v>1275.3900000000001</v>
          </cell>
        </row>
        <row r="390">
          <cell r="H390" t="str">
            <v>Gift Card</v>
          </cell>
          <cell r="L390" t="str">
            <v>Evening</v>
          </cell>
          <cell r="M390" t="str">
            <v>Friday</v>
          </cell>
          <cell r="N390">
            <v>3083.28</v>
          </cell>
        </row>
        <row r="391">
          <cell r="H391" t="str">
            <v>Online</v>
          </cell>
          <cell r="L391" t="str">
            <v>Evening</v>
          </cell>
          <cell r="M391" t="str">
            <v>Thursday</v>
          </cell>
          <cell r="N391">
            <v>563.5</v>
          </cell>
        </row>
        <row r="392">
          <cell r="H392" t="str">
            <v>Gift Card</v>
          </cell>
          <cell r="L392" t="str">
            <v>Afternoon</v>
          </cell>
          <cell r="M392" t="str">
            <v>Monday</v>
          </cell>
          <cell r="N392">
            <v>2922.48</v>
          </cell>
        </row>
        <row r="393">
          <cell r="H393" t="str">
            <v>Gift Card</v>
          </cell>
          <cell r="L393" t="str">
            <v>Morning</v>
          </cell>
          <cell r="M393" t="str">
            <v>Saturday</v>
          </cell>
          <cell r="N393">
            <v>891.51</v>
          </cell>
        </row>
        <row r="394">
          <cell r="H394" t="str">
            <v>Debit Card</v>
          </cell>
          <cell r="L394" t="str">
            <v>Evening</v>
          </cell>
          <cell r="M394" t="str">
            <v>Wednesday</v>
          </cell>
          <cell r="N394">
            <v>3170.07</v>
          </cell>
        </row>
        <row r="395">
          <cell r="H395" t="str">
            <v>Debit Card</v>
          </cell>
          <cell r="L395" t="str">
            <v>Evening</v>
          </cell>
          <cell r="M395" t="str">
            <v>Tuesday</v>
          </cell>
          <cell r="N395">
            <v>2135.2199999999998</v>
          </cell>
        </row>
        <row r="396">
          <cell r="H396" t="str">
            <v>Debit Card</v>
          </cell>
          <cell r="L396" t="str">
            <v>Afternoon</v>
          </cell>
          <cell r="M396" t="str">
            <v>Tuesday</v>
          </cell>
          <cell r="N396">
            <v>1314.52</v>
          </cell>
        </row>
        <row r="397">
          <cell r="H397" t="str">
            <v>Cash</v>
          </cell>
          <cell r="L397" t="str">
            <v>Afternoon</v>
          </cell>
          <cell r="M397" t="str">
            <v>Thursday</v>
          </cell>
          <cell r="N397">
            <v>1017.12</v>
          </cell>
        </row>
        <row r="398">
          <cell r="H398" t="str">
            <v>Credit Card</v>
          </cell>
          <cell r="L398" t="str">
            <v>Morning</v>
          </cell>
          <cell r="M398" t="str">
            <v>Wednesday</v>
          </cell>
          <cell r="N398">
            <v>993.99</v>
          </cell>
        </row>
        <row r="399">
          <cell r="H399" t="str">
            <v>Debit Card</v>
          </cell>
          <cell r="L399" t="str">
            <v>Evening</v>
          </cell>
          <cell r="M399" t="str">
            <v>Monday</v>
          </cell>
          <cell r="N399">
            <v>1058.0999999999999</v>
          </cell>
        </row>
        <row r="400">
          <cell r="H400" t="str">
            <v>Cash</v>
          </cell>
          <cell r="L400" t="str">
            <v>Evening</v>
          </cell>
          <cell r="M400" t="str">
            <v>Sunday</v>
          </cell>
          <cell r="N400">
            <v>323.92</v>
          </cell>
        </row>
        <row r="401">
          <cell r="H401" t="str">
            <v>Gift Card</v>
          </cell>
          <cell r="L401" t="str">
            <v>Afternoon</v>
          </cell>
          <cell r="M401" t="str">
            <v>Thursday</v>
          </cell>
          <cell r="N401">
            <v>1236.06</v>
          </cell>
        </row>
        <row r="402">
          <cell r="H402" t="str">
            <v>Online</v>
          </cell>
          <cell r="L402" t="str">
            <v>Morning</v>
          </cell>
          <cell r="M402" t="str">
            <v>Saturday</v>
          </cell>
          <cell r="N402">
            <v>594.16</v>
          </cell>
        </row>
        <row r="403">
          <cell r="H403" t="str">
            <v>Debit Card</v>
          </cell>
          <cell r="L403" t="str">
            <v>Afternoon</v>
          </cell>
          <cell r="M403" t="str">
            <v>Sunday</v>
          </cell>
          <cell r="N403">
            <v>3239.1</v>
          </cell>
        </row>
        <row r="404">
          <cell r="H404" t="str">
            <v>Gift Card</v>
          </cell>
          <cell r="L404" t="str">
            <v>Evening</v>
          </cell>
          <cell r="M404" t="str">
            <v>Wednesday</v>
          </cell>
          <cell r="N404">
            <v>350.01</v>
          </cell>
        </row>
        <row r="405">
          <cell r="H405" t="str">
            <v>Online</v>
          </cell>
          <cell r="L405" t="str">
            <v>Evening</v>
          </cell>
          <cell r="M405" t="str">
            <v>Friday</v>
          </cell>
          <cell r="N405">
            <v>809.35</v>
          </cell>
        </row>
        <row r="406">
          <cell r="H406" t="str">
            <v>Cash</v>
          </cell>
          <cell r="L406" t="str">
            <v>Evening</v>
          </cell>
          <cell r="M406" t="str">
            <v>Tuesday</v>
          </cell>
          <cell r="N406">
            <v>653.79999999999995</v>
          </cell>
        </row>
        <row r="407">
          <cell r="H407" t="str">
            <v>Online</v>
          </cell>
          <cell r="L407" t="str">
            <v>Evening</v>
          </cell>
          <cell r="M407" t="str">
            <v>Sunday</v>
          </cell>
          <cell r="N407">
            <v>543.41</v>
          </cell>
        </row>
        <row r="408">
          <cell r="H408" t="str">
            <v>Online</v>
          </cell>
          <cell r="L408" t="str">
            <v>Afternoon</v>
          </cell>
          <cell r="M408" t="str">
            <v>Sunday</v>
          </cell>
          <cell r="N408">
            <v>1861.92</v>
          </cell>
        </row>
        <row r="409">
          <cell r="H409" t="str">
            <v>Cash</v>
          </cell>
          <cell r="L409" t="str">
            <v>Afternoon</v>
          </cell>
          <cell r="M409" t="str">
            <v>Friday</v>
          </cell>
          <cell r="N409">
            <v>1782</v>
          </cell>
        </row>
        <row r="410">
          <cell r="H410" t="str">
            <v>Gift Card</v>
          </cell>
          <cell r="L410" t="str">
            <v>Evening</v>
          </cell>
          <cell r="M410" t="str">
            <v>Wednesday</v>
          </cell>
          <cell r="N410">
            <v>893.16000000000008</v>
          </cell>
        </row>
        <row r="411">
          <cell r="H411" t="str">
            <v>Gift Card</v>
          </cell>
          <cell r="L411" t="str">
            <v>Morning</v>
          </cell>
          <cell r="M411" t="str">
            <v>Saturday</v>
          </cell>
          <cell r="N411">
            <v>1876.1</v>
          </cell>
        </row>
        <row r="412">
          <cell r="H412" t="str">
            <v>Cash</v>
          </cell>
          <cell r="L412" t="str">
            <v>Evening</v>
          </cell>
          <cell r="M412" t="str">
            <v>Tuesday</v>
          </cell>
          <cell r="N412">
            <v>884.19</v>
          </cell>
        </row>
        <row r="413">
          <cell r="H413" t="str">
            <v>Cash</v>
          </cell>
          <cell r="L413" t="str">
            <v>Afternoon</v>
          </cell>
          <cell r="M413" t="str">
            <v>Monday</v>
          </cell>
          <cell r="N413">
            <v>188.82</v>
          </cell>
        </row>
        <row r="414">
          <cell r="H414" t="str">
            <v>Online</v>
          </cell>
          <cell r="L414" t="str">
            <v>Afternoon</v>
          </cell>
          <cell r="M414" t="str">
            <v>Monday</v>
          </cell>
          <cell r="N414">
            <v>633.29999999999995</v>
          </cell>
        </row>
        <row r="415">
          <cell r="H415" t="str">
            <v>Online</v>
          </cell>
          <cell r="L415" t="str">
            <v>Morning</v>
          </cell>
          <cell r="M415" t="str">
            <v>Thursday</v>
          </cell>
          <cell r="N415">
            <v>782.56</v>
          </cell>
        </row>
        <row r="416">
          <cell r="H416" t="str">
            <v>Gift Card</v>
          </cell>
          <cell r="L416" t="str">
            <v>Afternoon</v>
          </cell>
          <cell r="M416" t="str">
            <v>Monday</v>
          </cell>
          <cell r="N416">
            <v>452.61</v>
          </cell>
        </row>
        <row r="417">
          <cell r="H417" t="str">
            <v>Cash</v>
          </cell>
          <cell r="L417" t="str">
            <v>Morning</v>
          </cell>
          <cell r="M417" t="str">
            <v>Monday</v>
          </cell>
          <cell r="N417">
            <v>251.84</v>
          </cell>
        </row>
        <row r="418">
          <cell r="H418" t="str">
            <v>Online</v>
          </cell>
          <cell r="L418" t="str">
            <v>Afternoon</v>
          </cell>
          <cell r="M418" t="str">
            <v>Saturday</v>
          </cell>
          <cell r="N418">
            <v>3121.4</v>
          </cell>
        </row>
        <row r="419">
          <cell r="H419" t="str">
            <v>Cash</v>
          </cell>
          <cell r="L419" t="str">
            <v>Afternoon</v>
          </cell>
          <cell r="M419" t="str">
            <v>Wednesday</v>
          </cell>
          <cell r="N419">
            <v>1205.25</v>
          </cell>
        </row>
        <row r="420">
          <cell r="H420" t="str">
            <v>Credit Card</v>
          </cell>
          <cell r="L420" t="str">
            <v>Afternoon</v>
          </cell>
          <cell r="M420" t="str">
            <v>Sunday</v>
          </cell>
          <cell r="N420">
            <v>1334.82</v>
          </cell>
        </row>
        <row r="421">
          <cell r="H421" t="str">
            <v>Online</v>
          </cell>
          <cell r="L421" t="str">
            <v>Evening</v>
          </cell>
          <cell r="M421" t="str">
            <v>Saturday</v>
          </cell>
          <cell r="N421">
            <v>1875.16</v>
          </cell>
        </row>
        <row r="422">
          <cell r="H422" t="str">
            <v>Debit Card</v>
          </cell>
          <cell r="L422" t="str">
            <v>Morning</v>
          </cell>
          <cell r="M422" t="str">
            <v>Wednesday</v>
          </cell>
          <cell r="N422">
            <v>128.69</v>
          </cell>
        </row>
        <row r="423">
          <cell r="H423" t="str">
            <v>Cash</v>
          </cell>
          <cell r="L423" t="str">
            <v>Afternoon</v>
          </cell>
          <cell r="M423" t="str">
            <v>Tuesday</v>
          </cell>
          <cell r="N423">
            <v>1297.5999999999999</v>
          </cell>
        </row>
        <row r="424">
          <cell r="H424" t="str">
            <v>Credit Card</v>
          </cell>
          <cell r="L424" t="str">
            <v>Afternoon</v>
          </cell>
          <cell r="M424" t="str">
            <v>Friday</v>
          </cell>
          <cell r="N424">
            <v>514</v>
          </cell>
        </row>
        <row r="425">
          <cell r="H425" t="str">
            <v>Cash</v>
          </cell>
          <cell r="L425" t="str">
            <v>Morning</v>
          </cell>
          <cell r="M425" t="str">
            <v>Wednesday</v>
          </cell>
          <cell r="N425">
            <v>208.28</v>
          </cell>
        </row>
        <row r="426">
          <cell r="H426" t="str">
            <v>Debit Card</v>
          </cell>
          <cell r="L426" t="str">
            <v>Afternoon</v>
          </cell>
          <cell r="M426" t="str">
            <v>Friday</v>
          </cell>
          <cell r="N426">
            <v>810.90000000000009</v>
          </cell>
        </row>
        <row r="427">
          <cell r="H427" t="str">
            <v>Debit Card</v>
          </cell>
          <cell r="L427" t="str">
            <v>Morning</v>
          </cell>
          <cell r="M427" t="str">
            <v>Monday</v>
          </cell>
          <cell r="N427">
            <v>980.90000000000009</v>
          </cell>
        </row>
        <row r="428">
          <cell r="H428" t="str">
            <v>Debit Card</v>
          </cell>
          <cell r="L428" t="str">
            <v>Evening</v>
          </cell>
          <cell r="M428" t="str">
            <v>Sunday</v>
          </cell>
          <cell r="N428">
            <v>724.16</v>
          </cell>
        </row>
        <row r="429">
          <cell r="H429" t="str">
            <v>Gift Card</v>
          </cell>
          <cell r="L429" t="str">
            <v>Evening</v>
          </cell>
          <cell r="M429" t="str">
            <v>Thursday</v>
          </cell>
          <cell r="N429">
            <v>202.72</v>
          </cell>
        </row>
        <row r="430">
          <cell r="H430" t="str">
            <v>Debit Card</v>
          </cell>
          <cell r="L430" t="str">
            <v>Evening</v>
          </cell>
          <cell r="M430" t="str">
            <v>Sunday</v>
          </cell>
          <cell r="N430">
            <v>169.14</v>
          </cell>
        </row>
        <row r="431">
          <cell r="H431" t="str">
            <v>Debit Card</v>
          </cell>
          <cell r="L431" t="str">
            <v>Afternoon</v>
          </cell>
          <cell r="M431" t="str">
            <v>Tuesday</v>
          </cell>
          <cell r="N431">
            <v>2040</v>
          </cell>
        </row>
        <row r="432">
          <cell r="H432" t="str">
            <v>Cash</v>
          </cell>
          <cell r="L432" t="str">
            <v>Evening</v>
          </cell>
          <cell r="M432" t="str">
            <v>Tuesday</v>
          </cell>
          <cell r="N432">
            <v>577.43999999999994</v>
          </cell>
        </row>
        <row r="433">
          <cell r="H433" t="str">
            <v>Cash</v>
          </cell>
          <cell r="L433" t="str">
            <v>Evening</v>
          </cell>
          <cell r="M433" t="str">
            <v>Thursday</v>
          </cell>
          <cell r="N433">
            <v>1013.8</v>
          </cell>
        </row>
        <row r="434">
          <cell r="H434" t="str">
            <v>Cash</v>
          </cell>
          <cell r="L434" t="str">
            <v>Morning</v>
          </cell>
          <cell r="M434" t="str">
            <v>Sunday</v>
          </cell>
          <cell r="N434">
            <v>1872.08</v>
          </cell>
        </row>
        <row r="435">
          <cell r="H435" t="str">
            <v>Credit Card</v>
          </cell>
          <cell r="L435" t="str">
            <v>Evening</v>
          </cell>
          <cell r="M435" t="str">
            <v>Sunday</v>
          </cell>
          <cell r="N435">
            <v>1320.16</v>
          </cell>
        </row>
        <row r="436">
          <cell r="H436" t="str">
            <v>Gift Card</v>
          </cell>
          <cell r="L436" t="str">
            <v>Afternoon</v>
          </cell>
          <cell r="M436" t="str">
            <v>Sunday</v>
          </cell>
          <cell r="N436">
            <v>1534.8</v>
          </cell>
        </row>
        <row r="437">
          <cell r="H437" t="str">
            <v>Online</v>
          </cell>
          <cell r="L437" t="str">
            <v>Afternoon</v>
          </cell>
          <cell r="M437" t="str">
            <v>Wednesday</v>
          </cell>
          <cell r="N437">
            <v>1236.96</v>
          </cell>
        </row>
        <row r="438">
          <cell r="H438" t="str">
            <v>Online</v>
          </cell>
          <cell r="L438" t="str">
            <v>Morning</v>
          </cell>
          <cell r="M438" t="str">
            <v>Tuesday</v>
          </cell>
          <cell r="N438">
            <v>398.15</v>
          </cell>
        </row>
        <row r="439">
          <cell r="H439" t="str">
            <v>Gift Card</v>
          </cell>
          <cell r="L439" t="str">
            <v>Afternoon</v>
          </cell>
          <cell r="M439" t="str">
            <v>Sunday</v>
          </cell>
          <cell r="N439">
            <v>770.06999999999994</v>
          </cell>
        </row>
        <row r="440">
          <cell r="H440" t="str">
            <v>Online</v>
          </cell>
          <cell r="L440" t="str">
            <v>Morning</v>
          </cell>
          <cell r="M440" t="str">
            <v>Monday</v>
          </cell>
          <cell r="N440">
            <v>1245.5999999999999</v>
          </cell>
        </row>
        <row r="441">
          <cell r="H441" t="str">
            <v>Online</v>
          </cell>
          <cell r="L441" t="str">
            <v>Evening</v>
          </cell>
          <cell r="M441" t="str">
            <v>Thursday</v>
          </cell>
          <cell r="N441">
            <v>715.05</v>
          </cell>
        </row>
        <row r="442">
          <cell r="H442" t="str">
            <v>Debit Card</v>
          </cell>
          <cell r="L442" t="str">
            <v>Afternoon</v>
          </cell>
          <cell r="M442" t="str">
            <v>Saturday</v>
          </cell>
          <cell r="N442">
            <v>654.28</v>
          </cell>
        </row>
        <row r="443">
          <cell r="H443" t="str">
            <v>Online</v>
          </cell>
          <cell r="L443" t="str">
            <v>Evening</v>
          </cell>
          <cell r="M443" t="str">
            <v>Saturday</v>
          </cell>
          <cell r="N443">
            <v>182.66</v>
          </cell>
        </row>
        <row r="444">
          <cell r="H444" t="str">
            <v>Credit Card</v>
          </cell>
          <cell r="L444" t="str">
            <v>Afternoon</v>
          </cell>
          <cell r="M444" t="str">
            <v>Friday</v>
          </cell>
          <cell r="N444">
            <v>599.17999999999995</v>
          </cell>
        </row>
        <row r="445">
          <cell r="H445" t="str">
            <v>Online</v>
          </cell>
          <cell r="L445" t="str">
            <v>Afternoon</v>
          </cell>
          <cell r="M445" t="str">
            <v>Sunday</v>
          </cell>
          <cell r="N445">
            <v>322.88</v>
          </cell>
        </row>
        <row r="446">
          <cell r="H446" t="str">
            <v>Gift Card</v>
          </cell>
          <cell r="L446" t="str">
            <v>Afternoon</v>
          </cell>
          <cell r="M446" t="str">
            <v>Sunday</v>
          </cell>
          <cell r="N446">
            <v>1705.2</v>
          </cell>
        </row>
        <row r="447">
          <cell r="H447" t="str">
            <v>Gift Card</v>
          </cell>
          <cell r="L447" t="str">
            <v>Morning</v>
          </cell>
          <cell r="M447" t="str">
            <v>Monday</v>
          </cell>
          <cell r="N447">
            <v>2126.46</v>
          </cell>
        </row>
        <row r="448">
          <cell r="H448" t="str">
            <v>Debit Card</v>
          </cell>
          <cell r="L448" t="str">
            <v>Afternoon</v>
          </cell>
          <cell r="M448" t="str">
            <v>Friday</v>
          </cell>
          <cell r="N448">
            <v>601.84</v>
          </cell>
        </row>
        <row r="449">
          <cell r="H449" t="str">
            <v>Debit Card</v>
          </cell>
          <cell r="L449" t="str">
            <v>Afternoon</v>
          </cell>
          <cell r="M449" t="str">
            <v>Wednesday</v>
          </cell>
          <cell r="N449">
            <v>988.5</v>
          </cell>
        </row>
        <row r="450">
          <cell r="H450" t="str">
            <v>Debit Card</v>
          </cell>
          <cell r="L450" t="str">
            <v>Morning</v>
          </cell>
          <cell r="M450" t="str">
            <v>Sunday</v>
          </cell>
          <cell r="N450">
            <v>3027.2</v>
          </cell>
        </row>
        <row r="451">
          <cell r="H451" t="str">
            <v>Debit Card</v>
          </cell>
          <cell r="L451" t="str">
            <v>Morning</v>
          </cell>
          <cell r="M451" t="str">
            <v>Monday</v>
          </cell>
          <cell r="N451">
            <v>759.99</v>
          </cell>
        </row>
        <row r="452">
          <cell r="H452" t="str">
            <v>Debit Card</v>
          </cell>
          <cell r="L452" t="str">
            <v>Afternoon</v>
          </cell>
          <cell r="M452" t="str">
            <v>Monday</v>
          </cell>
          <cell r="N452">
            <v>36.85</v>
          </cell>
        </row>
        <row r="453">
          <cell r="H453" t="str">
            <v>Debit Card</v>
          </cell>
          <cell r="L453" t="str">
            <v>Evening</v>
          </cell>
          <cell r="M453" t="str">
            <v>Thursday</v>
          </cell>
          <cell r="N453">
            <v>497.38</v>
          </cell>
        </row>
        <row r="454">
          <cell r="H454" t="str">
            <v>Debit Card</v>
          </cell>
          <cell r="L454" t="str">
            <v>Afternoon</v>
          </cell>
          <cell r="M454" t="str">
            <v>Friday</v>
          </cell>
          <cell r="N454">
            <v>2278.4</v>
          </cell>
        </row>
        <row r="455">
          <cell r="H455" t="str">
            <v>Gift Card</v>
          </cell>
          <cell r="L455" t="str">
            <v>Evening</v>
          </cell>
          <cell r="M455" t="str">
            <v>Wednesday</v>
          </cell>
          <cell r="N455">
            <v>170.04</v>
          </cell>
        </row>
        <row r="456">
          <cell r="H456" t="str">
            <v>Debit Card</v>
          </cell>
          <cell r="L456" t="str">
            <v>Morning</v>
          </cell>
          <cell r="M456" t="str">
            <v>Monday</v>
          </cell>
          <cell r="N456">
            <v>3090.96</v>
          </cell>
        </row>
        <row r="457">
          <cell r="H457" t="str">
            <v>Debit Card</v>
          </cell>
          <cell r="L457" t="str">
            <v>Evening</v>
          </cell>
          <cell r="M457" t="str">
            <v>Tuesday</v>
          </cell>
          <cell r="N457">
            <v>104.85</v>
          </cell>
        </row>
        <row r="458">
          <cell r="H458" t="str">
            <v>Credit Card</v>
          </cell>
          <cell r="L458" t="str">
            <v>Morning</v>
          </cell>
          <cell r="M458" t="str">
            <v>Thursday</v>
          </cell>
          <cell r="N458">
            <v>248.33</v>
          </cell>
        </row>
        <row r="459">
          <cell r="H459" t="str">
            <v>Credit Card</v>
          </cell>
          <cell r="L459" t="str">
            <v>Evening</v>
          </cell>
          <cell r="M459" t="str">
            <v>Saturday</v>
          </cell>
          <cell r="N459">
            <v>471.24</v>
          </cell>
        </row>
        <row r="460">
          <cell r="H460" t="str">
            <v>Gift Card</v>
          </cell>
          <cell r="L460" t="str">
            <v>Evening</v>
          </cell>
          <cell r="M460" t="str">
            <v>Tuesday</v>
          </cell>
          <cell r="N460">
            <v>376.1</v>
          </cell>
        </row>
        <row r="461">
          <cell r="H461" t="str">
            <v>Online</v>
          </cell>
          <cell r="L461" t="str">
            <v>Afternoon</v>
          </cell>
          <cell r="M461" t="str">
            <v>Sunday</v>
          </cell>
          <cell r="N461">
            <v>1450.1</v>
          </cell>
        </row>
        <row r="462">
          <cell r="H462" t="str">
            <v>Online</v>
          </cell>
          <cell r="L462" t="str">
            <v>Evening</v>
          </cell>
          <cell r="M462" t="str">
            <v>Friday</v>
          </cell>
          <cell r="N462">
            <v>1483.6</v>
          </cell>
        </row>
        <row r="463">
          <cell r="H463" t="str">
            <v>Debit Card</v>
          </cell>
          <cell r="L463" t="str">
            <v>Morning</v>
          </cell>
          <cell r="M463" t="str">
            <v>Wednesday</v>
          </cell>
          <cell r="N463">
            <v>2523.6799999999998</v>
          </cell>
        </row>
        <row r="464">
          <cell r="H464" t="str">
            <v>Credit Card</v>
          </cell>
          <cell r="L464" t="str">
            <v>Evening</v>
          </cell>
          <cell r="M464" t="str">
            <v>Wednesday</v>
          </cell>
          <cell r="N464">
            <v>1427.46</v>
          </cell>
        </row>
        <row r="465">
          <cell r="H465" t="str">
            <v>Cash</v>
          </cell>
          <cell r="L465" t="str">
            <v>Morning</v>
          </cell>
          <cell r="M465" t="str">
            <v>Thursday</v>
          </cell>
          <cell r="N465">
            <v>3949.1</v>
          </cell>
        </row>
        <row r="466">
          <cell r="H466" t="str">
            <v>Online</v>
          </cell>
          <cell r="L466" t="str">
            <v>Afternoon</v>
          </cell>
          <cell r="M466" t="str">
            <v>Monday</v>
          </cell>
          <cell r="N466">
            <v>141.82</v>
          </cell>
        </row>
        <row r="467">
          <cell r="H467" t="str">
            <v>Credit Card</v>
          </cell>
          <cell r="L467" t="str">
            <v>Afternoon</v>
          </cell>
          <cell r="M467" t="str">
            <v>Sunday</v>
          </cell>
          <cell r="N467">
            <v>1574.48</v>
          </cell>
        </row>
        <row r="468">
          <cell r="H468" t="str">
            <v>Online</v>
          </cell>
          <cell r="L468" t="str">
            <v>Afternoon</v>
          </cell>
          <cell r="M468" t="str">
            <v>Sunday</v>
          </cell>
          <cell r="N468">
            <v>482.64</v>
          </cell>
        </row>
        <row r="469">
          <cell r="H469" t="str">
            <v>Gift Card</v>
          </cell>
          <cell r="L469" t="str">
            <v>Afternoon</v>
          </cell>
          <cell r="M469" t="str">
            <v>Saturday</v>
          </cell>
          <cell r="N469">
            <v>2858.16</v>
          </cell>
        </row>
        <row r="470">
          <cell r="H470" t="str">
            <v>Credit Card</v>
          </cell>
          <cell r="L470" t="str">
            <v>Evening</v>
          </cell>
          <cell r="M470" t="str">
            <v>Thursday</v>
          </cell>
          <cell r="N470">
            <v>1186.74</v>
          </cell>
        </row>
        <row r="471">
          <cell r="H471" t="str">
            <v>Online</v>
          </cell>
          <cell r="L471" t="str">
            <v>Morning</v>
          </cell>
          <cell r="M471" t="str">
            <v>Thursday</v>
          </cell>
          <cell r="N471">
            <v>3012.88</v>
          </cell>
        </row>
        <row r="472">
          <cell r="H472" t="str">
            <v>Gift Card</v>
          </cell>
          <cell r="L472" t="str">
            <v>Afternoon</v>
          </cell>
          <cell r="M472" t="str">
            <v>Saturday</v>
          </cell>
          <cell r="N472">
            <v>1084.83</v>
          </cell>
        </row>
        <row r="473">
          <cell r="H473" t="str">
            <v>Gift Card</v>
          </cell>
          <cell r="L473" t="str">
            <v>Evening</v>
          </cell>
          <cell r="M473" t="str">
            <v>Thursday</v>
          </cell>
          <cell r="N473">
            <v>1535.1</v>
          </cell>
        </row>
        <row r="474">
          <cell r="H474" t="str">
            <v>Debit Card</v>
          </cell>
          <cell r="L474" t="str">
            <v>Afternoon</v>
          </cell>
          <cell r="M474" t="str">
            <v>Monday</v>
          </cell>
          <cell r="N474">
            <v>162.47999999999999</v>
          </cell>
        </row>
        <row r="475">
          <cell r="H475" t="str">
            <v>Cash</v>
          </cell>
          <cell r="L475" t="str">
            <v>Evening</v>
          </cell>
          <cell r="M475" t="str">
            <v>Saturday</v>
          </cell>
          <cell r="N475">
            <v>11.7</v>
          </cell>
        </row>
        <row r="476">
          <cell r="H476" t="str">
            <v>Cash</v>
          </cell>
          <cell r="L476" t="str">
            <v>Morning</v>
          </cell>
          <cell r="M476" t="str">
            <v>Wednesday</v>
          </cell>
          <cell r="N476">
            <v>3331.1</v>
          </cell>
        </row>
        <row r="477">
          <cell r="H477" t="str">
            <v>Cash</v>
          </cell>
          <cell r="L477" t="str">
            <v>Morning</v>
          </cell>
          <cell r="M477" t="str">
            <v>Saturday</v>
          </cell>
          <cell r="N477">
            <v>1833.16</v>
          </cell>
        </row>
        <row r="478">
          <cell r="H478" t="str">
            <v>Online</v>
          </cell>
          <cell r="L478" t="str">
            <v>Afternoon</v>
          </cell>
          <cell r="M478" t="str">
            <v>Monday</v>
          </cell>
          <cell r="N478">
            <v>2012.72</v>
          </cell>
        </row>
        <row r="479">
          <cell r="H479" t="str">
            <v>Online</v>
          </cell>
          <cell r="L479" t="str">
            <v>Afternoon</v>
          </cell>
          <cell r="M479" t="str">
            <v>Monday</v>
          </cell>
          <cell r="N479">
            <v>434.22</v>
          </cell>
        </row>
        <row r="480">
          <cell r="H480" t="str">
            <v>Cash</v>
          </cell>
          <cell r="L480" t="str">
            <v>Afternoon</v>
          </cell>
          <cell r="M480" t="str">
            <v>Wednesday</v>
          </cell>
          <cell r="N480">
            <v>90.99</v>
          </cell>
        </row>
        <row r="481">
          <cell r="H481" t="str">
            <v>Debit Card</v>
          </cell>
          <cell r="L481" t="str">
            <v>Evening</v>
          </cell>
          <cell r="M481" t="str">
            <v>Thursday</v>
          </cell>
          <cell r="N481">
            <v>193.52</v>
          </cell>
        </row>
        <row r="482">
          <cell r="H482" t="str">
            <v>Cash</v>
          </cell>
          <cell r="L482" t="str">
            <v>Evening</v>
          </cell>
          <cell r="M482" t="str">
            <v>Tuesday</v>
          </cell>
          <cell r="N482">
            <v>2523.9</v>
          </cell>
        </row>
        <row r="483">
          <cell r="H483" t="str">
            <v>Gift Card</v>
          </cell>
          <cell r="L483" t="str">
            <v>Afternoon</v>
          </cell>
          <cell r="M483" t="str">
            <v>Wednesday</v>
          </cell>
          <cell r="N483">
            <v>1592.99</v>
          </cell>
        </row>
        <row r="484">
          <cell r="H484" t="str">
            <v>Cash</v>
          </cell>
          <cell r="L484" t="str">
            <v>Afternoon</v>
          </cell>
          <cell r="M484" t="str">
            <v>Tuesday</v>
          </cell>
          <cell r="N484">
            <v>806.16</v>
          </cell>
        </row>
        <row r="485">
          <cell r="H485" t="str">
            <v>Debit Card</v>
          </cell>
          <cell r="L485" t="str">
            <v>Afternoon</v>
          </cell>
          <cell r="M485" t="str">
            <v>Wednesday</v>
          </cell>
          <cell r="N485">
            <v>885.33</v>
          </cell>
        </row>
        <row r="486">
          <cell r="H486" t="str">
            <v>Gift Card</v>
          </cell>
          <cell r="L486" t="str">
            <v>Evening</v>
          </cell>
          <cell r="M486" t="str">
            <v>Monday</v>
          </cell>
          <cell r="N486">
            <v>315.75</v>
          </cell>
        </row>
        <row r="487">
          <cell r="H487" t="str">
            <v>Credit Card</v>
          </cell>
          <cell r="L487" t="str">
            <v>Morning</v>
          </cell>
          <cell r="M487" t="str">
            <v>Friday</v>
          </cell>
          <cell r="N487">
            <v>1357.25</v>
          </cell>
        </row>
        <row r="488">
          <cell r="H488" t="str">
            <v>Cash</v>
          </cell>
          <cell r="L488" t="str">
            <v>Evening</v>
          </cell>
          <cell r="M488" t="str">
            <v>Tuesday</v>
          </cell>
          <cell r="N488">
            <v>2517.84</v>
          </cell>
        </row>
        <row r="489">
          <cell r="H489" t="str">
            <v>Cash</v>
          </cell>
          <cell r="L489" t="str">
            <v>Evening</v>
          </cell>
          <cell r="M489" t="str">
            <v>Monday</v>
          </cell>
          <cell r="N489">
            <v>2932.4</v>
          </cell>
        </row>
        <row r="490">
          <cell r="H490" t="str">
            <v>Online</v>
          </cell>
          <cell r="L490" t="str">
            <v>Morning</v>
          </cell>
          <cell r="M490" t="str">
            <v>Friday</v>
          </cell>
          <cell r="N490">
            <v>1197.57</v>
          </cell>
        </row>
        <row r="491">
          <cell r="H491" t="str">
            <v>Debit Card</v>
          </cell>
          <cell r="L491" t="str">
            <v>Morning</v>
          </cell>
          <cell r="M491" t="str">
            <v>Wednesday</v>
          </cell>
          <cell r="N491">
            <v>3914.3</v>
          </cell>
        </row>
        <row r="492">
          <cell r="H492" t="str">
            <v>Credit Card</v>
          </cell>
          <cell r="L492" t="str">
            <v>Morning</v>
          </cell>
          <cell r="M492" t="str">
            <v>Monday</v>
          </cell>
          <cell r="N492">
            <v>824.69999999999993</v>
          </cell>
        </row>
        <row r="493">
          <cell r="H493" t="str">
            <v>Debit Card</v>
          </cell>
          <cell r="L493" t="str">
            <v>Afternoon</v>
          </cell>
          <cell r="M493" t="str">
            <v>Friday</v>
          </cell>
          <cell r="N493">
            <v>132.06</v>
          </cell>
        </row>
        <row r="494">
          <cell r="H494" t="str">
            <v>Debit Card</v>
          </cell>
          <cell r="L494" t="str">
            <v>Afternoon</v>
          </cell>
          <cell r="M494" t="str">
            <v>Saturday</v>
          </cell>
          <cell r="N494">
            <v>328.72</v>
          </cell>
        </row>
        <row r="495">
          <cell r="H495" t="str">
            <v>Gift Card</v>
          </cell>
          <cell r="L495" t="str">
            <v>Evening</v>
          </cell>
          <cell r="M495" t="str">
            <v>Saturday</v>
          </cell>
          <cell r="N495">
            <v>3829.5</v>
          </cell>
        </row>
        <row r="496">
          <cell r="H496" t="str">
            <v>Gift Card</v>
          </cell>
          <cell r="L496" t="str">
            <v>Afternoon</v>
          </cell>
          <cell r="M496" t="str">
            <v>Thursday</v>
          </cell>
          <cell r="N496">
            <v>2615.83</v>
          </cell>
        </row>
        <row r="497">
          <cell r="H497" t="str">
            <v>Credit Card</v>
          </cell>
          <cell r="L497" t="str">
            <v>Morning</v>
          </cell>
          <cell r="M497" t="str">
            <v>Wednesday</v>
          </cell>
          <cell r="N497">
            <v>1971.4</v>
          </cell>
        </row>
        <row r="498">
          <cell r="H498" t="str">
            <v>Online</v>
          </cell>
          <cell r="L498" t="str">
            <v>Evening</v>
          </cell>
          <cell r="M498" t="str">
            <v>Thursday</v>
          </cell>
          <cell r="N498">
            <v>54.76</v>
          </cell>
        </row>
        <row r="499">
          <cell r="H499" t="str">
            <v>Debit Card</v>
          </cell>
          <cell r="L499" t="str">
            <v>Evening</v>
          </cell>
          <cell r="M499" t="str">
            <v>Tuesday</v>
          </cell>
          <cell r="N499">
            <v>2089.5300000000002</v>
          </cell>
        </row>
        <row r="500">
          <cell r="H500" t="str">
            <v>Cash</v>
          </cell>
          <cell r="L500" t="str">
            <v>Morning</v>
          </cell>
          <cell r="M500" t="str">
            <v>Thursday</v>
          </cell>
          <cell r="N500">
            <v>654.99</v>
          </cell>
        </row>
        <row r="501">
          <cell r="H501" t="str">
            <v>Debit Card</v>
          </cell>
          <cell r="L501" t="str">
            <v>Evening</v>
          </cell>
          <cell r="M501" t="str">
            <v>Monday</v>
          </cell>
          <cell r="N501">
            <v>1183.3</v>
          </cell>
        </row>
        <row r="502">
          <cell r="H502" t="str">
            <v>Credit Card</v>
          </cell>
          <cell r="L502" t="str">
            <v>Evening</v>
          </cell>
          <cell r="M502" t="str">
            <v>Saturday</v>
          </cell>
          <cell r="N502">
            <v>19.88</v>
          </cell>
        </row>
        <row r="503">
          <cell r="H503" t="str">
            <v>Cash</v>
          </cell>
          <cell r="L503" t="str">
            <v>Morning</v>
          </cell>
          <cell r="M503" t="str">
            <v>Saturday</v>
          </cell>
          <cell r="N503">
            <v>64.2</v>
          </cell>
        </row>
        <row r="504">
          <cell r="H504" t="str">
            <v>Credit Card</v>
          </cell>
          <cell r="L504" t="str">
            <v>Evening</v>
          </cell>
          <cell r="M504" t="str">
            <v>Friday</v>
          </cell>
          <cell r="N504">
            <v>1025.0999999999999</v>
          </cell>
        </row>
        <row r="505">
          <cell r="H505" t="str">
            <v>Credit Card</v>
          </cell>
          <cell r="L505" t="str">
            <v>Evening</v>
          </cell>
          <cell r="M505" t="str">
            <v>Wednesday</v>
          </cell>
          <cell r="N505">
            <v>3130.1</v>
          </cell>
        </row>
        <row r="506">
          <cell r="H506" t="str">
            <v>Credit Card</v>
          </cell>
          <cell r="L506" t="str">
            <v>Morning</v>
          </cell>
          <cell r="M506" t="str">
            <v>Wednesday</v>
          </cell>
          <cell r="N506">
            <v>830.37000000000012</v>
          </cell>
        </row>
        <row r="507">
          <cell r="H507" t="str">
            <v>Cash</v>
          </cell>
          <cell r="L507" t="str">
            <v>Morning</v>
          </cell>
          <cell r="M507" t="str">
            <v>Thursday</v>
          </cell>
          <cell r="N507">
            <v>1540.2</v>
          </cell>
        </row>
        <row r="508">
          <cell r="H508" t="str">
            <v>Debit Card</v>
          </cell>
          <cell r="L508" t="str">
            <v>Evening</v>
          </cell>
          <cell r="M508" t="str">
            <v>Tuesday</v>
          </cell>
          <cell r="N508">
            <v>225.72</v>
          </cell>
        </row>
        <row r="509">
          <cell r="H509" t="str">
            <v>Debit Card</v>
          </cell>
          <cell r="L509" t="str">
            <v>Afternoon</v>
          </cell>
          <cell r="M509" t="str">
            <v>Saturday</v>
          </cell>
          <cell r="N509">
            <v>1146.5999999999999</v>
          </cell>
        </row>
        <row r="510">
          <cell r="H510" t="str">
            <v>Credit Card</v>
          </cell>
          <cell r="L510" t="str">
            <v>Morning</v>
          </cell>
          <cell r="M510" t="str">
            <v>Monday</v>
          </cell>
          <cell r="N510">
            <v>213.92</v>
          </cell>
        </row>
        <row r="511">
          <cell r="H511" t="str">
            <v>Credit Card</v>
          </cell>
          <cell r="L511" t="str">
            <v>Evening</v>
          </cell>
          <cell r="M511" t="str">
            <v>Friday</v>
          </cell>
          <cell r="N511">
            <v>704.95</v>
          </cell>
        </row>
        <row r="512">
          <cell r="H512" t="str">
            <v>Online</v>
          </cell>
          <cell r="L512" t="str">
            <v>Evening</v>
          </cell>
          <cell r="M512" t="str">
            <v>Saturday</v>
          </cell>
          <cell r="N512">
            <v>163.41</v>
          </cell>
        </row>
        <row r="513">
          <cell r="H513" t="str">
            <v>Credit Card</v>
          </cell>
          <cell r="L513" t="str">
            <v>Evening</v>
          </cell>
          <cell r="M513" t="str">
            <v>Thursday</v>
          </cell>
          <cell r="N513">
            <v>1923.6</v>
          </cell>
        </row>
        <row r="514">
          <cell r="H514" t="str">
            <v>Online</v>
          </cell>
          <cell r="L514" t="str">
            <v>Evening</v>
          </cell>
          <cell r="M514" t="str">
            <v>Saturday</v>
          </cell>
          <cell r="N514">
            <v>87.7</v>
          </cell>
        </row>
        <row r="515">
          <cell r="H515" t="str">
            <v>Debit Card</v>
          </cell>
          <cell r="L515" t="str">
            <v>Evening</v>
          </cell>
          <cell r="M515" t="str">
            <v>Tuesday</v>
          </cell>
          <cell r="N515">
            <v>992.81000000000006</v>
          </cell>
        </row>
        <row r="516">
          <cell r="H516" t="str">
            <v>Gift Card</v>
          </cell>
          <cell r="L516" t="str">
            <v>Evening</v>
          </cell>
          <cell r="M516" t="str">
            <v>Wednesday</v>
          </cell>
          <cell r="N516">
            <v>927</v>
          </cell>
        </row>
        <row r="517">
          <cell r="H517" t="str">
            <v>Cash</v>
          </cell>
          <cell r="L517" t="str">
            <v>Evening</v>
          </cell>
          <cell r="M517" t="str">
            <v>Monday</v>
          </cell>
          <cell r="N517">
            <v>2287.52</v>
          </cell>
        </row>
        <row r="518">
          <cell r="H518" t="str">
            <v>Online</v>
          </cell>
          <cell r="L518" t="str">
            <v>Evening</v>
          </cell>
          <cell r="M518" t="str">
            <v>Friday</v>
          </cell>
          <cell r="N518">
            <v>1273.0999999999999</v>
          </cell>
        </row>
        <row r="519">
          <cell r="H519" t="str">
            <v>Cash</v>
          </cell>
          <cell r="L519" t="str">
            <v>Evening</v>
          </cell>
          <cell r="M519" t="str">
            <v>Wednesday</v>
          </cell>
          <cell r="N519">
            <v>1885.59</v>
          </cell>
        </row>
        <row r="520">
          <cell r="H520" t="str">
            <v>Online</v>
          </cell>
          <cell r="L520" t="str">
            <v>Afternoon</v>
          </cell>
          <cell r="M520" t="str">
            <v>Tuesday</v>
          </cell>
          <cell r="N520">
            <v>318.93</v>
          </cell>
        </row>
        <row r="521">
          <cell r="H521" t="str">
            <v>Debit Card</v>
          </cell>
          <cell r="L521" t="str">
            <v>Afternoon</v>
          </cell>
          <cell r="M521" t="str">
            <v>Saturday</v>
          </cell>
          <cell r="N521">
            <v>659.64</v>
          </cell>
        </row>
        <row r="522">
          <cell r="H522" t="str">
            <v>Cash</v>
          </cell>
          <cell r="L522" t="str">
            <v>Afternoon</v>
          </cell>
          <cell r="M522" t="str">
            <v>Wednesday</v>
          </cell>
          <cell r="N522">
            <v>2876.4</v>
          </cell>
        </row>
        <row r="523">
          <cell r="H523" t="str">
            <v>Cash</v>
          </cell>
          <cell r="L523" t="str">
            <v>Morning</v>
          </cell>
          <cell r="M523" t="str">
            <v>Wednesday</v>
          </cell>
          <cell r="N523">
            <v>1830.85</v>
          </cell>
        </row>
        <row r="524">
          <cell r="H524" t="str">
            <v>Credit Card</v>
          </cell>
          <cell r="L524" t="str">
            <v>Morning</v>
          </cell>
          <cell r="M524" t="str">
            <v>Sunday</v>
          </cell>
          <cell r="N524">
            <v>2734.02</v>
          </cell>
        </row>
        <row r="525">
          <cell r="H525" t="str">
            <v>Debit Card</v>
          </cell>
          <cell r="L525" t="str">
            <v>Afternoon</v>
          </cell>
          <cell r="M525" t="str">
            <v>Saturday</v>
          </cell>
          <cell r="N525">
            <v>248.14</v>
          </cell>
        </row>
        <row r="526">
          <cell r="H526" t="str">
            <v>Debit Card</v>
          </cell>
          <cell r="L526" t="str">
            <v>Afternoon</v>
          </cell>
          <cell r="M526" t="str">
            <v>Saturday</v>
          </cell>
          <cell r="N526">
            <v>1806.6</v>
          </cell>
        </row>
        <row r="527">
          <cell r="H527" t="str">
            <v>Online</v>
          </cell>
          <cell r="L527" t="str">
            <v>Afternoon</v>
          </cell>
          <cell r="M527" t="str">
            <v>Saturday</v>
          </cell>
          <cell r="N527">
            <v>370.72</v>
          </cell>
        </row>
        <row r="528">
          <cell r="H528" t="str">
            <v>Gift Card</v>
          </cell>
          <cell r="L528" t="str">
            <v>Evening</v>
          </cell>
          <cell r="M528" t="str">
            <v>Saturday</v>
          </cell>
          <cell r="N528">
            <v>636.21</v>
          </cell>
        </row>
        <row r="529">
          <cell r="H529" t="str">
            <v>Credit Card</v>
          </cell>
          <cell r="L529" t="str">
            <v>Evening</v>
          </cell>
          <cell r="M529" t="str">
            <v>Sunday</v>
          </cell>
          <cell r="N529">
            <v>1455.08</v>
          </cell>
        </row>
        <row r="530">
          <cell r="H530" t="str">
            <v>Gift Card</v>
          </cell>
          <cell r="L530" t="str">
            <v>Evening</v>
          </cell>
          <cell r="M530" t="str">
            <v>Thursday</v>
          </cell>
          <cell r="N530">
            <v>607.04999999999995</v>
          </cell>
        </row>
        <row r="531">
          <cell r="H531" t="str">
            <v>Online</v>
          </cell>
          <cell r="L531" t="str">
            <v>Evening</v>
          </cell>
          <cell r="M531" t="str">
            <v>Saturday</v>
          </cell>
          <cell r="N531">
            <v>196.88</v>
          </cell>
        </row>
        <row r="532">
          <cell r="H532" t="str">
            <v>Credit Card</v>
          </cell>
          <cell r="L532" t="str">
            <v>Afternoon</v>
          </cell>
          <cell r="M532" t="str">
            <v>Wednesday</v>
          </cell>
          <cell r="N532">
            <v>1452</v>
          </cell>
        </row>
        <row r="533">
          <cell r="H533" t="str">
            <v>Debit Card</v>
          </cell>
          <cell r="L533" t="str">
            <v>Evening</v>
          </cell>
          <cell r="M533" t="str">
            <v>Thursday</v>
          </cell>
          <cell r="N533">
            <v>1003.02</v>
          </cell>
        </row>
        <row r="534">
          <cell r="H534" t="str">
            <v>Debit Card</v>
          </cell>
          <cell r="L534" t="str">
            <v>Evening</v>
          </cell>
          <cell r="M534" t="str">
            <v>Thursday</v>
          </cell>
          <cell r="N534">
            <v>2035</v>
          </cell>
        </row>
        <row r="535">
          <cell r="H535" t="str">
            <v>Cash</v>
          </cell>
          <cell r="L535" t="str">
            <v>Afternoon</v>
          </cell>
          <cell r="M535" t="str">
            <v>Saturday</v>
          </cell>
          <cell r="N535">
            <v>195.54</v>
          </cell>
        </row>
        <row r="536">
          <cell r="H536" t="str">
            <v>Debit Card</v>
          </cell>
          <cell r="L536" t="str">
            <v>Afternoon</v>
          </cell>
          <cell r="M536" t="str">
            <v>Saturday</v>
          </cell>
          <cell r="N536">
            <v>1067.9000000000001</v>
          </cell>
        </row>
        <row r="537">
          <cell r="H537" t="str">
            <v>Online</v>
          </cell>
          <cell r="L537" t="str">
            <v>Evening</v>
          </cell>
          <cell r="M537" t="str">
            <v>Monday</v>
          </cell>
          <cell r="N537">
            <v>370.08</v>
          </cell>
        </row>
        <row r="538">
          <cell r="H538" t="str">
            <v>Credit Card</v>
          </cell>
          <cell r="L538" t="str">
            <v>Morning</v>
          </cell>
          <cell r="M538" t="str">
            <v>Wednesday</v>
          </cell>
          <cell r="N538">
            <v>598.98</v>
          </cell>
        </row>
        <row r="539">
          <cell r="H539" t="str">
            <v>Online</v>
          </cell>
          <cell r="L539" t="str">
            <v>Afternoon</v>
          </cell>
          <cell r="M539" t="str">
            <v>Tuesday</v>
          </cell>
          <cell r="N539">
            <v>397.26</v>
          </cell>
        </row>
        <row r="540">
          <cell r="H540" t="str">
            <v>Debit Card</v>
          </cell>
          <cell r="L540" t="str">
            <v>Afternoon</v>
          </cell>
          <cell r="M540" t="str">
            <v>Monday</v>
          </cell>
          <cell r="N540">
            <v>705.56999999999994</v>
          </cell>
        </row>
        <row r="541">
          <cell r="H541" t="str">
            <v>Gift Card</v>
          </cell>
          <cell r="L541" t="str">
            <v>Afternoon</v>
          </cell>
          <cell r="M541" t="str">
            <v>Tuesday</v>
          </cell>
          <cell r="N541">
            <v>2622.08</v>
          </cell>
        </row>
        <row r="542">
          <cell r="H542" t="str">
            <v>Cash</v>
          </cell>
          <cell r="L542" t="str">
            <v>Evening</v>
          </cell>
          <cell r="M542" t="str">
            <v>Tuesday</v>
          </cell>
          <cell r="N542">
            <v>148.44</v>
          </cell>
        </row>
        <row r="543">
          <cell r="H543" t="str">
            <v>Debit Card</v>
          </cell>
          <cell r="L543" t="str">
            <v>Evening</v>
          </cell>
          <cell r="M543" t="str">
            <v>Friday</v>
          </cell>
          <cell r="N543">
            <v>27.15</v>
          </cell>
        </row>
        <row r="544">
          <cell r="H544" t="str">
            <v>Gift Card</v>
          </cell>
          <cell r="L544" t="str">
            <v>Evening</v>
          </cell>
          <cell r="M544" t="str">
            <v>Saturday</v>
          </cell>
          <cell r="N544">
            <v>1849.68</v>
          </cell>
        </row>
        <row r="545">
          <cell r="H545" t="str">
            <v>Gift Card</v>
          </cell>
          <cell r="L545" t="str">
            <v>Evening</v>
          </cell>
          <cell r="M545" t="str">
            <v>Tuesday</v>
          </cell>
          <cell r="N545">
            <v>3583.8</v>
          </cell>
        </row>
        <row r="546">
          <cell r="H546" t="str">
            <v>Cash</v>
          </cell>
          <cell r="L546" t="str">
            <v>Afternoon</v>
          </cell>
          <cell r="M546" t="str">
            <v>Monday</v>
          </cell>
          <cell r="N546">
            <v>1072.6400000000001</v>
          </cell>
        </row>
        <row r="547">
          <cell r="H547" t="str">
            <v>Debit Card</v>
          </cell>
          <cell r="L547" t="str">
            <v>Afternoon</v>
          </cell>
          <cell r="M547" t="str">
            <v>Sunday</v>
          </cell>
          <cell r="N547">
            <v>628.52</v>
          </cell>
        </row>
        <row r="548">
          <cell r="H548" t="str">
            <v>Credit Card</v>
          </cell>
          <cell r="L548" t="str">
            <v>Evening</v>
          </cell>
          <cell r="M548" t="str">
            <v>Thursday</v>
          </cell>
          <cell r="N548">
            <v>1663.08</v>
          </cell>
        </row>
        <row r="549">
          <cell r="H549" t="str">
            <v>Credit Card</v>
          </cell>
          <cell r="L549" t="str">
            <v>Afternoon</v>
          </cell>
          <cell r="M549" t="str">
            <v>Sunday</v>
          </cell>
          <cell r="N549">
            <v>2146.06</v>
          </cell>
        </row>
        <row r="550">
          <cell r="H550" t="str">
            <v>Online</v>
          </cell>
          <cell r="L550" t="str">
            <v>Afternoon</v>
          </cell>
          <cell r="M550" t="str">
            <v>Wednesday</v>
          </cell>
          <cell r="N550">
            <v>1029</v>
          </cell>
        </row>
        <row r="551">
          <cell r="H551" t="str">
            <v>Credit Card</v>
          </cell>
          <cell r="L551" t="str">
            <v>Afternoon</v>
          </cell>
          <cell r="M551" t="str">
            <v>Monday</v>
          </cell>
          <cell r="N551">
            <v>429.78</v>
          </cell>
        </row>
        <row r="552">
          <cell r="H552" t="str">
            <v>Cash</v>
          </cell>
          <cell r="L552" t="str">
            <v>Evening</v>
          </cell>
          <cell r="M552" t="str">
            <v>Wednesday</v>
          </cell>
          <cell r="N552">
            <v>1833.02</v>
          </cell>
        </row>
        <row r="553">
          <cell r="H553" t="str">
            <v>Gift Card</v>
          </cell>
          <cell r="L553" t="str">
            <v>Afternoon</v>
          </cell>
          <cell r="M553" t="str">
            <v>Thursday</v>
          </cell>
          <cell r="N553">
            <v>369.36</v>
          </cell>
        </row>
        <row r="554">
          <cell r="H554" t="str">
            <v>Online</v>
          </cell>
          <cell r="L554" t="str">
            <v>Evening</v>
          </cell>
          <cell r="M554" t="str">
            <v>Friday</v>
          </cell>
          <cell r="N554">
            <v>321.2</v>
          </cell>
        </row>
        <row r="555">
          <cell r="H555" t="str">
            <v>Credit Card</v>
          </cell>
          <cell r="L555" t="str">
            <v>Morning</v>
          </cell>
          <cell r="M555" t="str">
            <v>Thursday</v>
          </cell>
          <cell r="N555">
            <v>2911.32</v>
          </cell>
        </row>
        <row r="556">
          <cell r="H556" t="str">
            <v>Credit Card</v>
          </cell>
          <cell r="L556" t="str">
            <v>Morning</v>
          </cell>
          <cell r="M556" t="str">
            <v>Thursday</v>
          </cell>
          <cell r="N556">
            <v>3081.96</v>
          </cell>
        </row>
        <row r="557">
          <cell r="H557" t="str">
            <v>Credit Card</v>
          </cell>
          <cell r="L557" t="str">
            <v>Afternoon</v>
          </cell>
          <cell r="M557" t="str">
            <v>Saturday</v>
          </cell>
          <cell r="N557">
            <v>2711.1</v>
          </cell>
        </row>
        <row r="558">
          <cell r="H558" t="str">
            <v>Online</v>
          </cell>
          <cell r="L558" t="str">
            <v>Morning</v>
          </cell>
          <cell r="M558" t="str">
            <v>Friday</v>
          </cell>
          <cell r="N558">
            <v>2340.84</v>
          </cell>
        </row>
        <row r="559">
          <cell r="H559" t="str">
            <v>Online</v>
          </cell>
          <cell r="L559" t="str">
            <v>Evening</v>
          </cell>
          <cell r="M559" t="str">
            <v>Wednesday</v>
          </cell>
          <cell r="N559">
            <v>2698.6</v>
          </cell>
        </row>
        <row r="560">
          <cell r="H560" t="str">
            <v>Credit Card</v>
          </cell>
          <cell r="L560" t="str">
            <v>Morning</v>
          </cell>
          <cell r="M560" t="str">
            <v>Wednesday</v>
          </cell>
          <cell r="N560">
            <v>133.9</v>
          </cell>
        </row>
        <row r="561">
          <cell r="H561" t="str">
            <v>Credit Card</v>
          </cell>
          <cell r="L561" t="str">
            <v>Evening</v>
          </cell>
          <cell r="M561" t="str">
            <v>Tuesday</v>
          </cell>
          <cell r="N561">
            <v>1135.55</v>
          </cell>
        </row>
        <row r="562">
          <cell r="H562" t="str">
            <v>Gift Card</v>
          </cell>
          <cell r="L562" t="str">
            <v>Evening</v>
          </cell>
          <cell r="M562" t="str">
            <v>Monday</v>
          </cell>
          <cell r="N562">
            <v>2200.6799999999998</v>
          </cell>
        </row>
        <row r="563">
          <cell r="H563" t="str">
            <v>Debit Card</v>
          </cell>
          <cell r="L563" t="str">
            <v>Morning</v>
          </cell>
          <cell r="M563" t="str">
            <v>Tuesday</v>
          </cell>
          <cell r="N563">
            <v>247.71</v>
          </cell>
        </row>
        <row r="564">
          <cell r="H564" t="str">
            <v>Credit Card</v>
          </cell>
          <cell r="L564" t="str">
            <v>Afternoon</v>
          </cell>
          <cell r="M564" t="str">
            <v>Thursday</v>
          </cell>
          <cell r="N564">
            <v>169.87</v>
          </cell>
        </row>
        <row r="565">
          <cell r="H565" t="str">
            <v>Cash</v>
          </cell>
          <cell r="L565" t="str">
            <v>Evening</v>
          </cell>
          <cell r="M565" t="str">
            <v>Sunday</v>
          </cell>
          <cell r="N565">
            <v>766.32</v>
          </cell>
        </row>
        <row r="566">
          <cell r="H566" t="str">
            <v>Debit Card</v>
          </cell>
          <cell r="L566" t="str">
            <v>Morning</v>
          </cell>
          <cell r="M566" t="str">
            <v>Wednesday</v>
          </cell>
          <cell r="N566">
            <v>365</v>
          </cell>
        </row>
        <row r="567">
          <cell r="H567" t="str">
            <v>Gift Card</v>
          </cell>
          <cell r="L567" t="str">
            <v>Morning</v>
          </cell>
          <cell r="M567" t="str">
            <v>Wednesday</v>
          </cell>
          <cell r="N567">
            <v>207.99</v>
          </cell>
        </row>
        <row r="568">
          <cell r="H568" t="str">
            <v>Gift Card</v>
          </cell>
          <cell r="L568" t="str">
            <v>Evening</v>
          </cell>
          <cell r="M568" t="str">
            <v>Tuesday</v>
          </cell>
          <cell r="N568">
            <v>425.93999999999988</v>
          </cell>
        </row>
        <row r="569">
          <cell r="H569" t="str">
            <v>Debit Card</v>
          </cell>
          <cell r="L569" t="str">
            <v>Morning</v>
          </cell>
          <cell r="M569" t="str">
            <v>Friday</v>
          </cell>
          <cell r="N569">
            <v>1528.32</v>
          </cell>
        </row>
        <row r="570">
          <cell r="H570" t="str">
            <v>Credit Card</v>
          </cell>
          <cell r="L570" t="str">
            <v>Afternoon</v>
          </cell>
          <cell r="M570" t="str">
            <v>Friday</v>
          </cell>
          <cell r="N570">
            <v>1496.88</v>
          </cell>
        </row>
        <row r="571">
          <cell r="H571" t="str">
            <v>Cash</v>
          </cell>
          <cell r="L571" t="str">
            <v>Afternoon</v>
          </cell>
          <cell r="M571" t="str">
            <v>Friday</v>
          </cell>
          <cell r="N571">
            <v>1088.3499999999999</v>
          </cell>
        </row>
        <row r="572">
          <cell r="H572" t="str">
            <v>Cash</v>
          </cell>
          <cell r="L572" t="str">
            <v>Evening</v>
          </cell>
          <cell r="M572" t="str">
            <v>Thursday</v>
          </cell>
          <cell r="N572">
            <v>987.6</v>
          </cell>
        </row>
        <row r="573">
          <cell r="H573" t="str">
            <v>Credit Card</v>
          </cell>
          <cell r="L573" t="str">
            <v>Morning</v>
          </cell>
          <cell r="M573" t="str">
            <v>Friday</v>
          </cell>
          <cell r="N573">
            <v>1010.97</v>
          </cell>
        </row>
        <row r="574">
          <cell r="H574" t="str">
            <v>Debit Card</v>
          </cell>
          <cell r="L574" t="str">
            <v>Afternoon</v>
          </cell>
          <cell r="M574" t="str">
            <v>Thursday</v>
          </cell>
          <cell r="N574">
            <v>489.92</v>
          </cell>
        </row>
        <row r="575">
          <cell r="H575" t="str">
            <v>Debit Card</v>
          </cell>
          <cell r="L575" t="str">
            <v>Afternoon</v>
          </cell>
          <cell r="M575" t="str">
            <v>Tuesday</v>
          </cell>
          <cell r="N575">
            <v>1593.06</v>
          </cell>
        </row>
        <row r="576">
          <cell r="H576" t="str">
            <v>Cash</v>
          </cell>
          <cell r="L576" t="str">
            <v>Afternoon</v>
          </cell>
          <cell r="M576" t="str">
            <v>Monday</v>
          </cell>
          <cell r="N576">
            <v>2942.37</v>
          </cell>
        </row>
        <row r="577">
          <cell r="H577" t="str">
            <v>Online</v>
          </cell>
          <cell r="L577" t="str">
            <v>Afternoon</v>
          </cell>
          <cell r="M577" t="str">
            <v>Tuesday</v>
          </cell>
          <cell r="N577">
            <v>1710.8</v>
          </cell>
        </row>
        <row r="578">
          <cell r="H578" t="str">
            <v>Online</v>
          </cell>
          <cell r="L578" t="str">
            <v>Evening</v>
          </cell>
          <cell r="M578" t="str">
            <v>Saturday</v>
          </cell>
          <cell r="N578">
            <v>1153.26</v>
          </cell>
        </row>
        <row r="579">
          <cell r="H579" t="str">
            <v>Debit Card</v>
          </cell>
          <cell r="L579" t="str">
            <v>Afternoon</v>
          </cell>
          <cell r="M579" t="str">
            <v>Saturday</v>
          </cell>
          <cell r="N579">
            <v>1011.28</v>
          </cell>
        </row>
        <row r="580">
          <cell r="H580" t="str">
            <v>Debit Card</v>
          </cell>
          <cell r="L580" t="str">
            <v>Evening</v>
          </cell>
          <cell r="M580" t="str">
            <v>Friday</v>
          </cell>
          <cell r="N580">
            <v>633.91999999999996</v>
          </cell>
        </row>
        <row r="581">
          <cell r="H581" t="str">
            <v>Debit Card</v>
          </cell>
          <cell r="L581" t="str">
            <v>Evening</v>
          </cell>
          <cell r="M581" t="str">
            <v>Friday</v>
          </cell>
          <cell r="N581">
            <v>231.84</v>
          </cell>
        </row>
        <row r="582">
          <cell r="H582" t="str">
            <v>Cash</v>
          </cell>
          <cell r="L582" t="str">
            <v>Evening</v>
          </cell>
          <cell r="M582" t="str">
            <v>Wednesday</v>
          </cell>
          <cell r="N582">
            <v>287.22000000000003</v>
          </cell>
        </row>
        <row r="583">
          <cell r="H583" t="str">
            <v>Cash</v>
          </cell>
          <cell r="L583" t="str">
            <v>Evening</v>
          </cell>
          <cell r="M583" t="str">
            <v>Monday</v>
          </cell>
          <cell r="N583">
            <v>285.95999999999998</v>
          </cell>
        </row>
        <row r="584">
          <cell r="H584" t="str">
            <v>Cash</v>
          </cell>
          <cell r="L584" t="str">
            <v>Afternoon</v>
          </cell>
          <cell r="M584" t="str">
            <v>Saturday</v>
          </cell>
          <cell r="N584">
            <v>149.71</v>
          </cell>
        </row>
        <row r="585">
          <cell r="H585" t="str">
            <v>Credit Card</v>
          </cell>
          <cell r="L585" t="str">
            <v>Morning</v>
          </cell>
          <cell r="M585" t="str">
            <v>Saturday</v>
          </cell>
          <cell r="N585">
            <v>980.55000000000007</v>
          </cell>
        </row>
        <row r="586">
          <cell r="H586" t="str">
            <v>Credit Card</v>
          </cell>
          <cell r="L586" t="str">
            <v>Afternoon</v>
          </cell>
          <cell r="M586" t="str">
            <v>Friday</v>
          </cell>
          <cell r="N586">
            <v>2196.39</v>
          </cell>
        </row>
        <row r="587">
          <cell r="H587" t="str">
            <v>Cash</v>
          </cell>
          <cell r="L587" t="str">
            <v>Evening</v>
          </cell>
          <cell r="M587" t="str">
            <v>Tuesday</v>
          </cell>
          <cell r="N587">
            <v>852.69999999999993</v>
          </cell>
        </row>
        <row r="588">
          <cell r="H588" t="str">
            <v>Credit Card</v>
          </cell>
          <cell r="L588" t="str">
            <v>Afternoon</v>
          </cell>
          <cell r="M588" t="str">
            <v>Friday</v>
          </cell>
          <cell r="N588">
            <v>279.72000000000003</v>
          </cell>
        </row>
        <row r="589">
          <cell r="H589" t="str">
            <v>Credit Card</v>
          </cell>
          <cell r="L589" t="str">
            <v>Evening</v>
          </cell>
          <cell r="M589" t="str">
            <v>Friday</v>
          </cell>
          <cell r="N589">
            <v>1505.1</v>
          </cell>
        </row>
        <row r="590">
          <cell r="H590" t="str">
            <v>Debit Card</v>
          </cell>
          <cell r="L590" t="str">
            <v>Evening</v>
          </cell>
          <cell r="M590" t="str">
            <v>Thursday</v>
          </cell>
          <cell r="N590">
            <v>2243.46</v>
          </cell>
        </row>
        <row r="591">
          <cell r="H591" t="str">
            <v>Gift Card</v>
          </cell>
          <cell r="L591" t="str">
            <v>Afternoon</v>
          </cell>
          <cell r="M591" t="str">
            <v>Friday</v>
          </cell>
          <cell r="N591">
            <v>1927.2</v>
          </cell>
        </row>
        <row r="592">
          <cell r="H592" t="str">
            <v>Gift Card</v>
          </cell>
          <cell r="L592" t="str">
            <v>Morning</v>
          </cell>
          <cell r="M592" t="str">
            <v>Sunday</v>
          </cell>
          <cell r="N592">
            <v>144.03</v>
          </cell>
        </row>
        <row r="593">
          <cell r="H593" t="str">
            <v>Online</v>
          </cell>
          <cell r="L593" t="str">
            <v>Morning</v>
          </cell>
          <cell r="M593" t="str">
            <v>Tuesday</v>
          </cell>
          <cell r="N593">
            <v>989.1</v>
          </cell>
        </row>
        <row r="594">
          <cell r="H594" t="str">
            <v>Cash</v>
          </cell>
          <cell r="L594" t="str">
            <v>Afternoon</v>
          </cell>
          <cell r="M594" t="str">
            <v>Friday</v>
          </cell>
          <cell r="N594">
            <v>721.14</v>
          </cell>
        </row>
        <row r="595">
          <cell r="H595" t="str">
            <v>Credit Card</v>
          </cell>
          <cell r="L595" t="str">
            <v>Evening</v>
          </cell>
          <cell r="M595" t="str">
            <v>Tuesday</v>
          </cell>
          <cell r="N595">
            <v>815.67</v>
          </cell>
        </row>
        <row r="596">
          <cell r="H596" t="str">
            <v>Online</v>
          </cell>
          <cell r="L596" t="str">
            <v>Evening</v>
          </cell>
          <cell r="M596" t="str">
            <v>Friday</v>
          </cell>
          <cell r="N596">
            <v>2144.94</v>
          </cell>
        </row>
        <row r="597">
          <cell r="H597" t="str">
            <v>Gift Card</v>
          </cell>
          <cell r="L597" t="str">
            <v>Evening</v>
          </cell>
          <cell r="M597" t="str">
            <v>Friday</v>
          </cell>
          <cell r="N597">
            <v>874.64</v>
          </cell>
        </row>
        <row r="598">
          <cell r="H598" t="str">
            <v>Online</v>
          </cell>
          <cell r="L598" t="str">
            <v>Afternoon</v>
          </cell>
          <cell r="M598" t="str">
            <v>Thursday</v>
          </cell>
          <cell r="N598">
            <v>2430.6799999999998</v>
          </cell>
        </row>
        <row r="599">
          <cell r="H599" t="str">
            <v>Debit Card</v>
          </cell>
          <cell r="L599" t="str">
            <v>Afternoon</v>
          </cell>
          <cell r="M599" t="str">
            <v>Tuesday</v>
          </cell>
          <cell r="N599">
            <v>1365.2</v>
          </cell>
        </row>
        <row r="600">
          <cell r="H600" t="str">
            <v>Gift Card</v>
          </cell>
          <cell r="L600" t="str">
            <v>Evening</v>
          </cell>
          <cell r="M600" t="str">
            <v>Wednesday</v>
          </cell>
          <cell r="N600">
            <v>119.82</v>
          </cell>
        </row>
        <row r="601">
          <cell r="H601" t="str">
            <v>Cash</v>
          </cell>
          <cell r="L601" t="str">
            <v>Afternoon</v>
          </cell>
          <cell r="M601" t="str">
            <v>Tuesday</v>
          </cell>
          <cell r="N601">
            <v>887.18</v>
          </cell>
        </row>
      </sheetData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301.133960648149" createdVersion="8" refreshedVersion="8" minRefreshableVersion="3" recordCount="8" xr:uid="{3A051A4C-238E-465D-ABF6-DE2F35DB197E}">
  <cacheSource type="worksheet">
    <worksheetSource ref="A2:I10" sheet="Product_Summary"/>
  </cacheSource>
  <cacheFields count="6">
    <cacheField name="Product" numFmtId="0">
      <sharedItems count="8">
        <s v="Chair"/>
        <s v="Desk"/>
        <s v="Laptop"/>
        <s v="Monitor"/>
        <s v="Phone"/>
        <s v="Printer"/>
        <s v="Tablet"/>
        <s v="TOTAL"/>
      </sharedItems>
    </cacheField>
    <cacheField name="Transactions" numFmtId="2">
      <sharedItems containsSemiMixedTypes="0" containsString="0" containsNumber="1" containsInteger="1" minValue="75" maxValue="600" count="7">
        <n v="86"/>
        <n v="75"/>
        <n v="76"/>
        <n v="93"/>
        <n v="103"/>
        <n v="91"/>
        <n v="600"/>
      </sharedItems>
    </cacheField>
    <cacheField name="Total Revenue" numFmtId="2">
      <sharedItems containsSemiMixedTypes="0" containsString="0" containsNumber="1" minValue="85650.89" maxValue="707221.1" count="8">
        <n v="100579.2"/>
        <n v="95007.420000000013"/>
        <n v="85650.89"/>
        <n v="114606.96"/>
        <n v="121774.1"/>
        <n v="101254.93"/>
        <n v="88347.6"/>
        <n v="707221.1"/>
      </sharedItems>
    </cacheField>
    <cacheField name="Avg Sale" numFmtId="2">
      <sharedItems containsSemiMixedTypes="0" containsString="0" containsNumber="1" minValue="1112.6915384615379" maxValue="1266.7655999999999" count="8">
        <n v="1169.525581395349"/>
        <n v="1266.7655999999999"/>
        <n v="1126.985394736842"/>
        <n v="1232.3329032258059"/>
        <n v="1182.272815533981"/>
        <n v="1112.6915384615379"/>
        <n v="1162.468421052632"/>
        <n v="1179.0060363437353"/>
      </sharedItems>
    </cacheField>
    <cacheField name="Avg Price" numFmtId="2">
      <sharedItems containsString="0" containsBlank="1" containsNumber="1" minValue="194.94681318681319" maxValue="221.15946236559139"/>
    </cacheField>
    <cacheField name="Units" numFmtId="2">
      <sharedItems containsString="0" containsBlank="1" containsNumber="1" containsInteger="1" minValue="419" maxValue="5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301.341063078704" createdVersion="8" refreshedVersion="8" minRefreshableVersion="3" recordCount="4" xr:uid="{45D168D1-CB8F-4BF2-AE32-34E0CCD3B765}">
  <cacheSource type="worksheet">
    <worksheetSource ref="A2:H6" sheet="Manager_Product_Analysis"/>
  </cacheSource>
  <cacheFields count="8">
    <cacheField name="Manager" numFmtId="0">
      <sharedItems count="4">
        <s v="Liam"/>
        <s v="Mia"/>
        <s v="Noah"/>
        <s v="Olivia"/>
      </sharedItems>
    </cacheField>
    <cacheField name="Chair" numFmtId="165">
      <sharedItems containsSemiMixedTypes="0" containsString="0" containsNumber="1" minValue="12783.01" maxValue="35434.44"/>
    </cacheField>
    <cacheField name="Desk" numFmtId="165">
      <sharedItems containsSemiMixedTypes="0" containsString="0" containsNumber="1" minValue="17696.740000000002" maxValue="32272.69"/>
    </cacheField>
    <cacheField name="Laptop" numFmtId="165">
      <sharedItems containsSemiMixedTypes="0" containsString="0" containsNumber="1" minValue="11278.07" maxValue="30342.63" count="4">
        <n v="23110.53"/>
        <n v="30342.63"/>
        <n v="20919.66"/>
        <n v="11278.07"/>
      </sharedItems>
    </cacheField>
    <cacheField name="Monitor" numFmtId="165">
      <sharedItems containsSemiMixedTypes="0" containsString="0" containsNumber="1" minValue="25628.5" maxValue="30795.14"/>
    </cacheField>
    <cacheField name="Phone" numFmtId="165">
      <sharedItems containsSemiMixedTypes="0" containsString="0" containsNumber="1" minValue="26627.45" maxValue="34304.79" count="4">
        <n v="28736.15"/>
        <n v="26627.45"/>
        <n v="34304.79"/>
        <n v="32105.71"/>
      </sharedItems>
    </cacheField>
    <cacheField name="Printer" numFmtId="165">
      <sharedItems containsSemiMixedTypes="0" containsString="0" containsNumber="1" minValue="18784.68" maxValue="32411.98"/>
    </cacheField>
    <cacheField name="Tablet" numFmtId="165">
      <sharedItems containsSemiMixedTypes="0" containsString="0" containsNumber="1" minValue="12334.19" maxValue="28878.8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301.348476388892" createdVersion="8" refreshedVersion="8" minRefreshableVersion="3" recordCount="10" xr:uid="{24C62ECD-47DD-4251-8DD0-FCBBB245B405}">
  <cacheSource type="worksheet">
    <worksheetSource ref="A2:I12" sheet="Store_Performance"/>
  </cacheSource>
  <cacheFields count="6">
    <cacheField name="Store" numFmtId="0">
      <sharedItems count="10">
        <s v="S1"/>
        <s v="S10"/>
        <s v="S2"/>
        <s v="S3"/>
        <s v="S4"/>
        <s v="S5"/>
        <s v="S6"/>
        <s v="S7"/>
        <s v="S8"/>
        <s v="S9"/>
      </sharedItems>
    </cacheField>
    <cacheField name="Transactions" numFmtId="2">
      <sharedItems containsSemiMixedTypes="0" containsString="0" containsNumber="1" containsInteger="1" minValue="49" maxValue="75"/>
    </cacheField>
    <cacheField name="Total Revenue" numFmtId="2">
      <sharedItems containsSemiMixedTypes="0" containsString="0" containsNumber="1" minValue="53864.26" maxValue="87997.409999999989"/>
    </cacheField>
    <cacheField name="Avg Sale" numFmtId="2">
      <sharedItems containsSemiMixedTypes="0" containsString="0" containsNumber="1" minValue="1085.9184745762709" maxValue="1341.2562745098039"/>
    </cacheField>
    <cacheField name="Total Quantity" numFmtId="2">
      <sharedItems containsSemiMixedTypes="0" containsString="0" containsNumber="1" containsInteger="1" minValue="290" maxValue="401"/>
    </cacheField>
    <cacheField name="Avg Qty" numFmtId="2">
      <sharedItems containsSemiMixedTypes="0" containsString="0" containsNumber="1" minValue="5.2881355932203391" maxValue="6.163265306122449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DELL" refreshedDate="46301.447585300928" createdVersion="8" refreshedVersion="8" minRefreshableVersion="3" recordCount="12" xr:uid="{AD9F2215-A4B6-4744-8786-ED8A5ECB3B4D}">
  <cacheSource type="worksheet">
    <worksheetSource ref="A2:E14" sheet="Monthly_Summary"/>
  </cacheSource>
  <cacheFields count="5">
    <cacheField name="Month" numFmtId="0">
      <sharedItems count="12">
        <s v="April"/>
        <s v="August"/>
        <s v="December"/>
        <s v="February"/>
        <s v="January"/>
        <s v="July"/>
        <s v="June"/>
        <s v="March"/>
        <s v="May"/>
        <s v="November"/>
        <s v="October"/>
        <s v="September"/>
      </sharedItems>
    </cacheField>
    <cacheField name="Transactions" numFmtId="2">
      <sharedItems containsSemiMixedTypes="0" containsString="0" containsNumber="1" containsInteger="1" minValue="32" maxValue="70"/>
    </cacheField>
    <cacheField name="Total Revenue" numFmtId="2">
      <sharedItems containsSemiMixedTypes="0" containsString="0" containsNumber="1" minValue="34994.49" maxValue="90292.160000000003"/>
    </cacheField>
    <cacheField name="Avg Transaction" numFmtId="2">
      <sharedItems containsSemiMixedTypes="0" containsString="0" containsNumber="1" minValue="881.59047619047612" maxValue="1479.5276744186051"/>
    </cacheField>
    <cacheField name="Quantity" numFmtId="2">
      <sharedItems containsSemiMixedTypes="0" containsString="0" containsNumber="1" containsInteger="1" minValue="163" maxValue="40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x v="0"/>
    <x v="0"/>
    <x v="0"/>
    <n v="197.2373255813954"/>
    <n v="501"/>
  </r>
  <r>
    <x v="1"/>
    <x v="1"/>
    <x v="1"/>
    <x v="1"/>
    <n v="210.82839999999999"/>
    <n v="436"/>
  </r>
  <r>
    <x v="2"/>
    <x v="2"/>
    <x v="2"/>
    <x v="2"/>
    <n v="207.88052631578941"/>
    <n v="420"/>
  </r>
  <r>
    <x v="3"/>
    <x v="3"/>
    <x v="3"/>
    <x v="3"/>
    <n v="221.15946236559139"/>
    <n v="501"/>
  </r>
  <r>
    <x v="4"/>
    <x v="4"/>
    <x v="4"/>
    <x v="4"/>
    <n v="206.5343689320388"/>
    <n v="574"/>
  </r>
  <r>
    <x v="5"/>
    <x v="5"/>
    <x v="5"/>
    <x v="5"/>
    <n v="194.94681318681319"/>
    <n v="493"/>
  </r>
  <r>
    <x v="6"/>
    <x v="2"/>
    <x v="6"/>
    <x v="6"/>
    <n v="208.10210526315791"/>
    <n v="419"/>
  </r>
  <r>
    <x v="7"/>
    <x v="6"/>
    <x v="7"/>
    <x v="7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n v="19387.62"/>
    <n v="17696.740000000002"/>
    <x v="0"/>
    <n v="28722.419999999991"/>
    <x v="0"/>
    <n v="28102.650000000009"/>
    <n v="12334.19"/>
  </r>
  <r>
    <x v="1"/>
    <n v="12783.01"/>
    <n v="22890.2"/>
    <x v="1"/>
    <n v="25628.5"/>
    <x v="1"/>
    <n v="18784.68"/>
    <n v="28878.85"/>
  </r>
  <r>
    <x v="2"/>
    <n v="35434.44"/>
    <n v="32272.69"/>
    <x v="2"/>
    <n v="30795.14"/>
    <x v="2"/>
    <n v="32411.98"/>
    <n v="26111.26"/>
  </r>
  <r>
    <x v="3"/>
    <n v="32974.129999999997"/>
    <n v="22147.79"/>
    <x v="3"/>
    <n v="29460.9"/>
    <x v="3"/>
    <n v="21955.62"/>
    <n v="21023.3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">
  <r>
    <x v="0"/>
    <n v="64"/>
    <n v="76384.750000000015"/>
    <n v="1193.51171875"/>
    <n v="339"/>
    <n v="5.296875"/>
  </r>
  <r>
    <x v="1"/>
    <n v="50"/>
    <n v="57856.030000000013"/>
    <n v="1157.1206"/>
    <n v="298"/>
    <n v="5.96"/>
  </r>
  <r>
    <x v="2"/>
    <n v="59"/>
    <n v="64069.189999999988"/>
    <n v="1085.9184745762709"/>
    <n v="312"/>
    <n v="5.2881355932203391"/>
  </r>
  <r>
    <x v="3"/>
    <n v="51"/>
    <n v="68404.070000000007"/>
    <n v="1341.2562745098039"/>
    <n v="290"/>
    <n v="5.6862745098039218"/>
  </r>
  <r>
    <x v="4"/>
    <n v="64"/>
    <n v="73840.06"/>
    <n v="1153.7509375"/>
    <n v="356"/>
    <n v="5.5625"/>
  </r>
  <r>
    <x v="5"/>
    <n v="57"/>
    <n v="64588.13"/>
    <n v="1133.1250877192981"/>
    <n v="313"/>
    <n v="5.4912280701754383"/>
  </r>
  <r>
    <x v="6"/>
    <n v="49"/>
    <n v="53864.26"/>
    <n v="1099.2706122448981"/>
    <n v="302"/>
    <n v="6.1632653061224492"/>
  </r>
  <r>
    <x v="7"/>
    <n v="67"/>
    <n v="81813.000000000015"/>
    <n v="1221.0895522388059"/>
    <n v="365"/>
    <n v="5.4477611940298507"/>
  </r>
  <r>
    <x v="8"/>
    <n v="64"/>
    <n v="78404.200000000012"/>
    <n v="1225.065625"/>
    <n v="368"/>
    <n v="5.75"/>
  </r>
  <r>
    <x v="9"/>
    <n v="75"/>
    <n v="87997.409999999989"/>
    <n v="1173.2988"/>
    <n v="401"/>
    <n v="5.3466666666666667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">
  <r>
    <x v="0"/>
    <n v="57"/>
    <n v="65003.74"/>
    <n v="1140.4164912280701"/>
    <n v="292"/>
  </r>
  <r>
    <x v="1"/>
    <n v="32"/>
    <n v="34994.49"/>
    <n v="1093.5778124999999"/>
    <n v="171"/>
  </r>
  <r>
    <x v="2"/>
    <n v="44"/>
    <n v="49112.56"/>
    <n v="1116.194545454546"/>
    <n v="249"/>
  </r>
  <r>
    <x v="3"/>
    <n v="55"/>
    <n v="65344.780000000013"/>
    <n v="1188.0869090909091"/>
    <n v="291"/>
  </r>
  <r>
    <x v="4"/>
    <n v="61"/>
    <n v="66080.33"/>
    <n v="1083.2840983606559"/>
    <n v="355"/>
  </r>
  <r>
    <x v="5"/>
    <n v="42"/>
    <n v="37026.800000000003"/>
    <n v="881.59047619047612"/>
    <n v="202"/>
  </r>
  <r>
    <x v="6"/>
    <n v="70"/>
    <n v="86023.109999999986"/>
    <n v="1228.9015714285711"/>
    <n v="406"/>
  </r>
  <r>
    <x v="7"/>
    <n v="62"/>
    <n v="71620.709999999992"/>
    <n v="1155.1727419354841"/>
    <n v="343"/>
  </r>
  <r>
    <x v="8"/>
    <n v="62"/>
    <n v="90292.160000000003"/>
    <n v="1456.325161290323"/>
    <n v="389"/>
  </r>
  <r>
    <x v="9"/>
    <n v="43"/>
    <n v="63619.69"/>
    <n v="1479.5276744186051"/>
    <n v="263"/>
  </r>
  <r>
    <x v="10"/>
    <n v="35"/>
    <n v="36349.389999999992"/>
    <n v="1038.5540000000001"/>
    <n v="163"/>
  </r>
  <r>
    <x v="11"/>
    <n v="37"/>
    <n v="41753.339999999997"/>
    <n v="1128.468648648648"/>
    <n v="22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6FACE6-EDF2-493F-9E7D-F8D8EA1E264C}" name="PivotTable8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3:H18" firstHeaderRow="0" firstDataRow="1" firstDataCol="1"/>
  <pivotFields count="8">
    <pivotField axis="axisRow" showAll="0">
      <items count="5">
        <item x="0"/>
        <item x="1"/>
        <item x="2"/>
        <item x="3"/>
        <item t="default"/>
      </items>
    </pivotField>
    <pivotField dataField="1" numFmtId="165" showAll="0"/>
    <pivotField dataField="1" numFmtId="165" showAll="0"/>
    <pivotField dataField="1" numFmtId="165" showAll="0">
      <items count="5">
        <item x="3"/>
        <item x="2"/>
        <item x="0"/>
        <item x="1"/>
        <item t="default"/>
      </items>
    </pivotField>
    <pivotField dataField="1" numFmtId="165" showAll="0"/>
    <pivotField dataField="1" numFmtId="165" showAll="0">
      <items count="5">
        <item x="1"/>
        <item x="0"/>
        <item x="3"/>
        <item x="2"/>
        <item t="default"/>
      </items>
    </pivotField>
    <pivotField dataField="1" numFmtId="165" showAll="0"/>
    <pivotField dataField="1" numFmtId="165"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Tablet" fld="7" baseField="0" baseItem="0" numFmtId="165"/>
    <dataField name="Sum of Printer" fld="6" baseField="0" baseItem="0" numFmtId="165"/>
    <dataField name="Sum of Monitor" fld="4" baseField="0" baseItem="0" numFmtId="165"/>
    <dataField name="Sum of Phone" fld="5" baseField="0" baseItem="0" numFmtId="165"/>
    <dataField name="Sum of Chair" fld="1" baseField="0" baseItem="0" numFmtId="165"/>
    <dataField name="Sum of Laptop" fld="3" baseField="0" baseItem="0" numFmtId="165"/>
    <dataField name="Sum of Desk" fld="2" baseField="0" baseItem="0" numFmtId="165"/>
  </dataFields>
  <formats count="7">
    <format dxfId="6">
      <pivotArea outline="0" collapsedLevelsAreSubtotals="1" fieldPosition="0"/>
    </format>
    <format dxfId="5">
      <pivotArea type="all" dataOnly="0" outline="0" fieldPosition="0"/>
    </format>
    <format dxfId="4">
      <pivotArea outline="0" collapsedLevelsAreSubtotals="1" fieldPosition="0"/>
    </format>
    <format dxfId="3">
      <pivotArea field="0" type="button" dataOnly="0" labelOnly="1" outline="0" axis="axisRow" fieldPosition="0"/>
    </format>
    <format dxfId="2">
      <pivotArea dataOnly="0" labelOnly="1" fieldPosition="0">
        <references count="1">
          <reference field="0" count="0"/>
        </references>
      </pivotArea>
    </format>
    <format dxfId="1">
      <pivotArea dataOnly="0" labelOnly="1" grandRow="1" outline="0" fieldPosition="0"/>
    </format>
    <format dxfId="0">
      <pivotArea dataOnly="0" labelOnly="1" outline="0" fieldPosition="0">
        <references count="1">
          <reference field="4294967294" count="7">
            <x v="0"/>
            <x v="1"/>
            <x v="2"/>
            <x v="3"/>
            <x v="4"/>
            <x v="5"/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B9F77AA-44AE-43B5-8927-976A629ED712}" name="PivotTable7" cacheId="5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:F10" firstHeaderRow="0" firstDataRow="1" firstDataCol="1"/>
  <pivotFields count="6">
    <pivotField axis="axisRow" showAll="0">
      <items count="9">
        <item x="0"/>
        <item x="1"/>
        <item x="2"/>
        <item x="3"/>
        <item x="4"/>
        <item x="5"/>
        <item x="6"/>
        <item h="1" x="7"/>
        <item t="default"/>
      </items>
    </pivotField>
    <pivotField dataField="1" numFmtId="2" showAll="0">
      <items count="8">
        <item x="1"/>
        <item x="2"/>
        <item x="0"/>
        <item x="5"/>
        <item x="3"/>
        <item x="4"/>
        <item x="6"/>
        <item t="default"/>
      </items>
    </pivotField>
    <pivotField dataField="1" numFmtId="2" showAll="0">
      <items count="9">
        <item x="2"/>
        <item x="6"/>
        <item x="1"/>
        <item x="0"/>
        <item x="5"/>
        <item x="3"/>
        <item x="4"/>
        <item x="7"/>
        <item t="default"/>
      </items>
    </pivotField>
    <pivotField dataField="1" numFmtId="2" showAll="0">
      <items count="9">
        <item x="5"/>
        <item x="2"/>
        <item x="6"/>
        <item x="0"/>
        <item x="7"/>
        <item x="4"/>
        <item x="3"/>
        <item x="1"/>
        <item t="default"/>
      </items>
    </pivotField>
    <pivotField dataField="1" showAll="0"/>
    <pivotField dataField="1" showAll="0"/>
  </pivotFields>
  <rowFields count="1">
    <field x="0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Units" fld="5" baseField="0" baseItem="0"/>
    <dataField name="Sum of Avg Price" fld="4" baseField="0" baseItem="0"/>
    <dataField name="Sum of Total Revenue" fld="2" baseField="0" baseItem="0" numFmtId="2"/>
    <dataField name="Sum of Avg Sale" fld="3" baseField="0" baseItem="0" numFmtId="2"/>
    <dataField name="Sum of Transactions" fld="1" baseField="0" baseItem="0" numFmtId="2"/>
  </dataFields>
  <formats count="6">
    <format dxfId="12">
      <pivotArea type="all" dataOnly="0" outline="0" fieldPosition="0"/>
    </format>
    <format dxfId="11">
      <pivotArea outline="0" collapsedLevelsAreSubtotals="1" fieldPosition="0"/>
    </format>
    <format dxfId="10">
      <pivotArea field="0" type="button" dataOnly="0" labelOnly="1" outline="0" axis="axisRow" fieldPosition="0"/>
    </format>
    <format dxfId="9">
      <pivotArea dataOnly="0" labelOnly="1" fieldPosition="0">
        <references count="1">
          <reference field="0" count="0"/>
        </references>
      </pivotArea>
    </format>
    <format dxfId="8">
      <pivotArea dataOnly="0" labelOnly="1" grandRow="1" outline="0" fieldPosition="0"/>
    </format>
    <format dxfId="7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2ACCCB-8B36-428C-8B52-A6F7B1A89989}" name="PivotTable10" cacheId="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5:E48" firstHeaderRow="0" firstDataRow="1" firstDataCol="1"/>
  <pivotFields count="5">
    <pivotField axis="axisRow" showAll="0">
      <items count="13">
        <item x="4"/>
        <item x="3"/>
        <item x="7"/>
        <item x="0"/>
        <item x="8"/>
        <item x="6"/>
        <item x="5"/>
        <item x="1"/>
        <item x="11"/>
        <item x="10"/>
        <item x="9"/>
        <item x="2"/>
        <item t="default"/>
      </items>
    </pivotField>
    <pivotField dataField="1" numFmtId="2" showAll="0"/>
    <pivotField dataField="1" numFmtId="2" showAll="0"/>
    <pivotField dataField="1" numFmtId="2" showAll="0"/>
    <pivotField dataField="1" numFmtId="2" showAll="0"/>
  </pivotFields>
  <rowFields count="1">
    <field x="0"/>
  </rowFields>
  <rowItems count="1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Quantity" fld="4" baseField="0" baseItem="0" numFmtId="2"/>
    <dataField name="Sum of Transactions" fld="1" baseField="0" baseItem="0" numFmtId="2"/>
    <dataField name="Sum of Avg Transaction" fld="3" baseField="0" baseItem="0" numFmtId="2"/>
    <dataField name="Sum of Total Revenue" fld="2" baseField="0" baseItem="0" numFmtId="2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041718D-7ACE-4D72-8E38-58A83DBA0297}" name="PivotTable9" cacheId="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21:F32" firstHeaderRow="0" firstDataRow="1" firstDataCol="1"/>
  <pivotFields count="6">
    <pivotField axis="axisRow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dataField="1" numFmtId="2" showAll="0"/>
    <pivotField dataField="1" numFmtId="2" showAll="0"/>
    <pivotField dataField="1" numFmtId="2" showAll="0"/>
    <pivotField dataField="1" numFmtId="2" showAll="0"/>
    <pivotField dataField="1" numFmtId="2" showAll="0"/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 of Transactions" fld="1" baseField="0" baseItem="0" numFmtId="2"/>
    <dataField name="Sum of Total Quantity" fld="4" baseField="0" baseItem="0" numFmtId="2"/>
    <dataField name="Sum of Avg Qty" fld="5" baseField="0" baseItem="0" numFmtId="2"/>
    <dataField name="Sum of Avg Sale" fld="3" baseField="0" baseItem="0" numFmtId="2"/>
    <dataField name="Sum of Total Revenue" fld="2" baseField="0" baseItem="0" numFmtId="2"/>
  </dataFields>
  <formats count="6">
    <format dxfId="18">
      <pivotArea type="all" dataOnly="0" outline="0" fieldPosition="0"/>
    </format>
    <format dxfId="17">
      <pivotArea outline="0" collapsedLevelsAreSubtotals="1" fieldPosition="0"/>
    </format>
    <format dxfId="16">
      <pivotArea field="0" type="button" dataOnly="0" labelOnly="1" outline="0" axis="axisRow" fieldPosition="0"/>
    </format>
    <format dxfId="15">
      <pivotArea dataOnly="0" labelOnly="1" fieldPosition="0">
        <references count="1">
          <reference field="0" count="0"/>
        </references>
      </pivotArea>
    </format>
    <format dxfId="14">
      <pivotArea dataOnly="0" labelOnly="1" grandRow="1" outline="0" fieldPosition="0"/>
    </format>
    <format dxfId="13">
      <pivotArea dataOnly="0" labelOnly="1" outline="0" fieldPosition="0">
        <references count="1">
          <reference field="4294967294" count="5">
            <x v="0"/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F35CD0D-1C95-4980-8443-FCDDF030CE3C}" name="Table1" displayName="Table1" ref="A1:A1048576" totalsRowShown="0" headerRowDxfId="20" tableBorderDxfId="19">
  <tableColumns count="1">
    <tableColumn id="1" xr3:uid="{6BA0A285-93EA-49AF-9A2C-F500DAC4AE17}" name="Date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61392C-7FE8-418E-A9EC-0A37B265722F}">
  <dimension ref="A1:N2001"/>
  <sheetViews>
    <sheetView zoomScale="89" zoomScaleNormal="89" workbookViewId="0">
      <selection activeCell="P15" sqref="P15"/>
    </sheetView>
  </sheetViews>
  <sheetFormatPr defaultRowHeight="14.5" x14ac:dyDescent="0.35"/>
  <cols>
    <col min="1" max="1" width="10.08984375" bestFit="1" customWidth="1"/>
    <col min="8" max="8" width="12.26953125" bestFit="1" customWidth="1"/>
    <col min="9" max="9" width="12.453125" bestFit="1" customWidth="1"/>
    <col min="11" max="11" width="12.7265625" bestFit="1" customWidth="1"/>
    <col min="12" max="12" width="10.08984375" bestFit="1" customWidth="1"/>
    <col min="13" max="13" width="10.81640625" bestFit="1" customWidth="1"/>
  </cols>
  <sheetData>
    <row r="1" spans="1:14" x14ac:dyDescent="0.35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8" t="s">
        <v>7</v>
      </c>
      <c r="I1" s="38" t="s">
        <v>8</v>
      </c>
      <c r="J1" s="38" t="s">
        <v>9</v>
      </c>
      <c r="K1" s="38" t="s">
        <v>10</v>
      </c>
      <c r="L1" s="38" t="s">
        <v>11</v>
      </c>
      <c r="M1" s="38" t="s">
        <v>12</v>
      </c>
      <c r="N1" s="38" t="s">
        <v>13</v>
      </c>
    </row>
    <row r="2" spans="1:14" x14ac:dyDescent="0.35">
      <c r="A2" s="2">
        <v>45381</v>
      </c>
      <c r="B2" t="s">
        <v>669</v>
      </c>
      <c r="C2" t="s">
        <v>81</v>
      </c>
      <c r="D2" t="s">
        <v>33</v>
      </c>
      <c r="E2" t="s">
        <v>63</v>
      </c>
      <c r="F2">
        <v>3</v>
      </c>
      <c r="G2">
        <v>364.22</v>
      </c>
      <c r="H2" t="s">
        <v>24</v>
      </c>
      <c r="I2" t="s">
        <v>670</v>
      </c>
      <c r="J2" t="s">
        <v>55</v>
      </c>
      <c r="K2" t="s">
        <v>78</v>
      </c>
      <c r="L2" t="s">
        <v>39</v>
      </c>
      <c r="M2" t="s">
        <v>79</v>
      </c>
      <c r="N2">
        <v>1092.6600000000001</v>
      </c>
    </row>
    <row r="3" spans="1:14" x14ac:dyDescent="0.35">
      <c r="A3" s="2">
        <v>45001</v>
      </c>
      <c r="B3" t="s">
        <v>184</v>
      </c>
      <c r="C3" t="s">
        <v>106</v>
      </c>
      <c r="D3" t="s">
        <v>22</v>
      </c>
      <c r="E3" t="s">
        <v>53</v>
      </c>
      <c r="F3">
        <v>9</v>
      </c>
      <c r="G3">
        <v>384.74</v>
      </c>
      <c r="H3" t="s">
        <v>44</v>
      </c>
      <c r="I3" t="s">
        <v>185</v>
      </c>
      <c r="J3" t="s">
        <v>97</v>
      </c>
      <c r="K3" t="s">
        <v>27</v>
      </c>
      <c r="L3" t="s">
        <v>39</v>
      </c>
      <c r="M3" t="s">
        <v>56</v>
      </c>
      <c r="N3">
        <v>3462.66</v>
      </c>
    </row>
    <row r="4" spans="1:14" x14ac:dyDescent="0.35">
      <c r="A4" s="2">
        <v>45408</v>
      </c>
      <c r="B4" t="s">
        <v>427</v>
      </c>
      <c r="C4" t="s">
        <v>89</v>
      </c>
      <c r="D4" t="s">
        <v>22</v>
      </c>
      <c r="E4" t="s">
        <v>83</v>
      </c>
      <c r="F4">
        <v>9</v>
      </c>
      <c r="G4">
        <v>397.8</v>
      </c>
      <c r="H4" t="s">
        <v>35</v>
      </c>
      <c r="I4" t="s">
        <v>691</v>
      </c>
      <c r="J4" t="s">
        <v>26</v>
      </c>
      <c r="K4" t="s">
        <v>27</v>
      </c>
      <c r="L4" t="s">
        <v>28</v>
      </c>
      <c r="M4" t="s">
        <v>61</v>
      </c>
      <c r="N4">
        <v>3580.2</v>
      </c>
    </row>
    <row r="5" spans="1:14" x14ac:dyDescent="0.35">
      <c r="A5" s="2">
        <v>45696</v>
      </c>
      <c r="B5" t="s">
        <v>999</v>
      </c>
      <c r="C5" t="s">
        <v>89</v>
      </c>
      <c r="D5" t="s">
        <v>33</v>
      </c>
      <c r="E5" t="s">
        <v>23</v>
      </c>
      <c r="F5">
        <v>7</v>
      </c>
      <c r="G5">
        <v>80.27</v>
      </c>
      <c r="H5" t="s">
        <v>44</v>
      </c>
      <c r="I5" t="s">
        <v>1000</v>
      </c>
      <c r="J5" t="s">
        <v>94</v>
      </c>
      <c r="K5" t="s">
        <v>60</v>
      </c>
      <c r="L5" t="s">
        <v>39</v>
      </c>
      <c r="M5" t="s">
        <v>79</v>
      </c>
      <c r="N5">
        <v>561.89</v>
      </c>
    </row>
    <row r="6" spans="1:14" x14ac:dyDescent="0.35">
      <c r="A6" s="2">
        <v>45460</v>
      </c>
      <c r="B6" t="s">
        <v>538</v>
      </c>
      <c r="C6" t="s">
        <v>89</v>
      </c>
      <c r="D6" t="s">
        <v>42</v>
      </c>
      <c r="E6" t="s">
        <v>23</v>
      </c>
      <c r="F6">
        <v>10</v>
      </c>
      <c r="G6">
        <v>214.03</v>
      </c>
      <c r="H6" t="s">
        <v>24</v>
      </c>
      <c r="I6" t="s">
        <v>742</v>
      </c>
      <c r="J6" t="s">
        <v>55</v>
      </c>
      <c r="K6" t="s">
        <v>78</v>
      </c>
      <c r="L6" t="s">
        <v>28</v>
      </c>
      <c r="M6" t="s">
        <v>29</v>
      </c>
      <c r="N6">
        <v>2140.3000000000002</v>
      </c>
    </row>
    <row r="7" spans="1:14" x14ac:dyDescent="0.35">
      <c r="A7" s="2">
        <v>44952</v>
      </c>
      <c r="B7" t="s">
        <v>95</v>
      </c>
      <c r="C7" t="s">
        <v>74</v>
      </c>
      <c r="D7" t="s">
        <v>22</v>
      </c>
      <c r="E7" t="s">
        <v>92</v>
      </c>
      <c r="F7">
        <v>7</v>
      </c>
      <c r="G7">
        <v>51.37</v>
      </c>
      <c r="H7" t="s">
        <v>64</v>
      </c>
      <c r="I7" t="s">
        <v>96</v>
      </c>
      <c r="J7" t="s">
        <v>97</v>
      </c>
      <c r="K7" t="s">
        <v>60</v>
      </c>
      <c r="L7" t="s">
        <v>28</v>
      </c>
      <c r="M7" t="s">
        <v>56</v>
      </c>
      <c r="N7">
        <v>359.59</v>
      </c>
    </row>
    <row r="8" spans="1:14" x14ac:dyDescent="0.35">
      <c r="A8" s="2">
        <v>45270</v>
      </c>
      <c r="B8" t="s">
        <v>486</v>
      </c>
      <c r="C8" t="s">
        <v>71</v>
      </c>
      <c r="D8" t="s">
        <v>42</v>
      </c>
      <c r="E8" t="s">
        <v>23</v>
      </c>
      <c r="F8">
        <v>9</v>
      </c>
      <c r="G8">
        <v>8.32</v>
      </c>
      <c r="H8" t="s">
        <v>35</v>
      </c>
      <c r="I8" t="s">
        <v>544</v>
      </c>
      <c r="J8" t="s">
        <v>37</v>
      </c>
      <c r="K8" t="s">
        <v>38</v>
      </c>
      <c r="L8" t="s">
        <v>66</v>
      </c>
      <c r="M8" t="s">
        <v>101</v>
      </c>
      <c r="N8">
        <v>74.88</v>
      </c>
    </row>
    <row r="9" spans="1:14" x14ac:dyDescent="0.35">
      <c r="A9" s="2">
        <v>45151</v>
      </c>
      <c r="B9" t="s">
        <v>398</v>
      </c>
      <c r="C9" t="s">
        <v>41</v>
      </c>
      <c r="D9" t="s">
        <v>22</v>
      </c>
      <c r="E9" t="s">
        <v>43</v>
      </c>
      <c r="F9">
        <v>2</v>
      </c>
      <c r="G9">
        <v>188.93</v>
      </c>
      <c r="H9" t="s">
        <v>64</v>
      </c>
      <c r="I9" t="s">
        <v>399</v>
      </c>
      <c r="J9" t="s">
        <v>26</v>
      </c>
      <c r="K9" t="s">
        <v>60</v>
      </c>
      <c r="L9" t="s">
        <v>28</v>
      </c>
      <c r="M9" t="s">
        <v>101</v>
      </c>
      <c r="N9">
        <v>377.86</v>
      </c>
    </row>
    <row r="10" spans="1:14" x14ac:dyDescent="0.35">
      <c r="A10" s="2">
        <v>45429</v>
      </c>
      <c r="B10" t="s">
        <v>713</v>
      </c>
      <c r="C10" t="s">
        <v>74</v>
      </c>
      <c r="D10" t="s">
        <v>42</v>
      </c>
      <c r="E10" t="s">
        <v>34</v>
      </c>
      <c r="F10">
        <v>1</v>
      </c>
      <c r="G10">
        <v>202.95</v>
      </c>
      <c r="H10" t="s">
        <v>58</v>
      </c>
      <c r="I10" t="s">
        <v>714</v>
      </c>
      <c r="J10" t="s">
        <v>97</v>
      </c>
      <c r="K10" t="s">
        <v>60</v>
      </c>
      <c r="L10" t="s">
        <v>39</v>
      </c>
      <c r="M10" t="s">
        <v>61</v>
      </c>
      <c r="N10">
        <v>202.95</v>
      </c>
    </row>
    <row r="11" spans="1:14" x14ac:dyDescent="0.35">
      <c r="A11" s="2">
        <v>45177</v>
      </c>
      <c r="B11" t="s">
        <v>431</v>
      </c>
      <c r="C11" t="s">
        <v>41</v>
      </c>
      <c r="D11" t="s">
        <v>33</v>
      </c>
      <c r="E11" t="s">
        <v>43</v>
      </c>
      <c r="F11">
        <v>5</v>
      </c>
      <c r="G11">
        <v>142.04</v>
      </c>
      <c r="H11" t="s">
        <v>44</v>
      </c>
      <c r="I11" t="s">
        <v>432</v>
      </c>
      <c r="J11" t="s">
        <v>94</v>
      </c>
      <c r="K11" t="s">
        <v>78</v>
      </c>
      <c r="L11" t="s">
        <v>28</v>
      </c>
      <c r="M11" t="s">
        <v>61</v>
      </c>
      <c r="N11">
        <v>710.19999999999993</v>
      </c>
    </row>
    <row r="12" spans="1:14" x14ac:dyDescent="0.35">
      <c r="A12" s="2">
        <v>45189</v>
      </c>
      <c r="B12" t="s">
        <v>441</v>
      </c>
      <c r="C12" t="s">
        <v>21</v>
      </c>
      <c r="D12" t="s">
        <v>52</v>
      </c>
      <c r="E12" t="s">
        <v>23</v>
      </c>
      <c r="F12">
        <v>8</v>
      </c>
      <c r="G12">
        <v>97.52</v>
      </c>
      <c r="H12" t="s">
        <v>44</v>
      </c>
      <c r="I12" t="s">
        <v>442</v>
      </c>
      <c r="J12" t="s">
        <v>55</v>
      </c>
      <c r="K12" t="s">
        <v>27</v>
      </c>
      <c r="L12" t="s">
        <v>28</v>
      </c>
      <c r="M12" t="s">
        <v>67</v>
      </c>
      <c r="N12">
        <v>780.16</v>
      </c>
    </row>
    <row r="13" spans="1:14" x14ac:dyDescent="0.35">
      <c r="A13" s="2">
        <v>45338</v>
      </c>
      <c r="B13" t="s">
        <v>612</v>
      </c>
      <c r="C13" t="s">
        <v>51</v>
      </c>
      <c r="D13" t="s">
        <v>33</v>
      </c>
      <c r="E13" t="s">
        <v>92</v>
      </c>
      <c r="F13">
        <v>2</v>
      </c>
      <c r="G13">
        <v>230.96</v>
      </c>
      <c r="H13" t="s">
        <v>44</v>
      </c>
      <c r="I13" t="s">
        <v>613</v>
      </c>
      <c r="J13" t="s">
        <v>55</v>
      </c>
      <c r="K13" t="s">
        <v>38</v>
      </c>
      <c r="L13" t="s">
        <v>39</v>
      </c>
      <c r="M13" t="s">
        <v>61</v>
      </c>
      <c r="N13">
        <v>461.92</v>
      </c>
    </row>
    <row r="14" spans="1:14" x14ac:dyDescent="0.35">
      <c r="A14" s="2">
        <v>45548</v>
      </c>
      <c r="B14" t="s">
        <v>845</v>
      </c>
      <c r="C14" t="s">
        <v>41</v>
      </c>
      <c r="D14" t="s">
        <v>22</v>
      </c>
      <c r="E14" t="s">
        <v>34</v>
      </c>
      <c r="F14">
        <v>8</v>
      </c>
      <c r="G14">
        <v>201.35</v>
      </c>
      <c r="H14" t="s">
        <v>24</v>
      </c>
      <c r="I14" t="s">
        <v>846</v>
      </c>
      <c r="J14" t="s">
        <v>37</v>
      </c>
      <c r="K14" t="s">
        <v>38</v>
      </c>
      <c r="L14" t="s">
        <v>28</v>
      </c>
      <c r="M14" t="s">
        <v>61</v>
      </c>
      <c r="N14">
        <v>1610.8</v>
      </c>
    </row>
    <row r="15" spans="1:14" x14ac:dyDescent="0.35">
      <c r="A15" s="2">
        <v>45825</v>
      </c>
      <c r="B15" t="s">
        <v>1102</v>
      </c>
      <c r="C15" t="s">
        <v>106</v>
      </c>
      <c r="D15" t="s">
        <v>33</v>
      </c>
      <c r="E15" t="s">
        <v>83</v>
      </c>
      <c r="F15">
        <v>10</v>
      </c>
      <c r="G15">
        <v>40.96</v>
      </c>
      <c r="H15" t="s">
        <v>35</v>
      </c>
      <c r="I15" t="s">
        <v>1103</v>
      </c>
      <c r="J15" t="s">
        <v>55</v>
      </c>
      <c r="K15" t="s">
        <v>27</v>
      </c>
      <c r="L15" t="s">
        <v>39</v>
      </c>
      <c r="M15" t="s">
        <v>49</v>
      </c>
      <c r="N15">
        <v>409.6</v>
      </c>
    </row>
    <row r="16" spans="1:14" x14ac:dyDescent="0.35">
      <c r="A16" s="2">
        <v>44960</v>
      </c>
      <c r="B16" t="s">
        <v>123</v>
      </c>
      <c r="C16" t="s">
        <v>81</v>
      </c>
      <c r="D16" t="s">
        <v>42</v>
      </c>
      <c r="E16" t="s">
        <v>23</v>
      </c>
      <c r="F16">
        <v>1</v>
      </c>
      <c r="G16">
        <v>88.74</v>
      </c>
      <c r="H16" t="s">
        <v>58</v>
      </c>
      <c r="I16" t="s">
        <v>124</v>
      </c>
      <c r="J16" t="s">
        <v>26</v>
      </c>
      <c r="K16" t="s">
        <v>38</v>
      </c>
      <c r="L16" t="s">
        <v>66</v>
      </c>
      <c r="M16" t="s">
        <v>61</v>
      </c>
      <c r="N16">
        <v>88.74</v>
      </c>
    </row>
    <row r="17" spans="1:14" x14ac:dyDescent="0.35">
      <c r="A17" s="2">
        <v>45323</v>
      </c>
      <c r="B17" t="s">
        <v>348</v>
      </c>
      <c r="C17" t="s">
        <v>21</v>
      </c>
      <c r="D17" t="s">
        <v>52</v>
      </c>
      <c r="E17" t="s">
        <v>53</v>
      </c>
      <c r="F17">
        <v>5</v>
      </c>
      <c r="G17">
        <v>362.03</v>
      </c>
      <c r="H17" t="s">
        <v>35</v>
      </c>
      <c r="I17" t="s">
        <v>593</v>
      </c>
      <c r="J17" t="s">
        <v>37</v>
      </c>
      <c r="K17" t="s">
        <v>27</v>
      </c>
      <c r="L17" t="s">
        <v>28</v>
      </c>
      <c r="M17" t="s">
        <v>56</v>
      </c>
      <c r="N17">
        <v>1810.15</v>
      </c>
    </row>
    <row r="18" spans="1:14" x14ac:dyDescent="0.35">
      <c r="A18" s="2">
        <v>45193</v>
      </c>
      <c r="B18" t="s">
        <v>448</v>
      </c>
      <c r="C18" t="s">
        <v>86</v>
      </c>
      <c r="D18" t="s">
        <v>52</v>
      </c>
      <c r="E18" t="s">
        <v>43</v>
      </c>
      <c r="F18">
        <v>3</v>
      </c>
      <c r="G18">
        <v>26.78</v>
      </c>
      <c r="H18" t="s">
        <v>35</v>
      </c>
      <c r="I18" t="s">
        <v>449</v>
      </c>
      <c r="J18" t="s">
        <v>26</v>
      </c>
      <c r="K18" t="s">
        <v>27</v>
      </c>
      <c r="L18" t="s">
        <v>66</v>
      </c>
      <c r="M18" t="s">
        <v>101</v>
      </c>
      <c r="N18">
        <v>80.34</v>
      </c>
    </row>
    <row r="19" spans="1:14" x14ac:dyDescent="0.35">
      <c r="A19" s="2">
        <v>45080</v>
      </c>
      <c r="B19" t="s">
        <v>322</v>
      </c>
      <c r="C19" t="s">
        <v>86</v>
      </c>
      <c r="D19" t="s">
        <v>22</v>
      </c>
      <c r="E19" t="s">
        <v>63</v>
      </c>
      <c r="F19">
        <v>3</v>
      </c>
      <c r="G19">
        <v>11.95</v>
      </c>
      <c r="H19" t="s">
        <v>58</v>
      </c>
      <c r="I19" t="s">
        <v>323</v>
      </c>
      <c r="J19" t="s">
        <v>37</v>
      </c>
      <c r="K19" t="s">
        <v>38</v>
      </c>
      <c r="L19" t="s">
        <v>28</v>
      </c>
      <c r="M19" t="s">
        <v>79</v>
      </c>
      <c r="N19">
        <v>35.849999999999987</v>
      </c>
    </row>
    <row r="20" spans="1:14" x14ac:dyDescent="0.35">
      <c r="A20" s="2">
        <v>44981</v>
      </c>
      <c r="B20" t="s">
        <v>143</v>
      </c>
      <c r="C20" t="s">
        <v>41</v>
      </c>
      <c r="D20" t="s">
        <v>52</v>
      </c>
      <c r="E20" t="s">
        <v>92</v>
      </c>
      <c r="F20">
        <v>3</v>
      </c>
      <c r="G20">
        <v>267.06</v>
      </c>
      <c r="H20" t="s">
        <v>58</v>
      </c>
      <c r="I20" t="s">
        <v>144</v>
      </c>
      <c r="J20" t="s">
        <v>37</v>
      </c>
      <c r="K20" t="s">
        <v>27</v>
      </c>
      <c r="L20" t="s">
        <v>39</v>
      </c>
      <c r="M20" t="s">
        <v>61</v>
      </c>
      <c r="N20">
        <v>801.18000000000006</v>
      </c>
    </row>
    <row r="21" spans="1:14" x14ac:dyDescent="0.35">
      <c r="A21" s="2">
        <v>45133</v>
      </c>
      <c r="B21" t="s">
        <v>386</v>
      </c>
      <c r="C21" t="s">
        <v>51</v>
      </c>
      <c r="D21" t="s">
        <v>42</v>
      </c>
      <c r="E21" t="s">
        <v>92</v>
      </c>
      <c r="F21">
        <v>3</v>
      </c>
      <c r="G21">
        <v>297.14</v>
      </c>
      <c r="H21" t="s">
        <v>35</v>
      </c>
      <c r="I21" t="s">
        <v>387</v>
      </c>
      <c r="J21" t="s">
        <v>97</v>
      </c>
      <c r="K21" t="s">
        <v>60</v>
      </c>
      <c r="L21" t="s">
        <v>28</v>
      </c>
      <c r="M21" t="s">
        <v>67</v>
      </c>
      <c r="N21">
        <v>891.42</v>
      </c>
    </row>
    <row r="22" spans="1:14" x14ac:dyDescent="0.35">
      <c r="A22" s="2">
        <v>45215</v>
      </c>
      <c r="B22" t="s">
        <v>313</v>
      </c>
      <c r="C22" t="s">
        <v>41</v>
      </c>
      <c r="D22" t="s">
        <v>52</v>
      </c>
      <c r="E22" t="s">
        <v>53</v>
      </c>
      <c r="F22">
        <v>7</v>
      </c>
      <c r="G22">
        <v>206.04</v>
      </c>
      <c r="H22" t="s">
        <v>64</v>
      </c>
      <c r="I22" t="s">
        <v>476</v>
      </c>
      <c r="J22" t="s">
        <v>37</v>
      </c>
      <c r="K22" t="s">
        <v>78</v>
      </c>
      <c r="L22" t="s">
        <v>66</v>
      </c>
      <c r="M22" t="s">
        <v>29</v>
      </c>
      <c r="N22">
        <v>1442.28</v>
      </c>
    </row>
    <row r="23" spans="1:14" x14ac:dyDescent="0.35">
      <c r="A23" s="2">
        <v>45522</v>
      </c>
      <c r="B23" t="s">
        <v>338</v>
      </c>
      <c r="C23" t="s">
        <v>47</v>
      </c>
      <c r="D23" t="s">
        <v>42</v>
      </c>
      <c r="E23" t="s">
        <v>23</v>
      </c>
      <c r="F23">
        <v>8</v>
      </c>
      <c r="G23">
        <v>289.99</v>
      </c>
      <c r="H23" t="s">
        <v>24</v>
      </c>
      <c r="I23" t="s">
        <v>832</v>
      </c>
      <c r="J23" t="s">
        <v>94</v>
      </c>
      <c r="K23" t="s">
        <v>38</v>
      </c>
      <c r="L23" t="s">
        <v>39</v>
      </c>
      <c r="M23" t="s">
        <v>101</v>
      </c>
      <c r="N23">
        <v>2319.92</v>
      </c>
    </row>
    <row r="24" spans="1:14" x14ac:dyDescent="0.35">
      <c r="A24" s="2">
        <v>45138</v>
      </c>
      <c r="B24" t="s">
        <v>390</v>
      </c>
      <c r="C24" t="s">
        <v>89</v>
      </c>
      <c r="D24" t="s">
        <v>33</v>
      </c>
      <c r="E24" t="s">
        <v>53</v>
      </c>
      <c r="F24">
        <v>1</v>
      </c>
      <c r="G24">
        <v>78.56</v>
      </c>
      <c r="H24" t="s">
        <v>44</v>
      </c>
      <c r="I24" t="s">
        <v>391</v>
      </c>
      <c r="J24" t="s">
        <v>94</v>
      </c>
      <c r="K24" t="s">
        <v>27</v>
      </c>
      <c r="L24" t="s">
        <v>28</v>
      </c>
      <c r="M24" t="s">
        <v>29</v>
      </c>
      <c r="N24">
        <v>78.56</v>
      </c>
    </row>
    <row r="25" spans="1:14" x14ac:dyDescent="0.35">
      <c r="A25" s="2">
        <v>45506</v>
      </c>
      <c r="B25" t="s">
        <v>808</v>
      </c>
      <c r="C25" t="s">
        <v>106</v>
      </c>
      <c r="D25" t="s">
        <v>33</v>
      </c>
      <c r="E25" t="s">
        <v>34</v>
      </c>
      <c r="F25">
        <v>5</v>
      </c>
      <c r="G25">
        <v>341.68</v>
      </c>
      <c r="H25" t="s">
        <v>44</v>
      </c>
      <c r="I25" t="s">
        <v>809</v>
      </c>
      <c r="J25" t="s">
        <v>97</v>
      </c>
      <c r="K25" t="s">
        <v>38</v>
      </c>
      <c r="L25" t="s">
        <v>28</v>
      </c>
      <c r="M25" t="s">
        <v>61</v>
      </c>
      <c r="N25">
        <v>1708.4</v>
      </c>
    </row>
    <row r="26" spans="1:14" x14ac:dyDescent="0.35">
      <c r="A26" s="2">
        <v>45335</v>
      </c>
      <c r="B26" t="s">
        <v>607</v>
      </c>
      <c r="C26" t="s">
        <v>21</v>
      </c>
      <c r="D26" t="s">
        <v>42</v>
      </c>
      <c r="E26" t="s">
        <v>53</v>
      </c>
      <c r="F26">
        <v>5</v>
      </c>
      <c r="G26">
        <v>347.45</v>
      </c>
      <c r="H26" t="s">
        <v>64</v>
      </c>
      <c r="I26" t="s">
        <v>608</v>
      </c>
      <c r="J26" t="s">
        <v>94</v>
      </c>
      <c r="K26" t="s">
        <v>38</v>
      </c>
      <c r="L26" t="s">
        <v>66</v>
      </c>
      <c r="M26" t="s">
        <v>49</v>
      </c>
      <c r="N26">
        <v>1737.25</v>
      </c>
    </row>
    <row r="27" spans="1:14" x14ac:dyDescent="0.35">
      <c r="A27" s="2">
        <v>45678</v>
      </c>
      <c r="B27" t="s">
        <v>982</v>
      </c>
      <c r="C27" t="s">
        <v>71</v>
      </c>
      <c r="D27" t="s">
        <v>33</v>
      </c>
      <c r="E27" t="s">
        <v>83</v>
      </c>
      <c r="F27">
        <v>9</v>
      </c>
      <c r="G27">
        <v>248.76</v>
      </c>
      <c r="H27" t="s">
        <v>44</v>
      </c>
      <c r="I27" t="s">
        <v>983</v>
      </c>
      <c r="J27" t="s">
        <v>26</v>
      </c>
      <c r="K27" t="s">
        <v>78</v>
      </c>
      <c r="L27" t="s">
        <v>28</v>
      </c>
      <c r="M27" t="s">
        <v>49</v>
      </c>
      <c r="N27">
        <v>2238.84</v>
      </c>
    </row>
    <row r="28" spans="1:14" x14ac:dyDescent="0.35">
      <c r="A28" s="2">
        <v>45740</v>
      </c>
      <c r="B28" t="s">
        <v>1021</v>
      </c>
      <c r="C28" t="s">
        <v>86</v>
      </c>
      <c r="D28" t="s">
        <v>22</v>
      </c>
      <c r="E28" t="s">
        <v>83</v>
      </c>
      <c r="F28">
        <v>2</v>
      </c>
      <c r="G28">
        <v>254.98</v>
      </c>
      <c r="H28" t="s">
        <v>44</v>
      </c>
      <c r="I28" t="s">
        <v>1022</v>
      </c>
      <c r="J28" t="s">
        <v>26</v>
      </c>
      <c r="K28" t="s">
        <v>38</v>
      </c>
      <c r="L28" t="s">
        <v>28</v>
      </c>
      <c r="M28" t="s">
        <v>29</v>
      </c>
      <c r="N28">
        <v>509.96</v>
      </c>
    </row>
    <row r="29" spans="1:14" x14ac:dyDescent="0.35">
      <c r="A29" s="2">
        <v>44991</v>
      </c>
      <c r="B29" t="s">
        <v>164</v>
      </c>
      <c r="C29" t="s">
        <v>21</v>
      </c>
      <c r="D29" t="s">
        <v>52</v>
      </c>
      <c r="E29" t="s">
        <v>53</v>
      </c>
      <c r="F29">
        <v>3</v>
      </c>
      <c r="G29">
        <v>219.6</v>
      </c>
      <c r="H29" t="s">
        <v>35</v>
      </c>
      <c r="I29" t="s">
        <v>165</v>
      </c>
      <c r="J29" t="s">
        <v>55</v>
      </c>
      <c r="K29" t="s">
        <v>60</v>
      </c>
      <c r="L29" t="s">
        <v>28</v>
      </c>
      <c r="M29" t="s">
        <v>29</v>
      </c>
      <c r="N29">
        <v>658.8</v>
      </c>
    </row>
    <row r="30" spans="1:14" x14ac:dyDescent="0.35">
      <c r="A30" s="2">
        <v>45834</v>
      </c>
      <c r="B30" t="s">
        <v>388</v>
      </c>
      <c r="C30" t="s">
        <v>81</v>
      </c>
      <c r="D30" t="s">
        <v>22</v>
      </c>
      <c r="E30" t="s">
        <v>43</v>
      </c>
      <c r="F30">
        <v>6</v>
      </c>
      <c r="G30">
        <v>311.11</v>
      </c>
      <c r="H30" t="s">
        <v>64</v>
      </c>
      <c r="I30" t="s">
        <v>1110</v>
      </c>
      <c r="J30" t="s">
        <v>55</v>
      </c>
      <c r="K30" t="s">
        <v>38</v>
      </c>
      <c r="L30" t="s">
        <v>28</v>
      </c>
      <c r="M30" t="s">
        <v>56</v>
      </c>
      <c r="N30">
        <v>1866.66</v>
      </c>
    </row>
    <row r="31" spans="1:14" x14ac:dyDescent="0.35">
      <c r="A31" s="2">
        <v>45825</v>
      </c>
      <c r="B31" t="s">
        <v>963</v>
      </c>
      <c r="C31" t="s">
        <v>21</v>
      </c>
      <c r="D31" t="s">
        <v>22</v>
      </c>
      <c r="E31" t="s">
        <v>83</v>
      </c>
      <c r="F31">
        <v>5</v>
      </c>
      <c r="G31">
        <v>41.09</v>
      </c>
      <c r="H31" t="s">
        <v>24</v>
      </c>
      <c r="I31" t="s">
        <v>1101</v>
      </c>
      <c r="J31" t="s">
        <v>94</v>
      </c>
      <c r="K31" t="s">
        <v>27</v>
      </c>
      <c r="L31" t="s">
        <v>39</v>
      </c>
      <c r="M31" t="s">
        <v>49</v>
      </c>
      <c r="N31">
        <v>205.45</v>
      </c>
    </row>
    <row r="32" spans="1:14" x14ac:dyDescent="0.35">
      <c r="A32" s="2">
        <v>45225</v>
      </c>
      <c r="B32" t="s">
        <v>484</v>
      </c>
      <c r="C32" t="s">
        <v>86</v>
      </c>
      <c r="D32" t="s">
        <v>22</v>
      </c>
      <c r="E32" t="s">
        <v>34</v>
      </c>
      <c r="F32">
        <v>6</v>
      </c>
      <c r="G32">
        <v>193.95</v>
      </c>
      <c r="H32" t="s">
        <v>24</v>
      </c>
      <c r="I32" t="s">
        <v>485</v>
      </c>
      <c r="J32" t="s">
        <v>26</v>
      </c>
      <c r="K32" t="s">
        <v>27</v>
      </c>
      <c r="L32" t="s">
        <v>66</v>
      </c>
      <c r="M32" t="s">
        <v>56</v>
      </c>
      <c r="N32">
        <v>1163.7</v>
      </c>
    </row>
    <row r="33" spans="1:14" x14ac:dyDescent="0.35">
      <c r="A33" s="2">
        <v>45210</v>
      </c>
      <c r="B33" t="s">
        <v>464</v>
      </c>
      <c r="C33" t="s">
        <v>86</v>
      </c>
      <c r="D33" t="s">
        <v>42</v>
      </c>
      <c r="E33" t="s">
        <v>43</v>
      </c>
      <c r="F33">
        <v>1</v>
      </c>
      <c r="G33">
        <v>177.74</v>
      </c>
      <c r="H33" t="s">
        <v>58</v>
      </c>
      <c r="I33" t="s">
        <v>465</v>
      </c>
      <c r="J33" t="s">
        <v>97</v>
      </c>
      <c r="K33" t="s">
        <v>78</v>
      </c>
      <c r="L33" t="s">
        <v>39</v>
      </c>
      <c r="M33" t="s">
        <v>67</v>
      </c>
      <c r="N33">
        <v>177.74</v>
      </c>
    </row>
    <row r="34" spans="1:14" x14ac:dyDescent="0.35">
      <c r="A34" s="2">
        <v>45639</v>
      </c>
      <c r="B34" t="s">
        <v>435</v>
      </c>
      <c r="C34" t="s">
        <v>74</v>
      </c>
      <c r="D34" t="s">
        <v>22</v>
      </c>
      <c r="E34" t="s">
        <v>34</v>
      </c>
      <c r="F34">
        <v>1</v>
      </c>
      <c r="G34">
        <v>152.05000000000001</v>
      </c>
      <c r="H34" t="s">
        <v>35</v>
      </c>
      <c r="I34" t="s">
        <v>945</v>
      </c>
      <c r="J34" t="s">
        <v>55</v>
      </c>
      <c r="K34" t="s">
        <v>38</v>
      </c>
      <c r="L34" t="s">
        <v>28</v>
      </c>
      <c r="M34" t="s">
        <v>61</v>
      </c>
      <c r="N34">
        <v>152.05000000000001</v>
      </c>
    </row>
    <row r="35" spans="1:14" x14ac:dyDescent="0.35">
      <c r="A35" s="2">
        <v>45461</v>
      </c>
      <c r="B35" t="s">
        <v>746</v>
      </c>
      <c r="C35" t="s">
        <v>41</v>
      </c>
      <c r="D35" t="s">
        <v>42</v>
      </c>
      <c r="E35" t="s">
        <v>53</v>
      </c>
      <c r="F35">
        <v>7</v>
      </c>
      <c r="G35">
        <v>139.58000000000001</v>
      </c>
      <c r="H35" t="s">
        <v>24</v>
      </c>
      <c r="I35" t="s">
        <v>747</v>
      </c>
      <c r="J35" t="s">
        <v>55</v>
      </c>
      <c r="K35" t="s">
        <v>27</v>
      </c>
      <c r="L35" t="s">
        <v>66</v>
      </c>
      <c r="M35" t="s">
        <v>49</v>
      </c>
      <c r="N35">
        <v>977.06000000000006</v>
      </c>
    </row>
    <row r="36" spans="1:14" x14ac:dyDescent="0.35">
      <c r="A36" s="2">
        <v>45225</v>
      </c>
      <c r="B36" t="s">
        <v>174</v>
      </c>
      <c r="C36" t="s">
        <v>89</v>
      </c>
      <c r="D36" t="s">
        <v>42</v>
      </c>
      <c r="E36" t="s">
        <v>43</v>
      </c>
      <c r="F36">
        <v>3</v>
      </c>
      <c r="G36">
        <v>242.83</v>
      </c>
      <c r="H36" t="s">
        <v>35</v>
      </c>
      <c r="I36" t="s">
        <v>483</v>
      </c>
      <c r="J36" t="s">
        <v>94</v>
      </c>
      <c r="K36" t="s">
        <v>78</v>
      </c>
      <c r="L36" t="s">
        <v>28</v>
      </c>
      <c r="M36" t="s">
        <v>56</v>
      </c>
      <c r="N36">
        <v>728.49</v>
      </c>
    </row>
    <row r="37" spans="1:14" x14ac:dyDescent="0.35">
      <c r="A37" s="2">
        <v>45324</v>
      </c>
      <c r="B37" t="s">
        <v>596</v>
      </c>
      <c r="C37" t="s">
        <v>21</v>
      </c>
      <c r="D37" t="s">
        <v>52</v>
      </c>
      <c r="E37" t="s">
        <v>23</v>
      </c>
      <c r="F37">
        <v>8</v>
      </c>
      <c r="G37">
        <v>191.77</v>
      </c>
      <c r="H37" t="s">
        <v>35</v>
      </c>
      <c r="I37" t="s">
        <v>597</v>
      </c>
      <c r="J37" t="s">
        <v>94</v>
      </c>
      <c r="K37" t="s">
        <v>27</v>
      </c>
      <c r="L37" t="s">
        <v>39</v>
      </c>
      <c r="M37" t="s">
        <v>61</v>
      </c>
      <c r="N37">
        <v>1534.16</v>
      </c>
    </row>
    <row r="38" spans="1:14" x14ac:dyDescent="0.35">
      <c r="A38" s="2">
        <v>45643</v>
      </c>
      <c r="B38" t="s">
        <v>817</v>
      </c>
      <c r="C38" t="s">
        <v>41</v>
      </c>
      <c r="D38" t="s">
        <v>42</v>
      </c>
      <c r="E38" t="s">
        <v>34</v>
      </c>
      <c r="F38">
        <v>3</v>
      </c>
      <c r="G38">
        <v>335.3</v>
      </c>
      <c r="H38" t="s">
        <v>24</v>
      </c>
      <c r="I38" t="s">
        <v>952</v>
      </c>
      <c r="J38" t="s">
        <v>26</v>
      </c>
      <c r="K38" t="s">
        <v>27</v>
      </c>
      <c r="L38" t="s">
        <v>39</v>
      </c>
      <c r="M38" t="s">
        <v>49</v>
      </c>
      <c r="N38">
        <v>1005.9</v>
      </c>
    </row>
    <row r="39" spans="1:14" x14ac:dyDescent="0.35">
      <c r="A39" s="2">
        <v>45592</v>
      </c>
      <c r="B39" t="s">
        <v>889</v>
      </c>
      <c r="C39" t="s">
        <v>86</v>
      </c>
      <c r="D39" t="s">
        <v>42</v>
      </c>
      <c r="E39" t="s">
        <v>63</v>
      </c>
      <c r="F39">
        <v>9</v>
      </c>
      <c r="G39">
        <v>270.32</v>
      </c>
      <c r="H39" t="s">
        <v>24</v>
      </c>
      <c r="I39" t="s">
        <v>890</v>
      </c>
      <c r="J39" t="s">
        <v>97</v>
      </c>
      <c r="K39" t="s">
        <v>27</v>
      </c>
      <c r="L39" t="s">
        <v>28</v>
      </c>
      <c r="M39" t="s">
        <v>101</v>
      </c>
      <c r="N39">
        <v>2432.88</v>
      </c>
    </row>
    <row r="40" spans="1:14" x14ac:dyDescent="0.35">
      <c r="A40" s="2">
        <v>45785</v>
      </c>
      <c r="B40" t="s">
        <v>472</v>
      </c>
      <c r="C40" t="s">
        <v>74</v>
      </c>
      <c r="D40" t="s">
        <v>33</v>
      </c>
      <c r="E40" t="s">
        <v>92</v>
      </c>
      <c r="F40">
        <v>4</v>
      </c>
      <c r="G40">
        <v>256.29000000000002</v>
      </c>
      <c r="H40" t="s">
        <v>35</v>
      </c>
      <c r="I40" t="s">
        <v>1060</v>
      </c>
      <c r="J40" t="s">
        <v>26</v>
      </c>
      <c r="K40" t="s">
        <v>78</v>
      </c>
      <c r="L40" t="s">
        <v>28</v>
      </c>
      <c r="M40" t="s">
        <v>56</v>
      </c>
      <c r="N40">
        <v>1025.1600000000001</v>
      </c>
    </row>
    <row r="41" spans="1:14" x14ac:dyDescent="0.35">
      <c r="A41" s="2">
        <v>45513</v>
      </c>
      <c r="B41" t="s">
        <v>817</v>
      </c>
      <c r="C41" t="s">
        <v>21</v>
      </c>
      <c r="D41" t="s">
        <v>22</v>
      </c>
      <c r="E41" t="s">
        <v>83</v>
      </c>
      <c r="F41">
        <v>1</v>
      </c>
      <c r="G41">
        <v>314.48</v>
      </c>
      <c r="H41" t="s">
        <v>24</v>
      </c>
      <c r="I41" t="s">
        <v>818</v>
      </c>
      <c r="J41" t="s">
        <v>97</v>
      </c>
      <c r="K41" t="s">
        <v>27</v>
      </c>
      <c r="L41" t="s">
        <v>39</v>
      </c>
      <c r="M41" t="s">
        <v>61</v>
      </c>
      <c r="N41">
        <v>314.48</v>
      </c>
    </row>
    <row r="42" spans="1:14" x14ac:dyDescent="0.35">
      <c r="A42" s="2">
        <v>45031</v>
      </c>
      <c r="B42" t="s">
        <v>242</v>
      </c>
      <c r="C42" t="s">
        <v>74</v>
      </c>
      <c r="D42" t="s">
        <v>33</v>
      </c>
      <c r="E42" t="s">
        <v>83</v>
      </c>
      <c r="F42">
        <v>2</v>
      </c>
      <c r="G42">
        <v>347.71</v>
      </c>
      <c r="H42" t="s">
        <v>44</v>
      </c>
      <c r="I42" t="s">
        <v>243</v>
      </c>
      <c r="J42" t="s">
        <v>94</v>
      </c>
      <c r="K42" t="s">
        <v>78</v>
      </c>
      <c r="L42" t="s">
        <v>28</v>
      </c>
      <c r="M42" t="s">
        <v>79</v>
      </c>
      <c r="N42">
        <v>695.42</v>
      </c>
    </row>
    <row r="43" spans="1:14" x14ac:dyDescent="0.35">
      <c r="A43" s="2">
        <v>45463</v>
      </c>
      <c r="B43" t="s">
        <v>598</v>
      </c>
      <c r="C43" t="s">
        <v>51</v>
      </c>
      <c r="D43" t="s">
        <v>52</v>
      </c>
      <c r="E43" t="s">
        <v>53</v>
      </c>
      <c r="F43">
        <v>5</v>
      </c>
      <c r="G43">
        <v>63.06</v>
      </c>
      <c r="H43" t="s">
        <v>64</v>
      </c>
      <c r="I43" t="s">
        <v>748</v>
      </c>
      <c r="J43" t="s">
        <v>97</v>
      </c>
      <c r="K43" t="s">
        <v>38</v>
      </c>
      <c r="L43" t="s">
        <v>39</v>
      </c>
      <c r="M43" t="s">
        <v>56</v>
      </c>
      <c r="N43">
        <v>315.3</v>
      </c>
    </row>
    <row r="44" spans="1:14" x14ac:dyDescent="0.35">
      <c r="A44" s="2">
        <v>45464</v>
      </c>
      <c r="B44" t="s">
        <v>699</v>
      </c>
      <c r="C44" t="s">
        <v>89</v>
      </c>
      <c r="D44" t="s">
        <v>22</v>
      </c>
      <c r="E44" t="s">
        <v>83</v>
      </c>
      <c r="F44">
        <v>4</v>
      </c>
      <c r="G44">
        <v>234.54</v>
      </c>
      <c r="H44" t="s">
        <v>58</v>
      </c>
      <c r="I44" t="s">
        <v>749</v>
      </c>
      <c r="J44" t="s">
        <v>37</v>
      </c>
      <c r="K44" t="s">
        <v>60</v>
      </c>
      <c r="L44" t="s">
        <v>28</v>
      </c>
      <c r="M44" t="s">
        <v>61</v>
      </c>
      <c r="N44">
        <v>938.16</v>
      </c>
    </row>
    <row r="45" spans="1:14" x14ac:dyDescent="0.35">
      <c r="A45" s="2">
        <v>45319</v>
      </c>
      <c r="B45" t="s">
        <v>590</v>
      </c>
      <c r="C45" t="s">
        <v>86</v>
      </c>
      <c r="D45" t="s">
        <v>33</v>
      </c>
      <c r="E45" t="s">
        <v>53</v>
      </c>
      <c r="F45">
        <v>2</v>
      </c>
      <c r="G45">
        <v>43.42</v>
      </c>
      <c r="H45" t="s">
        <v>64</v>
      </c>
      <c r="I45" t="s">
        <v>591</v>
      </c>
      <c r="J45" t="s">
        <v>37</v>
      </c>
      <c r="K45" t="s">
        <v>60</v>
      </c>
      <c r="L45" t="s">
        <v>39</v>
      </c>
      <c r="M45" t="s">
        <v>101</v>
      </c>
      <c r="N45">
        <v>86.84</v>
      </c>
    </row>
    <row r="46" spans="1:14" x14ac:dyDescent="0.35">
      <c r="A46" s="2">
        <v>45294</v>
      </c>
      <c r="B46" t="s">
        <v>571</v>
      </c>
      <c r="C46" t="s">
        <v>47</v>
      </c>
      <c r="D46" t="s">
        <v>42</v>
      </c>
      <c r="E46" t="s">
        <v>34</v>
      </c>
      <c r="F46">
        <v>10</v>
      </c>
      <c r="G46">
        <v>137.22999999999999</v>
      </c>
      <c r="H46" t="s">
        <v>24</v>
      </c>
      <c r="I46" t="s">
        <v>572</v>
      </c>
      <c r="J46" t="s">
        <v>55</v>
      </c>
      <c r="K46" t="s">
        <v>38</v>
      </c>
      <c r="L46" t="s">
        <v>39</v>
      </c>
      <c r="M46" t="s">
        <v>67</v>
      </c>
      <c r="N46">
        <v>1372.3</v>
      </c>
    </row>
    <row r="47" spans="1:14" x14ac:dyDescent="0.35">
      <c r="A47" s="2">
        <v>45443</v>
      </c>
      <c r="B47" t="s">
        <v>727</v>
      </c>
      <c r="C47" t="s">
        <v>71</v>
      </c>
      <c r="D47" t="s">
        <v>33</v>
      </c>
      <c r="E47" t="s">
        <v>43</v>
      </c>
      <c r="F47">
        <v>7</v>
      </c>
      <c r="G47">
        <v>124.76</v>
      </c>
      <c r="H47" t="s">
        <v>24</v>
      </c>
      <c r="I47" t="s">
        <v>728</v>
      </c>
      <c r="J47" t="s">
        <v>55</v>
      </c>
      <c r="K47" t="s">
        <v>38</v>
      </c>
      <c r="L47" t="s">
        <v>28</v>
      </c>
      <c r="M47" t="s">
        <v>61</v>
      </c>
      <c r="N47">
        <v>873.32</v>
      </c>
    </row>
    <row r="48" spans="1:14" x14ac:dyDescent="0.35">
      <c r="A48" s="2">
        <v>45761</v>
      </c>
      <c r="B48" t="s">
        <v>1041</v>
      </c>
      <c r="C48" t="s">
        <v>86</v>
      </c>
      <c r="D48" t="s">
        <v>33</v>
      </c>
      <c r="E48" t="s">
        <v>63</v>
      </c>
      <c r="F48">
        <v>3</v>
      </c>
      <c r="G48">
        <v>88.91</v>
      </c>
      <c r="H48" t="s">
        <v>44</v>
      </c>
      <c r="I48" t="s">
        <v>1042</v>
      </c>
      <c r="J48" t="s">
        <v>97</v>
      </c>
      <c r="K48" t="s">
        <v>60</v>
      </c>
      <c r="L48" t="s">
        <v>28</v>
      </c>
      <c r="M48" t="s">
        <v>29</v>
      </c>
      <c r="N48">
        <v>266.73</v>
      </c>
    </row>
    <row r="49" spans="1:14" x14ac:dyDescent="0.35">
      <c r="A49" s="2">
        <v>45776</v>
      </c>
      <c r="B49" t="s">
        <v>1049</v>
      </c>
      <c r="C49" t="s">
        <v>89</v>
      </c>
      <c r="D49" t="s">
        <v>42</v>
      </c>
      <c r="E49" t="s">
        <v>34</v>
      </c>
      <c r="F49">
        <v>4</v>
      </c>
      <c r="G49">
        <v>206.84</v>
      </c>
      <c r="H49" t="s">
        <v>44</v>
      </c>
      <c r="I49" t="s">
        <v>1050</v>
      </c>
      <c r="J49" t="s">
        <v>37</v>
      </c>
      <c r="K49" t="s">
        <v>60</v>
      </c>
      <c r="L49" t="s">
        <v>66</v>
      </c>
      <c r="M49" t="s">
        <v>49</v>
      </c>
      <c r="N49">
        <v>827.36</v>
      </c>
    </row>
    <row r="50" spans="1:14" x14ac:dyDescent="0.35">
      <c r="A50" s="2">
        <v>45359</v>
      </c>
      <c r="B50" t="s">
        <v>644</v>
      </c>
      <c r="C50" t="s">
        <v>74</v>
      </c>
      <c r="D50" t="s">
        <v>52</v>
      </c>
      <c r="E50" t="s">
        <v>53</v>
      </c>
      <c r="F50">
        <v>10</v>
      </c>
      <c r="G50">
        <v>20.98</v>
      </c>
      <c r="H50" t="s">
        <v>64</v>
      </c>
      <c r="I50" t="s">
        <v>645</v>
      </c>
      <c r="J50" t="s">
        <v>37</v>
      </c>
      <c r="K50" t="s">
        <v>27</v>
      </c>
      <c r="L50" t="s">
        <v>28</v>
      </c>
      <c r="M50" t="s">
        <v>61</v>
      </c>
      <c r="N50">
        <v>209.8</v>
      </c>
    </row>
    <row r="51" spans="1:14" x14ac:dyDescent="0.35">
      <c r="A51" s="2">
        <v>45264</v>
      </c>
      <c r="B51" t="s">
        <v>534</v>
      </c>
      <c r="C51" t="s">
        <v>41</v>
      </c>
      <c r="D51" t="s">
        <v>52</v>
      </c>
      <c r="E51" t="s">
        <v>53</v>
      </c>
      <c r="F51">
        <v>3</v>
      </c>
      <c r="G51">
        <v>40.090000000000003</v>
      </c>
      <c r="H51" t="s">
        <v>58</v>
      </c>
      <c r="I51" t="s">
        <v>535</v>
      </c>
      <c r="J51" t="s">
        <v>94</v>
      </c>
      <c r="K51" t="s">
        <v>38</v>
      </c>
      <c r="L51" t="s">
        <v>28</v>
      </c>
      <c r="M51" t="s">
        <v>29</v>
      </c>
      <c r="N51">
        <v>120.27</v>
      </c>
    </row>
    <row r="52" spans="1:14" x14ac:dyDescent="0.35">
      <c r="A52" s="2">
        <v>45618</v>
      </c>
      <c r="B52" t="s">
        <v>925</v>
      </c>
      <c r="C52" t="s">
        <v>106</v>
      </c>
      <c r="D52" t="s">
        <v>33</v>
      </c>
      <c r="E52" t="s">
        <v>53</v>
      </c>
      <c r="F52">
        <v>2</v>
      </c>
      <c r="G52">
        <v>42.49</v>
      </c>
      <c r="H52" t="s">
        <v>64</v>
      </c>
      <c r="I52" t="s">
        <v>926</v>
      </c>
      <c r="J52" t="s">
        <v>97</v>
      </c>
      <c r="K52" t="s">
        <v>78</v>
      </c>
      <c r="L52" t="s">
        <v>39</v>
      </c>
      <c r="M52" t="s">
        <v>61</v>
      </c>
      <c r="N52">
        <v>84.98</v>
      </c>
    </row>
    <row r="53" spans="1:14" x14ac:dyDescent="0.35">
      <c r="A53" s="2">
        <v>45371</v>
      </c>
      <c r="B53" t="s">
        <v>661</v>
      </c>
      <c r="C53" t="s">
        <v>74</v>
      </c>
      <c r="D53" t="s">
        <v>22</v>
      </c>
      <c r="E53" t="s">
        <v>43</v>
      </c>
      <c r="F53">
        <v>9</v>
      </c>
      <c r="G53">
        <v>49.99</v>
      </c>
      <c r="H53" t="s">
        <v>35</v>
      </c>
      <c r="I53" t="s">
        <v>662</v>
      </c>
      <c r="J53" t="s">
        <v>37</v>
      </c>
      <c r="K53" t="s">
        <v>78</v>
      </c>
      <c r="L53" t="s">
        <v>39</v>
      </c>
      <c r="M53" t="s">
        <v>67</v>
      </c>
      <c r="N53">
        <v>449.91</v>
      </c>
    </row>
    <row r="54" spans="1:14" x14ac:dyDescent="0.35">
      <c r="A54" s="2">
        <v>44984</v>
      </c>
      <c r="B54" t="s">
        <v>151</v>
      </c>
      <c r="C54" t="s">
        <v>106</v>
      </c>
      <c r="D54" t="s">
        <v>22</v>
      </c>
      <c r="E54" t="s">
        <v>34</v>
      </c>
      <c r="F54">
        <v>3</v>
      </c>
      <c r="G54">
        <v>67.02</v>
      </c>
      <c r="H54" t="s">
        <v>24</v>
      </c>
      <c r="I54" t="s">
        <v>152</v>
      </c>
      <c r="J54" t="s">
        <v>55</v>
      </c>
      <c r="K54" t="s">
        <v>78</v>
      </c>
      <c r="L54" t="s">
        <v>39</v>
      </c>
      <c r="M54" t="s">
        <v>29</v>
      </c>
      <c r="N54">
        <v>201.06</v>
      </c>
    </row>
    <row r="55" spans="1:14" x14ac:dyDescent="0.35">
      <c r="A55" s="2">
        <v>45238</v>
      </c>
      <c r="B55" t="s">
        <v>503</v>
      </c>
      <c r="C55" t="s">
        <v>89</v>
      </c>
      <c r="D55" t="s">
        <v>52</v>
      </c>
      <c r="E55" t="s">
        <v>92</v>
      </c>
      <c r="F55">
        <v>4</v>
      </c>
      <c r="G55">
        <v>8.4700000000000006</v>
      </c>
      <c r="H55" t="s">
        <v>24</v>
      </c>
      <c r="I55" t="s">
        <v>504</v>
      </c>
      <c r="J55" t="s">
        <v>55</v>
      </c>
      <c r="K55" t="s">
        <v>27</v>
      </c>
      <c r="L55" t="s">
        <v>28</v>
      </c>
      <c r="M55" t="s">
        <v>67</v>
      </c>
      <c r="N55">
        <v>33.880000000000003</v>
      </c>
    </row>
    <row r="56" spans="1:14" x14ac:dyDescent="0.35">
      <c r="A56" s="2">
        <v>45682</v>
      </c>
      <c r="B56" t="s">
        <v>164</v>
      </c>
      <c r="C56" t="s">
        <v>41</v>
      </c>
      <c r="D56" t="s">
        <v>52</v>
      </c>
      <c r="E56" t="s">
        <v>34</v>
      </c>
      <c r="F56">
        <v>3</v>
      </c>
      <c r="G56">
        <v>303.35000000000002</v>
      </c>
      <c r="H56" t="s">
        <v>35</v>
      </c>
      <c r="I56" t="s">
        <v>986</v>
      </c>
      <c r="J56" t="s">
        <v>94</v>
      </c>
      <c r="K56" t="s">
        <v>78</v>
      </c>
      <c r="L56" t="s">
        <v>28</v>
      </c>
      <c r="M56" t="s">
        <v>79</v>
      </c>
      <c r="N56">
        <v>910.05000000000007</v>
      </c>
    </row>
    <row r="57" spans="1:14" x14ac:dyDescent="0.35">
      <c r="A57" s="2">
        <v>45061</v>
      </c>
      <c r="B57" t="s">
        <v>287</v>
      </c>
      <c r="C57" t="s">
        <v>51</v>
      </c>
      <c r="D57" t="s">
        <v>22</v>
      </c>
      <c r="E57" t="s">
        <v>83</v>
      </c>
      <c r="F57">
        <v>7</v>
      </c>
      <c r="G57">
        <v>101.59</v>
      </c>
      <c r="H57" t="s">
        <v>58</v>
      </c>
      <c r="I57" t="s">
        <v>288</v>
      </c>
      <c r="J57" t="s">
        <v>55</v>
      </c>
      <c r="K57" t="s">
        <v>60</v>
      </c>
      <c r="L57" t="s">
        <v>39</v>
      </c>
      <c r="M57" t="s">
        <v>29</v>
      </c>
      <c r="N57">
        <v>711.13</v>
      </c>
    </row>
    <row r="58" spans="1:14" x14ac:dyDescent="0.35">
      <c r="A58" s="2">
        <v>45423</v>
      </c>
      <c r="B58" t="s">
        <v>706</v>
      </c>
      <c r="C58" t="s">
        <v>47</v>
      </c>
      <c r="D58" t="s">
        <v>52</v>
      </c>
      <c r="E58" t="s">
        <v>43</v>
      </c>
      <c r="F58">
        <v>1</v>
      </c>
      <c r="G58">
        <v>263.81</v>
      </c>
      <c r="H58" t="s">
        <v>24</v>
      </c>
      <c r="I58" t="s">
        <v>707</v>
      </c>
      <c r="J58" t="s">
        <v>97</v>
      </c>
      <c r="K58" t="s">
        <v>78</v>
      </c>
      <c r="L58" t="s">
        <v>28</v>
      </c>
      <c r="M58" t="s">
        <v>79</v>
      </c>
      <c r="N58">
        <v>263.81</v>
      </c>
    </row>
    <row r="59" spans="1:14" x14ac:dyDescent="0.35">
      <c r="A59" s="2">
        <v>45661</v>
      </c>
      <c r="B59" t="s">
        <v>889</v>
      </c>
      <c r="C59" t="s">
        <v>47</v>
      </c>
      <c r="D59" t="s">
        <v>42</v>
      </c>
      <c r="E59" t="s">
        <v>92</v>
      </c>
      <c r="F59">
        <v>6</v>
      </c>
      <c r="G59">
        <v>63.78</v>
      </c>
      <c r="H59" t="s">
        <v>44</v>
      </c>
      <c r="I59" t="s">
        <v>967</v>
      </c>
      <c r="J59" t="s">
        <v>55</v>
      </c>
      <c r="K59" t="s">
        <v>38</v>
      </c>
      <c r="L59" t="s">
        <v>28</v>
      </c>
      <c r="M59" t="s">
        <v>79</v>
      </c>
      <c r="N59">
        <v>382.68</v>
      </c>
    </row>
    <row r="60" spans="1:14" x14ac:dyDescent="0.35">
      <c r="A60" s="2">
        <v>45635</v>
      </c>
      <c r="B60" t="s">
        <v>938</v>
      </c>
      <c r="C60" t="s">
        <v>21</v>
      </c>
      <c r="D60" t="s">
        <v>52</v>
      </c>
      <c r="E60" t="s">
        <v>34</v>
      </c>
      <c r="F60">
        <v>7</v>
      </c>
      <c r="G60">
        <v>294.17</v>
      </c>
      <c r="H60" t="s">
        <v>35</v>
      </c>
      <c r="I60" t="s">
        <v>939</v>
      </c>
      <c r="J60" t="s">
        <v>37</v>
      </c>
      <c r="K60" t="s">
        <v>78</v>
      </c>
      <c r="L60" t="s">
        <v>28</v>
      </c>
      <c r="M60" t="s">
        <v>29</v>
      </c>
      <c r="N60">
        <v>2059.19</v>
      </c>
    </row>
    <row r="61" spans="1:14" x14ac:dyDescent="0.35">
      <c r="A61" s="2">
        <v>45211</v>
      </c>
      <c r="B61" t="s">
        <v>466</v>
      </c>
      <c r="C61" t="s">
        <v>47</v>
      </c>
      <c r="D61" t="s">
        <v>52</v>
      </c>
      <c r="E61" t="s">
        <v>43</v>
      </c>
      <c r="F61">
        <v>6</v>
      </c>
      <c r="G61">
        <v>338.25</v>
      </c>
      <c r="H61" t="s">
        <v>35</v>
      </c>
      <c r="I61" t="s">
        <v>467</v>
      </c>
      <c r="J61" t="s">
        <v>97</v>
      </c>
      <c r="K61" t="s">
        <v>78</v>
      </c>
      <c r="L61" t="s">
        <v>39</v>
      </c>
      <c r="M61" t="s">
        <v>56</v>
      </c>
      <c r="N61">
        <v>2029.5</v>
      </c>
    </row>
    <row r="62" spans="1:14" x14ac:dyDescent="0.35">
      <c r="A62" s="2">
        <v>45713</v>
      </c>
      <c r="B62" t="s">
        <v>1010</v>
      </c>
      <c r="C62" t="s">
        <v>47</v>
      </c>
      <c r="D62" t="s">
        <v>52</v>
      </c>
      <c r="E62" t="s">
        <v>63</v>
      </c>
      <c r="F62">
        <v>8</v>
      </c>
      <c r="G62">
        <v>286.5</v>
      </c>
      <c r="H62" t="s">
        <v>35</v>
      </c>
      <c r="I62" t="s">
        <v>1011</v>
      </c>
      <c r="J62" t="s">
        <v>97</v>
      </c>
      <c r="K62" t="s">
        <v>60</v>
      </c>
      <c r="L62" t="s">
        <v>39</v>
      </c>
      <c r="M62" t="s">
        <v>49</v>
      </c>
      <c r="N62">
        <v>2292</v>
      </c>
    </row>
    <row r="63" spans="1:14" x14ac:dyDescent="0.35">
      <c r="A63" s="2">
        <v>45172</v>
      </c>
      <c r="B63" t="s">
        <v>423</v>
      </c>
      <c r="C63" t="s">
        <v>81</v>
      </c>
      <c r="D63" t="s">
        <v>52</v>
      </c>
      <c r="E63" t="s">
        <v>92</v>
      </c>
      <c r="F63">
        <v>7</v>
      </c>
      <c r="G63">
        <v>221.11</v>
      </c>
      <c r="H63" t="s">
        <v>24</v>
      </c>
      <c r="I63" t="s">
        <v>424</v>
      </c>
      <c r="J63" t="s">
        <v>37</v>
      </c>
      <c r="K63" t="s">
        <v>27</v>
      </c>
      <c r="L63" t="s">
        <v>28</v>
      </c>
      <c r="M63" t="s">
        <v>101</v>
      </c>
      <c r="N63">
        <v>1547.77</v>
      </c>
    </row>
    <row r="64" spans="1:14" x14ac:dyDescent="0.35">
      <c r="A64" s="2">
        <v>45112</v>
      </c>
      <c r="B64" t="s">
        <v>372</v>
      </c>
      <c r="C64" t="s">
        <v>51</v>
      </c>
      <c r="D64" t="s">
        <v>33</v>
      </c>
      <c r="E64" t="s">
        <v>53</v>
      </c>
      <c r="F64">
        <v>2</v>
      </c>
      <c r="G64">
        <v>367.88</v>
      </c>
      <c r="H64" t="s">
        <v>64</v>
      </c>
      <c r="I64" t="s">
        <v>373</v>
      </c>
      <c r="J64" t="s">
        <v>55</v>
      </c>
      <c r="K64" t="s">
        <v>27</v>
      </c>
      <c r="L64" t="s">
        <v>28</v>
      </c>
      <c r="M64" t="s">
        <v>67</v>
      </c>
      <c r="N64">
        <v>735.76</v>
      </c>
    </row>
    <row r="65" spans="1:14" x14ac:dyDescent="0.35">
      <c r="A65" s="2">
        <v>45238</v>
      </c>
      <c r="B65" t="s">
        <v>356</v>
      </c>
      <c r="C65" t="s">
        <v>89</v>
      </c>
      <c r="D65" t="s">
        <v>33</v>
      </c>
      <c r="E65" t="s">
        <v>83</v>
      </c>
      <c r="F65">
        <v>7</v>
      </c>
      <c r="G65">
        <v>388.02</v>
      </c>
      <c r="H65" t="s">
        <v>58</v>
      </c>
      <c r="I65" t="s">
        <v>505</v>
      </c>
      <c r="J65" t="s">
        <v>37</v>
      </c>
      <c r="K65" t="s">
        <v>60</v>
      </c>
      <c r="L65" t="s">
        <v>39</v>
      </c>
      <c r="M65" t="s">
        <v>67</v>
      </c>
      <c r="N65">
        <v>2716.14</v>
      </c>
    </row>
    <row r="66" spans="1:14" x14ac:dyDescent="0.35">
      <c r="A66" s="2">
        <v>45245</v>
      </c>
      <c r="B66" t="s">
        <v>514</v>
      </c>
      <c r="C66" t="s">
        <v>71</v>
      </c>
      <c r="D66" t="s">
        <v>33</v>
      </c>
      <c r="E66" t="s">
        <v>83</v>
      </c>
      <c r="F66">
        <v>5</v>
      </c>
      <c r="G66">
        <v>121.92</v>
      </c>
      <c r="H66" t="s">
        <v>44</v>
      </c>
      <c r="I66" t="s">
        <v>515</v>
      </c>
      <c r="J66" t="s">
        <v>37</v>
      </c>
      <c r="K66" t="s">
        <v>60</v>
      </c>
      <c r="L66" t="s">
        <v>28</v>
      </c>
      <c r="M66" t="s">
        <v>67</v>
      </c>
      <c r="N66">
        <v>609.6</v>
      </c>
    </row>
    <row r="67" spans="1:14" x14ac:dyDescent="0.35">
      <c r="A67" s="2">
        <v>45162</v>
      </c>
      <c r="B67" t="s">
        <v>350</v>
      </c>
      <c r="C67" t="s">
        <v>21</v>
      </c>
      <c r="D67" t="s">
        <v>33</v>
      </c>
      <c r="E67" t="s">
        <v>53</v>
      </c>
      <c r="F67">
        <v>10</v>
      </c>
      <c r="G67">
        <v>306.37</v>
      </c>
      <c r="H67" t="s">
        <v>64</v>
      </c>
      <c r="I67" t="s">
        <v>408</v>
      </c>
      <c r="J67" t="s">
        <v>94</v>
      </c>
      <c r="K67" t="s">
        <v>78</v>
      </c>
      <c r="L67" t="s">
        <v>28</v>
      </c>
      <c r="M67" t="s">
        <v>56</v>
      </c>
      <c r="N67">
        <v>3063.7</v>
      </c>
    </row>
    <row r="68" spans="1:14" x14ac:dyDescent="0.35">
      <c r="A68" s="2">
        <v>44957</v>
      </c>
      <c r="B68" t="s">
        <v>114</v>
      </c>
      <c r="C68" t="s">
        <v>106</v>
      </c>
      <c r="D68" t="s">
        <v>33</v>
      </c>
      <c r="E68" t="s">
        <v>34</v>
      </c>
      <c r="F68">
        <v>10</v>
      </c>
      <c r="G68">
        <v>241.6</v>
      </c>
      <c r="H68" t="s">
        <v>35</v>
      </c>
      <c r="I68" t="s">
        <v>115</v>
      </c>
      <c r="J68" t="s">
        <v>55</v>
      </c>
      <c r="K68" t="s">
        <v>38</v>
      </c>
      <c r="L68" t="s">
        <v>39</v>
      </c>
      <c r="M68" t="s">
        <v>49</v>
      </c>
      <c r="N68">
        <v>2416</v>
      </c>
    </row>
    <row r="69" spans="1:14" x14ac:dyDescent="0.35">
      <c r="A69" s="2">
        <v>45236</v>
      </c>
      <c r="B69" t="s">
        <v>497</v>
      </c>
      <c r="C69" t="s">
        <v>106</v>
      </c>
      <c r="D69" t="s">
        <v>22</v>
      </c>
      <c r="E69" t="s">
        <v>92</v>
      </c>
      <c r="F69">
        <v>8</v>
      </c>
      <c r="G69">
        <v>354.29</v>
      </c>
      <c r="H69" t="s">
        <v>24</v>
      </c>
      <c r="I69" t="s">
        <v>498</v>
      </c>
      <c r="J69" t="s">
        <v>94</v>
      </c>
      <c r="K69" t="s">
        <v>78</v>
      </c>
      <c r="L69" t="s">
        <v>28</v>
      </c>
      <c r="M69" t="s">
        <v>29</v>
      </c>
      <c r="N69">
        <v>2834.32</v>
      </c>
    </row>
    <row r="70" spans="1:14" x14ac:dyDescent="0.35">
      <c r="A70" s="2">
        <v>45001</v>
      </c>
      <c r="B70" t="s">
        <v>182</v>
      </c>
      <c r="C70" t="s">
        <v>71</v>
      </c>
      <c r="D70" t="s">
        <v>52</v>
      </c>
      <c r="E70" t="s">
        <v>63</v>
      </c>
      <c r="F70">
        <v>4</v>
      </c>
      <c r="G70">
        <v>133.01</v>
      </c>
      <c r="H70" t="s">
        <v>35</v>
      </c>
      <c r="I70" t="s">
        <v>183</v>
      </c>
      <c r="J70" t="s">
        <v>94</v>
      </c>
      <c r="K70" t="s">
        <v>27</v>
      </c>
      <c r="L70" t="s">
        <v>66</v>
      </c>
      <c r="M70" t="s">
        <v>56</v>
      </c>
      <c r="N70">
        <v>532.04</v>
      </c>
    </row>
    <row r="71" spans="1:14" x14ac:dyDescent="0.35">
      <c r="A71" s="2">
        <v>45720</v>
      </c>
      <c r="B71" t="s">
        <v>299</v>
      </c>
      <c r="C71" t="s">
        <v>41</v>
      </c>
      <c r="D71" t="s">
        <v>33</v>
      </c>
      <c r="E71" t="s">
        <v>34</v>
      </c>
      <c r="F71">
        <v>1</v>
      </c>
      <c r="G71">
        <v>72.55</v>
      </c>
      <c r="H71" t="s">
        <v>24</v>
      </c>
      <c r="I71" t="s">
        <v>1013</v>
      </c>
      <c r="J71" t="s">
        <v>94</v>
      </c>
      <c r="K71" t="s">
        <v>60</v>
      </c>
      <c r="L71" t="s">
        <v>28</v>
      </c>
      <c r="M71" t="s">
        <v>49</v>
      </c>
      <c r="N71">
        <v>72.55</v>
      </c>
    </row>
    <row r="72" spans="1:14" x14ac:dyDescent="0.35">
      <c r="A72" s="2">
        <v>45036</v>
      </c>
      <c r="B72" t="s">
        <v>250</v>
      </c>
      <c r="C72" t="s">
        <v>51</v>
      </c>
      <c r="D72" t="s">
        <v>33</v>
      </c>
      <c r="E72" t="s">
        <v>92</v>
      </c>
      <c r="F72">
        <v>8</v>
      </c>
      <c r="G72">
        <v>200.64</v>
      </c>
      <c r="H72" t="s">
        <v>35</v>
      </c>
      <c r="I72" t="s">
        <v>251</v>
      </c>
      <c r="J72" t="s">
        <v>97</v>
      </c>
      <c r="K72" t="s">
        <v>27</v>
      </c>
      <c r="L72" t="s">
        <v>66</v>
      </c>
      <c r="M72" t="s">
        <v>56</v>
      </c>
      <c r="N72">
        <v>1605.12</v>
      </c>
    </row>
    <row r="73" spans="1:14" x14ac:dyDescent="0.35">
      <c r="A73" s="2">
        <v>45062</v>
      </c>
      <c r="B73" t="s">
        <v>289</v>
      </c>
      <c r="C73" t="s">
        <v>89</v>
      </c>
      <c r="D73" t="s">
        <v>33</v>
      </c>
      <c r="E73" t="s">
        <v>34</v>
      </c>
      <c r="F73">
        <v>5</v>
      </c>
      <c r="G73">
        <v>297.20999999999998</v>
      </c>
      <c r="H73" t="s">
        <v>35</v>
      </c>
      <c r="I73" t="s">
        <v>290</v>
      </c>
      <c r="J73" t="s">
        <v>94</v>
      </c>
      <c r="K73" t="s">
        <v>78</v>
      </c>
      <c r="L73" t="s">
        <v>28</v>
      </c>
      <c r="M73" t="s">
        <v>49</v>
      </c>
      <c r="N73">
        <v>1486.05</v>
      </c>
    </row>
    <row r="74" spans="1:14" x14ac:dyDescent="0.35">
      <c r="A74" s="2">
        <v>45299</v>
      </c>
      <c r="B74" t="s">
        <v>577</v>
      </c>
      <c r="C74" t="s">
        <v>41</v>
      </c>
      <c r="D74" t="s">
        <v>52</v>
      </c>
      <c r="E74" t="s">
        <v>43</v>
      </c>
      <c r="F74">
        <v>2</v>
      </c>
      <c r="G74">
        <v>171.3</v>
      </c>
      <c r="H74" t="s">
        <v>64</v>
      </c>
      <c r="I74" t="s">
        <v>578</v>
      </c>
      <c r="J74" t="s">
        <v>37</v>
      </c>
      <c r="K74" t="s">
        <v>60</v>
      </c>
      <c r="L74" t="s">
        <v>39</v>
      </c>
      <c r="M74" t="s">
        <v>29</v>
      </c>
      <c r="N74">
        <v>342.6</v>
      </c>
    </row>
    <row r="75" spans="1:14" x14ac:dyDescent="0.35">
      <c r="A75" s="2">
        <v>44955</v>
      </c>
      <c r="B75" t="s">
        <v>102</v>
      </c>
      <c r="C75" t="s">
        <v>51</v>
      </c>
      <c r="D75" t="s">
        <v>52</v>
      </c>
      <c r="E75" t="s">
        <v>34</v>
      </c>
      <c r="F75">
        <v>9</v>
      </c>
      <c r="G75">
        <v>158.37</v>
      </c>
      <c r="H75" t="s">
        <v>58</v>
      </c>
      <c r="I75" t="s">
        <v>103</v>
      </c>
      <c r="J75" t="s">
        <v>97</v>
      </c>
      <c r="K75" t="s">
        <v>38</v>
      </c>
      <c r="L75" t="s">
        <v>39</v>
      </c>
      <c r="M75" t="s">
        <v>101</v>
      </c>
      <c r="N75">
        <v>1425.33</v>
      </c>
    </row>
    <row r="76" spans="1:14" x14ac:dyDescent="0.35">
      <c r="A76" s="2">
        <v>45500</v>
      </c>
      <c r="B76" t="s">
        <v>797</v>
      </c>
      <c r="C76" t="s">
        <v>41</v>
      </c>
      <c r="D76" t="s">
        <v>52</v>
      </c>
      <c r="E76" t="s">
        <v>23</v>
      </c>
      <c r="F76">
        <v>6</v>
      </c>
      <c r="G76">
        <v>98.03</v>
      </c>
      <c r="H76" t="s">
        <v>44</v>
      </c>
      <c r="I76" t="s">
        <v>798</v>
      </c>
      <c r="J76" t="s">
        <v>94</v>
      </c>
      <c r="K76" t="s">
        <v>78</v>
      </c>
      <c r="L76" t="s">
        <v>28</v>
      </c>
      <c r="M76" t="s">
        <v>79</v>
      </c>
      <c r="N76">
        <v>588.18000000000006</v>
      </c>
    </row>
    <row r="77" spans="1:14" x14ac:dyDescent="0.35">
      <c r="A77" s="2">
        <v>44937</v>
      </c>
      <c r="B77" t="s">
        <v>70</v>
      </c>
      <c r="C77" t="s">
        <v>71</v>
      </c>
      <c r="D77" t="s">
        <v>52</v>
      </c>
      <c r="E77" t="s">
        <v>63</v>
      </c>
      <c r="F77">
        <v>7</v>
      </c>
      <c r="G77">
        <v>47.84</v>
      </c>
      <c r="H77" t="s">
        <v>58</v>
      </c>
      <c r="I77" t="s">
        <v>72</v>
      </c>
      <c r="J77" t="s">
        <v>37</v>
      </c>
      <c r="K77" t="s">
        <v>60</v>
      </c>
      <c r="L77" t="s">
        <v>28</v>
      </c>
      <c r="M77" t="s">
        <v>67</v>
      </c>
      <c r="N77">
        <v>334.88</v>
      </c>
    </row>
    <row r="78" spans="1:14" x14ac:dyDescent="0.35">
      <c r="A78" s="2">
        <v>45603</v>
      </c>
      <c r="B78" t="s">
        <v>906</v>
      </c>
      <c r="C78" t="s">
        <v>86</v>
      </c>
      <c r="D78" t="s">
        <v>52</v>
      </c>
      <c r="E78" t="s">
        <v>53</v>
      </c>
      <c r="F78">
        <v>7</v>
      </c>
      <c r="G78">
        <v>361.31</v>
      </c>
      <c r="H78" t="s">
        <v>35</v>
      </c>
      <c r="I78" t="s">
        <v>907</v>
      </c>
      <c r="J78" t="s">
        <v>37</v>
      </c>
      <c r="K78" t="s">
        <v>60</v>
      </c>
      <c r="L78" t="s">
        <v>66</v>
      </c>
      <c r="M78" t="s">
        <v>56</v>
      </c>
      <c r="N78">
        <v>2529.17</v>
      </c>
    </row>
    <row r="79" spans="1:14" x14ac:dyDescent="0.35">
      <c r="A79" s="2">
        <v>45825</v>
      </c>
      <c r="B79" t="s">
        <v>638</v>
      </c>
      <c r="C79" t="s">
        <v>89</v>
      </c>
      <c r="D79" t="s">
        <v>52</v>
      </c>
      <c r="E79" t="s">
        <v>83</v>
      </c>
      <c r="F79">
        <v>4</v>
      </c>
      <c r="G79">
        <v>346.87</v>
      </c>
      <c r="H79" t="s">
        <v>58</v>
      </c>
      <c r="I79" t="s">
        <v>1097</v>
      </c>
      <c r="J79" t="s">
        <v>26</v>
      </c>
      <c r="K79" t="s">
        <v>27</v>
      </c>
      <c r="L79" t="s">
        <v>39</v>
      </c>
      <c r="M79" t="s">
        <v>49</v>
      </c>
      <c r="N79">
        <v>1387.48</v>
      </c>
    </row>
    <row r="80" spans="1:14" x14ac:dyDescent="0.35">
      <c r="A80" s="2">
        <v>45573</v>
      </c>
      <c r="B80" t="s">
        <v>869</v>
      </c>
      <c r="C80" t="s">
        <v>106</v>
      </c>
      <c r="D80" t="s">
        <v>33</v>
      </c>
      <c r="E80" t="s">
        <v>23</v>
      </c>
      <c r="F80">
        <v>3</v>
      </c>
      <c r="G80">
        <v>140.31</v>
      </c>
      <c r="H80" t="s">
        <v>24</v>
      </c>
      <c r="I80" t="s">
        <v>870</v>
      </c>
      <c r="J80" t="s">
        <v>37</v>
      </c>
      <c r="K80" t="s">
        <v>78</v>
      </c>
      <c r="L80" t="s">
        <v>66</v>
      </c>
      <c r="M80" t="s">
        <v>49</v>
      </c>
      <c r="N80">
        <v>420.93</v>
      </c>
    </row>
    <row r="81" spans="1:14" x14ac:dyDescent="0.35">
      <c r="A81" s="2">
        <v>45825</v>
      </c>
      <c r="B81" t="s">
        <v>1014</v>
      </c>
      <c r="C81" t="s">
        <v>89</v>
      </c>
      <c r="D81" t="s">
        <v>33</v>
      </c>
      <c r="E81" t="s">
        <v>43</v>
      </c>
      <c r="F81">
        <v>4</v>
      </c>
      <c r="G81">
        <v>209.05</v>
      </c>
      <c r="H81" t="s">
        <v>58</v>
      </c>
      <c r="I81" t="s">
        <v>1100</v>
      </c>
      <c r="J81" t="s">
        <v>55</v>
      </c>
      <c r="K81" t="s">
        <v>78</v>
      </c>
      <c r="L81" t="s">
        <v>28</v>
      </c>
      <c r="M81" t="s">
        <v>49</v>
      </c>
      <c r="N81">
        <v>836.2</v>
      </c>
    </row>
    <row r="82" spans="1:14" x14ac:dyDescent="0.35">
      <c r="A82" s="2">
        <v>45066</v>
      </c>
      <c r="B82" t="s">
        <v>57</v>
      </c>
      <c r="C82" t="s">
        <v>21</v>
      </c>
      <c r="D82" t="s">
        <v>33</v>
      </c>
      <c r="E82" t="s">
        <v>34</v>
      </c>
      <c r="F82">
        <v>9</v>
      </c>
      <c r="G82">
        <v>173.09</v>
      </c>
      <c r="H82" t="s">
        <v>64</v>
      </c>
      <c r="I82" t="s">
        <v>298</v>
      </c>
      <c r="J82" t="s">
        <v>97</v>
      </c>
      <c r="K82" t="s">
        <v>27</v>
      </c>
      <c r="L82" t="s">
        <v>28</v>
      </c>
      <c r="M82" t="s">
        <v>79</v>
      </c>
      <c r="N82">
        <v>1557.81</v>
      </c>
    </row>
    <row r="83" spans="1:14" x14ac:dyDescent="0.35">
      <c r="A83" s="2">
        <v>45128</v>
      </c>
      <c r="B83" t="s">
        <v>382</v>
      </c>
      <c r="C83" t="s">
        <v>74</v>
      </c>
      <c r="D83" t="s">
        <v>52</v>
      </c>
      <c r="E83" t="s">
        <v>23</v>
      </c>
      <c r="F83">
        <v>7</v>
      </c>
      <c r="G83">
        <v>67.36</v>
      </c>
      <c r="H83" t="s">
        <v>64</v>
      </c>
      <c r="I83" t="s">
        <v>383</v>
      </c>
      <c r="J83" t="s">
        <v>94</v>
      </c>
      <c r="K83" t="s">
        <v>38</v>
      </c>
      <c r="L83" t="s">
        <v>28</v>
      </c>
      <c r="M83" t="s">
        <v>61</v>
      </c>
      <c r="N83">
        <v>471.52</v>
      </c>
    </row>
    <row r="84" spans="1:14" x14ac:dyDescent="0.35">
      <c r="A84" s="2">
        <v>45460</v>
      </c>
      <c r="B84" t="s">
        <v>743</v>
      </c>
      <c r="C84" t="s">
        <v>51</v>
      </c>
      <c r="D84" t="s">
        <v>33</v>
      </c>
      <c r="E84" t="s">
        <v>53</v>
      </c>
      <c r="F84">
        <v>5</v>
      </c>
      <c r="G84">
        <v>319.05</v>
      </c>
      <c r="H84" t="s">
        <v>58</v>
      </c>
      <c r="I84" t="s">
        <v>744</v>
      </c>
      <c r="J84" t="s">
        <v>97</v>
      </c>
      <c r="K84" t="s">
        <v>60</v>
      </c>
      <c r="L84" t="s">
        <v>39</v>
      </c>
      <c r="M84" t="s">
        <v>29</v>
      </c>
      <c r="N84">
        <v>1595.25</v>
      </c>
    </row>
    <row r="85" spans="1:14" x14ac:dyDescent="0.35">
      <c r="A85" s="2">
        <v>45092</v>
      </c>
      <c r="B85" t="s">
        <v>338</v>
      </c>
      <c r="C85" t="s">
        <v>86</v>
      </c>
      <c r="D85" t="s">
        <v>33</v>
      </c>
      <c r="E85" t="s">
        <v>92</v>
      </c>
      <c r="F85">
        <v>6</v>
      </c>
      <c r="G85">
        <v>7.32</v>
      </c>
      <c r="H85" t="s">
        <v>35</v>
      </c>
      <c r="I85" t="s">
        <v>339</v>
      </c>
      <c r="J85" t="s">
        <v>26</v>
      </c>
      <c r="K85" t="s">
        <v>27</v>
      </c>
      <c r="L85" t="s">
        <v>39</v>
      </c>
      <c r="M85" t="s">
        <v>56</v>
      </c>
      <c r="N85">
        <v>43.92</v>
      </c>
    </row>
    <row r="86" spans="1:14" x14ac:dyDescent="0.35">
      <c r="A86" s="2">
        <v>45517</v>
      </c>
      <c r="B86" t="s">
        <v>62</v>
      </c>
      <c r="C86" t="s">
        <v>47</v>
      </c>
      <c r="D86" t="s">
        <v>22</v>
      </c>
      <c r="E86" t="s">
        <v>43</v>
      </c>
      <c r="F86">
        <v>2</v>
      </c>
      <c r="G86">
        <v>26.32</v>
      </c>
      <c r="H86" t="s">
        <v>24</v>
      </c>
      <c r="I86" t="s">
        <v>824</v>
      </c>
      <c r="J86" t="s">
        <v>37</v>
      </c>
      <c r="K86" t="s">
        <v>27</v>
      </c>
      <c r="L86" t="s">
        <v>66</v>
      </c>
      <c r="M86" t="s">
        <v>49</v>
      </c>
      <c r="N86">
        <v>52.64</v>
      </c>
    </row>
    <row r="87" spans="1:14" x14ac:dyDescent="0.35">
      <c r="A87" s="2">
        <v>45332</v>
      </c>
      <c r="B87" t="s">
        <v>425</v>
      </c>
      <c r="C87" t="s">
        <v>74</v>
      </c>
      <c r="D87" t="s">
        <v>42</v>
      </c>
      <c r="E87" t="s">
        <v>34</v>
      </c>
      <c r="F87">
        <v>1</v>
      </c>
      <c r="G87">
        <v>61.14</v>
      </c>
      <c r="H87" t="s">
        <v>24</v>
      </c>
      <c r="I87" t="s">
        <v>602</v>
      </c>
      <c r="J87" t="s">
        <v>97</v>
      </c>
      <c r="K87" t="s">
        <v>78</v>
      </c>
      <c r="L87" t="s">
        <v>66</v>
      </c>
      <c r="M87" t="s">
        <v>79</v>
      </c>
      <c r="N87">
        <v>61.14</v>
      </c>
    </row>
    <row r="88" spans="1:14" x14ac:dyDescent="0.35">
      <c r="A88" s="2">
        <v>45590</v>
      </c>
      <c r="B88" t="s">
        <v>886</v>
      </c>
      <c r="C88" t="s">
        <v>47</v>
      </c>
      <c r="D88" t="s">
        <v>33</v>
      </c>
      <c r="E88" t="s">
        <v>83</v>
      </c>
      <c r="F88">
        <v>4</v>
      </c>
      <c r="G88">
        <v>350.33</v>
      </c>
      <c r="H88" t="s">
        <v>44</v>
      </c>
      <c r="I88" t="s">
        <v>887</v>
      </c>
      <c r="J88" t="s">
        <v>26</v>
      </c>
      <c r="K88" t="s">
        <v>27</v>
      </c>
      <c r="L88" t="s">
        <v>66</v>
      </c>
      <c r="M88" t="s">
        <v>61</v>
      </c>
      <c r="N88">
        <v>1401.32</v>
      </c>
    </row>
    <row r="89" spans="1:14" x14ac:dyDescent="0.35">
      <c r="A89" s="2">
        <v>44996</v>
      </c>
      <c r="B89" t="s">
        <v>172</v>
      </c>
      <c r="C89" t="s">
        <v>86</v>
      </c>
      <c r="D89" t="s">
        <v>22</v>
      </c>
      <c r="E89" t="s">
        <v>23</v>
      </c>
      <c r="F89">
        <v>6</v>
      </c>
      <c r="G89">
        <v>202.73</v>
      </c>
      <c r="H89" t="s">
        <v>58</v>
      </c>
      <c r="I89" t="s">
        <v>173</v>
      </c>
      <c r="J89" t="s">
        <v>55</v>
      </c>
      <c r="K89" t="s">
        <v>38</v>
      </c>
      <c r="L89" t="s">
        <v>28</v>
      </c>
      <c r="M89" t="s">
        <v>79</v>
      </c>
      <c r="N89">
        <v>1216.3800000000001</v>
      </c>
    </row>
    <row r="90" spans="1:14" x14ac:dyDescent="0.35">
      <c r="A90" s="2">
        <v>45769</v>
      </c>
      <c r="B90" t="s">
        <v>459</v>
      </c>
      <c r="C90" t="s">
        <v>74</v>
      </c>
      <c r="D90" t="s">
        <v>42</v>
      </c>
      <c r="E90" t="s">
        <v>63</v>
      </c>
      <c r="F90">
        <v>3</v>
      </c>
      <c r="G90">
        <v>153.96</v>
      </c>
      <c r="H90" t="s">
        <v>58</v>
      </c>
      <c r="I90" t="s">
        <v>1045</v>
      </c>
      <c r="J90" t="s">
        <v>37</v>
      </c>
      <c r="K90" t="s">
        <v>38</v>
      </c>
      <c r="L90" t="s">
        <v>66</v>
      </c>
      <c r="M90" t="s">
        <v>49</v>
      </c>
      <c r="N90">
        <v>461.88</v>
      </c>
    </row>
    <row r="91" spans="1:14" x14ac:dyDescent="0.35">
      <c r="A91" s="2">
        <v>45603</v>
      </c>
      <c r="B91" t="s">
        <v>394</v>
      </c>
      <c r="C91" t="s">
        <v>51</v>
      </c>
      <c r="D91" t="s">
        <v>33</v>
      </c>
      <c r="E91" t="s">
        <v>34</v>
      </c>
      <c r="F91">
        <v>6</v>
      </c>
      <c r="G91">
        <v>309.7</v>
      </c>
      <c r="H91" t="s">
        <v>64</v>
      </c>
      <c r="I91" t="s">
        <v>905</v>
      </c>
      <c r="J91" t="s">
        <v>94</v>
      </c>
      <c r="K91" t="s">
        <v>60</v>
      </c>
      <c r="L91" t="s">
        <v>28</v>
      </c>
      <c r="M91" t="s">
        <v>56</v>
      </c>
      <c r="N91">
        <v>1858.2</v>
      </c>
    </row>
    <row r="92" spans="1:14" x14ac:dyDescent="0.35">
      <c r="A92" s="2">
        <v>45093</v>
      </c>
      <c r="B92" t="s">
        <v>340</v>
      </c>
      <c r="C92" t="s">
        <v>21</v>
      </c>
      <c r="D92" t="s">
        <v>52</v>
      </c>
      <c r="E92" t="s">
        <v>83</v>
      </c>
      <c r="F92">
        <v>7</v>
      </c>
      <c r="G92">
        <v>107.49</v>
      </c>
      <c r="H92" t="s">
        <v>64</v>
      </c>
      <c r="I92" t="s">
        <v>341</v>
      </c>
      <c r="J92" t="s">
        <v>55</v>
      </c>
      <c r="K92" t="s">
        <v>78</v>
      </c>
      <c r="L92" t="s">
        <v>28</v>
      </c>
      <c r="M92" t="s">
        <v>61</v>
      </c>
      <c r="N92">
        <v>752.43</v>
      </c>
    </row>
    <row r="93" spans="1:14" x14ac:dyDescent="0.35">
      <c r="A93" s="2">
        <v>45496</v>
      </c>
      <c r="B93" t="s">
        <v>786</v>
      </c>
      <c r="C93" t="s">
        <v>47</v>
      </c>
      <c r="D93" t="s">
        <v>52</v>
      </c>
      <c r="E93" t="s">
        <v>92</v>
      </c>
      <c r="F93">
        <v>3</v>
      </c>
      <c r="G93">
        <v>294.7</v>
      </c>
      <c r="H93" t="s">
        <v>58</v>
      </c>
      <c r="I93" t="s">
        <v>787</v>
      </c>
      <c r="J93" t="s">
        <v>26</v>
      </c>
      <c r="K93" t="s">
        <v>60</v>
      </c>
      <c r="L93" t="s">
        <v>39</v>
      </c>
      <c r="M93" t="s">
        <v>49</v>
      </c>
      <c r="N93">
        <v>884.09999999999991</v>
      </c>
    </row>
    <row r="94" spans="1:14" x14ac:dyDescent="0.35">
      <c r="A94" s="2">
        <v>45601</v>
      </c>
      <c r="B94" t="s">
        <v>704</v>
      </c>
      <c r="C94" t="s">
        <v>47</v>
      </c>
      <c r="D94" t="s">
        <v>33</v>
      </c>
      <c r="E94" t="s">
        <v>92</v>
      </c>
      <c r="F94">
        <v>7</v>
      </c>
      <c r="G94">
        <v>354.08</v>
      </c>
      <c r="H94" t="s">
        <v>24</v>
      </c>
      <c r="I94" t="s">
        <v>902</v>
      </c>
      <c r="J94" t="s">
        <v>55</v>
      </c>
      <c r="K94" t="s">
        <v>60</v>
      </c>
      <c r="L94" t="s">
        <v>28</v>
      </c>
      <c r="M94" t="s">
        <v>49</v>
      </c>
      <c r="N94">
        <v>2478.56</v>
      </c>
    </row>
    <row r="95" spans="1:14" x14ac:dyDescent="0.35">
      <c r="A95" s="2">
        <v>45336</v>
      </c>
      <c r="B95" t="s">
        <v>174</v>
      </c>
      <c r="C95" t="s">
        <v>74</v>
      </c>
      <c r="D95" t="s">
        <v>33</v>
      </c>
      <c r="E95" t="s">
        <v>92</v>
      </c>
      <c r="F95">
        <v>3</v>
      </c>
      <c r="G95">
        <v>267.22000000000003</v>
      </c>
      <c r="H95" t="s">
        <v>58</v>
      </c>
      <c r="I95" t="s">
        <v>609</v>
      </c>
      <c r="J95" t="s">
        <v>94</v>
      </c>
      <c r="K95" t="s">
        <v>78</v>
      </c>
      <c r="L95" t="s">
        <v>28</v>
      </c>
      <c r="M95" t="s">
        <v>67</v>
      </c>
      <c r="N95">
        <v>801.66000000000008</v>
      </c>
    </row>
    <row r="96" spans="1:14" x14ac:dyDescent="0.35">
      <c r="A96" s="2">
        <v>45797</v>
      </c>
      <c r="B96" t="s">
        <v>1062</v>
      </c>
      <c r="C96" t="s">
        <v>41</v>
      </c>
      <c r="D96" t="s">
        <v>33</v>
      </c>
      <c r="E96" t="s">
        <v>53</v>
      </c>
      <c r="F96">
        <v>7</v>
      </c>
      <c r="G96">
        <v>190.84</v>
      </c>
      <c r="H96" t="s">
        <v>24</v>
      </c>
      <c r="I96" t="s">
        <v>1063</v>
      </c>
      <c r="J96" t="s">
        <v>97</v>
      </c>
      <c r="K96" t="s">
        <v>27</v>
      </c>
      <c r="L96" t="s">
        <v>28</v>
      </c>
      <c r="M96" t="s">
        <v>49</v>
      </c>
      <c r="N96">
        <v>1335.88</v>
      </c>
    </row>
    <row r="97" spans="1:14" x14ac:dyDescent="0.35">
      <c r="A97" s="2">
        <v>45828</v>
      </c>
      <c r="B97" t="s">
        <v>1105</v>
      </c>
      <c r="C97" t="s">
        <v>21</v>
      </c>
      <c r="D97" t="s">
        <v>33</v>
      </c>
      <c r="E97" t="s">
        <v>83</v>
      </c>
      <c r="F97">
        <v>5</v>
      </c>
      <c r="G97">
        <v>238.89</v>
      </c>
      <c r="H97" t="s">
        <v>44</v>
      </c>
      <c r="I97" t="s">
        <v>1106</v>
      </c>
      <c r="J97" t="s">
        <v>55</v>
      </c>
      <c r="K97" t="s">
        <v>60</v>
      </c>
      <c r="L97" t="s">
        <v>39</v>
      </c>
      <c r="M97" t="s">
        <v>61</v>
      </c>
      <c r="N97">
        <v>1194.45</v>
      </c>
    </row>
    <row r="98" spans="1:14" x14ac:dyDescent="0.35">
      <c r="A98" s="2">
        <v>45342</v>
      </c>
      <c r="B98" t="s">
        <v>145</v>
      </c>
      <c r="C98" t="s">
        <v>51</v>
      </c>
      <c r="D98" t="s">
        <v>52</v>
      </c>
      <c r="E98" t="s">
        <v>63</v>
      </c>
      <c r="F98">
        <v>2</v>
      </c>
      <c r="G98">
        <v>45.28</v>
      </c>
      <c r="H98" t="s">
        <v>64</v>
      </c>
      <c r="I98" t="s">
        <v>624</v>
      </c>
      <c r="J98" t="s">
        <v>94</v>
      </c>
      <c r="K98" t="s">
        <v>78</v>
      </c>
      <c r="L98" t="s">
        <v>28</v>
      </c>
      <c r="M98" t="s">
        <v>49</v>
      </c>
      <c r="N98">
        <v>90.56</v>
      </c>
    </row>
    <row r="99" spans="1:14" x14ac:dyDescent="0.35">
      <c r="A99" s="2">
        <v>44974</v>
      </c>
      <c r="B99" t="s">
        <v>129</v>
      </c>
      <c r="C99" t="s">
        <v>71</v>
      </c>
      <c r="D99" t="s">
        <v>52</v>
      </c>
      <c r="E99" t="s">
        <v>53</v>
      </c>
      <c r="F99">
        <v>6</v>
      </c>
      <c r="G99">
        <v>139.32</v>
      </c>
      <c r="H99" t="s">
        <v>58</v>
      </c>
      <c r="I99" t="s">
        <v>130</v>
      </c>
      <c r="J99" t="s">
        <v>94</v>
      </c>
      <c r="K99" t="s">
        <v>27</v>
      </c>
      <c r="L99" t="s">
        <v>39</v>
      </c>
      <c r="M99" t="s">
        <v>61</v>
      </c>
      <c r="N99">
        <v>835.92</v>
      </c>
    </row>
    <row r="100" spans="1:14" x14ac:dyDescent="0.35">
      <c r="A100" s="2">
        <v>45475</v>
      </c>
      <c r="B100" t="s">
        <v>761</v>
      </c>
      <c r="C100" t="s">
        <v>21</v>
      </c>
      <c r="D100" t="s">
        <v>33</v>
      </c>
      <c r="E100" t="s">
        <v>92</v>
      </c>
      <c r="F100">
        <v>7</v>
      </c>
      <c r="G100">
        <v>359.29</v>
      </c>
      <c r="H100" t="s">
        <v>24</v>
      </c>
      <c r="I100" t="s">
        <v>762</v>
      </c>
      <c r="J100" t="s">
        <v>97</v>
      </c>
      <c r="K100" t="s">
        <v>60</v>
      </c>
      <c r="L100" t="s">
        <v>66</v>
      </c>
      <c r="M100" t="s">
        <v>49</v>
      </c>
      <c r="N100">
        <v>2515.0300000000002</v>
      </c>
    </row>
    <row r="101" spans="1:14" x14ac:dyDescent="0.35">
      <c r="A101" s="2">
        <v>45492</v>
      </c>
      <c r="B101" t="s">
        <v>780</v>
      </c>
      <c r="C101" t="s">
        <v>71</v>
      </c>
      <c r="D101" t="s">
        <v>22</v>
      </c>
      <c r="E101" t="s">
        <v>23</v>
      </c>
      <c r="F101">
        <v>1</v>
      </c>
      <c r="G101">
        <v>160.26</v>
      </c>
      <c r="H101" t="s">
        <v>44</v>
      </c>
      <c r="I101" t="s">
        <v>781</v>
      </c>
      <c r="J101" t="s">
        <v>55</v>
      </c>
      <c r="K101" t="s">
        <v>38</v>
      </c>
      <c r="L101" t="s">
        <v>39</v>
      </c>
      <c r="M101" t="s">
        <v>61</v>
      </c>
      <c r="N101">
        <v>160.26</v>
      </c>
    </row>
    <row r="102" spans="1:14" x14ac:dyDescent="0.35">
      <c r="A102" s="2">
        <v>45371</v>
      </c>
      <c r="B102" t="s">
        <v>658</v>
      </c>
      <c r="C102" t="s">
        <v>89</v>
      </c>
      <c r="D102" t="s">
        <v>33</v>
      </c>
      <c r="E102" t="s">
        <v>92</v>
      </c>
      <c r="F102">
        <v>9</v>
      </c>
      <c r="G102">
        <v>195.91</v>
      </c>
      <c r="H102" t="s">
        <v>58</v>
      </c>
      <c r="I102" t="s">
        <v>659</v>
      </c>
      <c r="J102" t="s">
        <v>97</v>
      </c>
      <c r="K102" t="s">
        <v>27</v>
      </c>
      <c r="L102" t="s">
        <v>39</v>
      </c>
      <c r="M102" t="s">
        <v>67</v>
      </c>
      <c r="N102">
        <v>1763.19</v>
      </c>
    </row>
    <row r="103" spans="1:14" x14ac:dyDescent="0.35">
      <c r="A103" s="2">
        <v>45505</v>
      </c>
      <c r="B103" t="s">
        <v>806</v>
      </c>
      <c r="C103" t="s">
        <v>71</v>
      </c>
      <c r="D103" t="s">
        <v>42</v>
      </c>
      <c r="E103" t="s">
        <v>34</v>
      </c>
      <c r="F103">
        <v>2</v>
      </c>
      <c r="G103">
        <v>273.39999999999998</v>
      </c>
      <c r="H103" t="s">
        <v>35</v>
      </c>
      <c r="I103" t="s">
        <v>807</v>
      </c>
      <c r="J103" t="s">
        <v>94</v>
      </c>
      <c r="K103" t="s">
        <v>27</v>
      </c>
      <c r="L103" t="s">
        <v>66</v>
      </c>
      <c r="M103" t="s">
        <v>56</v>
      </c>
      <c r="N103">
        <v>546.79999999999995</v>
      </c>
    </row>
    <row r="104" spans="1:14" x14ac:dyDescent="0.35">
      <c r="A104" s="2">
        <v>45418</v>
      </c>
      <c r="B104" t="s">
        <v>699</v>
      </c>
      <c r="C104" t="s">
        <v>81</v>
      </c>
      <c r="D104" t="s">
        <v>42</v>
      </c>
      <c r="E104" t="s">
        <v>83</v>
      </c>
      <c r="F104">
        <v>5</v>
      </c>
      <c r="G104">
        <v>78.56</v>
      </c>
      <c r="H104" t="s">
        <v>35</v>
      </c>
      <c r="I104" t="s">
        <v>700</v>
      </c>
      <c r="J104" t="s">
        <v>37</v>
      </c>
      <c r="K104" t="s">
        <v>27</v>
      </c>
      <c r="L104" t="s">
        <v>28</v>
      </c>
      <c r="M104" t="s">
        <v>29</v>
      </c>
      <c r="N104">
        <v>392.8</v>
      </c>
    </row>
    <row r="105" spans="1:14" x14ac:dyDescent="0.35">
      <c r="A105" s="2">
        <v>45499</v>
      </c>
      <c r="B105" t="s">
        <v>791</v>
      </c>
      <c r="C105" t="s">
        <v>106</v>
      </c>
      <c r="D105" t="s">
        <v>33</v>
      </c>
      <c r="E105" t="s">
        <v>43</v>
      </c>
      <c r="F105">
        <v>2</v>
      </c>
      <c r="G105">
        <v>82.84</v>
      </c>
      <c r="H105" t="s">
        <v>44</v>
      </c>
      <c r="I105" t="s">
        <v>792</v>
      </c>
      <c r="J105" t="s">
        <v>97</v>
      </c>
      <c r="K105" t="s">
        <v>60</v>
      </c>
      <c r="L105" t="s">
        <v>66</v>
      </c>
      <c r="M105" t="s">
        <v>61</v>
      </c>
      <c r="N105">
        <v>165.68</v>
      </c>
    </row>
    <row r="106" spans="1:14" x14ac:dyDescent="0.35">
      <c r="A106" s="2">
        <v>45650</v>
      </c>
      <c r="B106" t="s">
        <v>957</v>
      </c>
      <c r="C106" t="s">
        <v>86</v>
      </c>
      <c r="D106" t="s">
        <v>22</v>
      </c>
      <c r="E106" t="s">
        <v>34</v>
      </c>
      <c r="F106">
        <v>10</v>
      </c>
      <c r="G106">
        <v>211.91</v>
      </c>
      <c r="H106" t="s">
        <v>58</v>
      </c>
      <c r="I106" t="s">
        <v>958</v>
      </c>
      <c r="J106" t="s">
        <v>37</v>
      </c>
      <c r="K106" t="s">
        <v>78</v>
      </c>
      <c r="L106" t="s">
        <v>39</v>
      </c>
      <c r="M106" t="s">
        <v>49</v>
      </c>
      <c r="N106">
        <v>2119.1</v>
      </c>
    </row>
    <row r="107" spans="1:14" x14ac:dyDescent="0.35">
      <c r="A107" s="2">
        <v>45596</v>
      </c>
      <c r="B107" t="s">
        <v>895</v>
      </c>
      <c r="C107" t="s">
        <v>21</v>
      </c>
      <c r="D107" t="s">
        <v>33</v>
      </c>
      <c r="E107" t="s">
        <v>34</v>
      </c>
      <c r="F107">
        <v>2</v>
      </c>
      <c r="G107">
        <v>327.69</v>
      </c>
      <c r="H107" t="s">
        <v>24</v>
      </c>
      <c r="I107" t="s">
        <v>896</v>
      </c>
      <c r="J107" t="s">
        <v>97</v>
      </c>
      <c r="K107" t="s">
        <v>78</v>
      </c>
      <c r="L107" t="s">
        <v>66</v>
      </c>
      <c r="M107" t="s">
        <v>56</v>
      </c>
      <c r="N107">
        <v>655.38</v>
      </c>
    </row>
    <row r="108" spans="1:14" x14ac:dyDescent="0.35">
      <c r="A108" s="2">
        <v>45656</v>
      </c>
      <c r="B108" t="s">
        <v>119</v>
      </c>
      <c r="C108" t="s">
        <v>74</v>
      </c>
      <c r="D108" t="s">
        <v>52</v>
      </c>
      <c r="E108" t="s">
        <v>92</v>
      </c>
      <c r="F108">
        <v>4</v>
      </c>
      <c r="G108">
        <v>335.41</v>
      </c>
      <c r="H108" t="s">
        <v>35</v>
      </c>
      <c r="I108" t="s">
        <v>960</v>
      </c>
      <c r="J108" t="s">
        <v>94</v>
      </c>
      <c r="K108" t="s">
        <v>78</v>
      </c>
      <c r="L108" t="s">
        <v>66</v>
      </c>
      <c r="M108" t="s">
        <v>29</v>
      </c>
      <c r="N108">
        <v>1341.64</v>
      </c>
    </row>
    <row r="109" spans="1:14" x14ac:dyDescent="0.35">
      <c r="A109" s="2">
        <v>45689</v>
      </c>
      <c r="B109" t="s">
        <v>993</v>
      </c>
      <c r="C109" t="s">
        <v>89</v>
      </c>
      <c r="D109" t="s">
        <v>42</v>
      </c>
      <c r="E109" t="s">
        <v>53</v>
      </c>
      <c r="F109">
        <v>9</v>
      </c>
      <c r="G109">
        <v>131.76</v>
      </c>
      <c r="H109" t="s">
        <v>64</v>
      </c>
      <c r="I109" t="s">
        <v>994</v>
      </c>
      <c r="J109" t="s">
        <v>26</v>
      </c>
      <c r="K109" t="s">
        <v>38</v>
      </c>
      <c r="L109" t="s">
        <v>28</v>
      </c>
      <c r="M109" t="s">
        <v>79</v>
      </c>
      <c r="N109">
        <v>1185.8399999999999</v>
      </c>
    </row>
    <row r="110" spans="1:14" x14ac:dyDescent="0.35">
      <c r="A110" s="2">
        <v>45777</v>
      </c>
      <c r="B110" t="s">
        <v>1053</v>
      </c>
      <c r="C110" t="s">
        <v>47</v>
      </c>
      <c r="D110" t="s">
        <v>33</v>
      </c>
      <c r="E110" t="s">
        <v>92</v>
      </c>
      <c r="F110">
        <v>1</v>
      </c>
      <c r="G110">
        <v>215.47</v>
      </c>
      <c r="H110" t="s">
        <v>24</v>
      </c>
      <c r="I110" t="s">
        <v>1054</v>
      </c>
      <c r="J110" t="s">
        <v>26</v>
      </c>
      <c r="K110" t="s">
        <v>60</v>
      </c>
      <c r="L110" t="s">
        <v>28</v>
      </c>
      <c r="M110" t="s">
        <v>67</v>
      </c>
      <c r="N110">
        <v>215.47</v>
      </c>
    </row>
    <row r="111" spans="1:14" x14ac:dyDescent="0.35">
      <c r="A111" s="2">
        <v>45752</v>
      </c>
      <c r="B111" t="s">
        <v>753</v>
      </c>
      <c r="C111" t="s">
        <v>47</v>
      </c>
      <c r="D111" t="s">
        <v>33</v>
      </c>
      <c r="E111" t="s">
        <v>53</v>
      </c>
      <c r="F111">
        <v>6</v>
      </c>
      <c r="G111">
        <v>194.66</v>
      </c>
      <c r="H111" t="s">
        <v>64</v>
      </c>
      <c r="I111" t="s">
        <v>1033</v>
      </c>
      <c r="J111" t="s">
        <v>37</v>
      </c>
      <c r="K111" t="s">
        <v>38</v>
      </c>
      <c r="L111" t="s">
        <v>39</v>
      </c>
      <c r="M111" t="s">
        <v>79</v>
      </c>
      <c r="N111">
        <v>1167.96</v>
      </c>
    </row>
    <row r="112" spans="1:14" x14ac:dyDescent="0.35">
      <c r="A112" s="2">
        <v>45317</v>
      </c>
      <c r="B112" t="s">
        <v>588</v>
      </c>
      <c r="C112" t="s">
        <v>21</v>
      </c>
      <c r="D112" t="s">
        <v>52</v>
      </c>
      <c r="E112" t="s">
        <v>83</v>
      </c>
      <c r="F112">
        <v>1</v>
      </c>
      <c r="G112">
        <v>308.26</v>
      </c>
      <c r="H112" t="s">
        <v>44</v>
      </c>
      <c r="I112" t="s">
        <v>589</v>
      </c>
      <c r="J112" t="s">
        <v>37</v>
      </c>
      <c r="K112" t="s">
        <v>38</v>
      </c>
      <c r="L112" t="s">
        <v>66</v>
      </c>
      <c r="M112" t="s">
        <v>61</v>
      </c>
      <c r="N112">
        <v>308.26</v>
      </c>
    </row>
    <row r="113" spans="1:14" x14ac:dyDescent="0.35">
      <c r="A113" s="2">
        <v>45522</v>
      </c>
      <c r="B113" t="s">
        <v>830</v>
      </c>
      <c r="C113" t="s">
        <v>21</v>
      </c>
      <c r="D113" t="s">
        <v>22</v>
      </c>
      <c r="E113" t="s">
        <v>34</v>
      </c>
      <c r="F113">
        <v>8</v>
      </c>
      <c r="G113">
        <v>104.13</v>
      </c>
      <c r="H113" t="s">
        <v>35</v>
      </c>
      <c r="I113" t="s">
        <v>831</v>
      </c>
      <c r="J113" t="s">
        <v>97</v>
      </c>
      <c r="K113" t="s">
        <v>27</v>
      </c>
      <c r="L113" t="s">
        <v>39</v>
      </c>
      <c r="M113" t="s">
        <v>101</v>
      </c>
      <c r="N113">
        <v>833.04</v>
      </c>
    </row>
    <row r="114" spans="1:14" x14ac:dyDescent="0.35">
      <c r="A114" s="2">
        <v>45821</v>
      </c>
      <c r="B114" t="s">
        <v>1088</v>
      </c>
      <c r="C114" t="s">
        <v>89</v>
      </c>
      <c r="D114" t="s">
        <v>33</v>
      </c>
      <c r="E114" t="s">
        <v>34</v>
      </c>
      <c r="F114">
        <v>7</v>
      </c>
      <c r="G114">
        <v>398.83</v>
      </c>
      <c r="H114" t="s">
        <v>35</v>
      </c>
      <c r="I114" t="s">
        <v>1089</v>
      </c>
      <c r="J114" t="s">
        <v>37</v>
      </c>
      <c r="K114" t="s">
        <v>60</v>
      </c>
      <c r="L114" t="s">
        <v>66</v>
      </c>
      <c r="M114" t="s">
        <v>61</v>
      </c>
      <c r="N114">
        <v>2791.81</v>
      </c>
    </row>
    <row r="115" spans="1:14" x14ac:dyDescent="0.35">
      <c r="A115" s="2">
        <v>45461</v>
      </c>
      <c r="B115" t="s">
        <v>532</v>
      </c>
      <c r="C115" t="s">
        <v>89</v>
      </c>
      <c r="D115" t="s">
        <v>22</v>
      </c>
      <c r="E115" t="s">
        <v>34</v>
      </c>
      <c r="F115">
        <v>7</v>
      </c>
      <c r="G115">
        <v>52.68</v>
      </c>
      <c r="H115" t="s">
        <v>24</v>
      </c>
      <c r="I115" t="s">
        <v>745</v>
      </c>
      <c r="J115" t="s">
        <v>55</v>
      </c>
      <c r="K115" t="s">
        <v>38</v>
      </c>
      <c r="L115" t="s">
        <v>28</v>
      </c>
      <c r="M115" t="s">
        <v>49</v>
      </c>
      <c r="N115">
        <v>368.76</v>
      </c>
    </row>
    <row r="116" spans="1:14" x14ac:dyDescent="0.35">
      <c r="A116" s="2">
        <v>44979</v>
      </c>
      <c r="B116" t="s">
        <v>139</v>
      </c>
      <c r="C116" t="s">
        <v>47</v>
      </c>
      <c r="D116" t="s">
        <v>22</v>
      </c>
      <c r="E116" t="s">
        <v>92</v>
      </c>
      <c r="F116">
        <v>8</v>
      </c>
      <c r="G116">
        <v>82.48</v>
      </c>
      <c r="H116" t="s">
        <v>44</v>
      </c>
      <c r="I116" t="s">
        <v>140</v>
      </c>
      <c r="J116" t="s">
        <v>37</v>
      </c>
      <c r="K116" t="s">
        <v>38</v>
      </c>
      <c r="L116" t="s">
        <v>66</v>
      </c>
      <c r="M116" t="s">
        <v>67</v>
      </c>
      <c r="N116">
        <v>659.84</v>
      </c>
    </row>
    <row r="117" spans="1:14" x14ac:dyDescent="0.35">
      <c r="A117" s="2">
        <v>45414</v>
      </c>
      <c r="B117" t="s">
        <v>693</v>
      </c>
      <c r="C117" t="s">
        <v>71</v>
      </c>
      <c r="D117" t="s">
        <v>52</v>
      </c>
      <c r="E117" t="s">
        <v>34</v>
      </c>
      <c r="F117">
        <v>10</v>
      </c>
      <c r="G117">
        <v>346.62</v>
      </c>
      <c r="H117" t="s">
        <v>44</v>
      </c>
      <c r="I117" t="s">
        <v>694</v>
      </c>
      <c r="J117" t="s">
        <v>94</v>
      </c>
      <c r="K117" t="s">
        <v>60</v>
      </c>
      <c r="L117" t="s">
        <v>28</v>
      </c>
      <c r="M117" t="s">
        <v>56</v>
      </c>
      <c r="N117">
        <v>3466.2</v>
      </c>
    </row>
    <row r="118" spans="1:14" x14ac:dyDescent="0.35">
      <c r="A118" s="2">
        <v>45681</v>
      </c>
      <c r="B118" t="s">
        <v>984</v>
      </c>
      <c r="C118" t="s">
        <v>106</v>
      </c>
      <c r="D118" t="s">
        <v>33</v>
      </c>
      <c r="E118" t="s">
        <v>63</v>
      </c>
      <c r="F118">
        <v>9</v>
      </c>
      <c r="G118">
        <v>302.23</v>
      </c>
      <c r="H118" t="s">
        <v>58</v>
      </c>
      <c r="I118" t="s">
        <v>985</v>
      </c>
      <c r="J118" t="s">
        <v>94</v>
      </c>
      <c r="K118" t="s">
        <v>60</v>
      </c>
      <c r="L118" t="s">
        <v>28</v>
      </c>
      <c r="M118" t="s">
        <v>61</v>
      </c>
      <c r="N118">
        <v>2720.07</v>
      </c>
    </row>
    <row r="119" spans="1:14" x14ac:dyDescent="0.35">
      <c r="A119" s="2">
        <v>45176</v>
      </c>
      <c r="B119" t="s">
        <v>427</v>
      </c>
      <c r="C119" t="s">
        <v>89</v>
      </c>
      <c r="D119" t="s">
        <v>33</v>
      </c>
      <c r="E119" t="s">
        <v>23</v>
      </c>
      <c r="F119">
        <v>10</v>
      </c>
      <c r="G119">
        <v>355.74</v>
      </c>
      <c r="H119" t="s">
        <v>64</v>
      </c>
      <c r="I119" t="s">
        <v>428</v>
      </c>
      <c r="J119" t="s">
        <v>26</v>
      </c>
      <c r="K119" t="s">
        <v>27</v>
      </c>
      <c r="L119" t="s">
        <v>28</v>
      </c>
      <c r="M119" t="s">
        <v>56</v>
      </c>
      <c r="N119">
        <v>3557.4</v>
      </c>
    </row>
    <row r="120" spans="1:14" x14ac:dyDescent="0.35">
      <c r="A120" s="2">
        <v>45324</v>
      </c>
      <c r="B120" t="s">
        <v>594</v>
      </c>
      <c r="C120" t="s">
        <v>74</v>
      </c>
      <c r="D120" t="s">
        <v>33</v>
      </c>
      <c r="E120" t="s">
        <v>63</v>
      </c>
      <c r="F120">
        <v>4</v>
      </c>
      <c r="G120">
        <v>329.07</v>
      </c>
      <c r="H120" t="s">
        <v>58</v>
      </c>
      <c r="I120" t="s">
        <v>595</v>
      </c>
      <c r="J120" t="s">
        <v>26</v>
      </c>
      <c r="K120" t="s">
        <v>78</v>
      </c>
      <c r="L120" t="s">
        <v>39</v>
      </c>
      <c r="M120" t="s">
        <v>61</v>
      </c>
      <c r="N120">
        <v>1316.28</v>
      </c>
    </row>
    <row r="121" spans="1:14" x14ac:dyDescent="0.35">
      <c r="A121" s="2">
        <v>45372</v>
      </c>
      <c r="B121" t="s">
        <v>663</v>
      </c>
      <c r="C121" t="s">
        <v>21</v>
      </c>
      <c r="D121" t="s">
        <v>42</v>
      </c>
      <c r="E121" t="s">
        <v>53</v>
      </c>
      <c r="F121">
        <v>4</v>
      </c>
      <c r="G121">
        <v>217.89</v>
      </c>
      <c r="H121" t="s">
        <v>58</v>
      </c>
      <c r="I121" t="s">
        <v>664</v>
      </c>
      <c r="J121" t="s">
        <v>37</v>
      </c>
      <c r="K121" t="s">
        <v>27</v>
      </c>
      <c r="L121" t="s">
        <v>66</v>
      </c>
      <c r="M121" t="s">
        <v>56</v>
      </c>
      <c r="N121">
        <v>871.56</v>
      </c>
    </row>
    <row r="122" spans="1:14" x14ac:dyDescent="0.35">
      <c r="A122" s="2">
        <v>45266</v>
      </c>
      <c r="B122" t="s">
        <v>540</v>
      </c>
      <c r="C122" t="s">
        <v>47</v>
      </c>
      <c r="D122" t="s">
        <v>42</v>
      </c>
      <c r="E122" t="s">
        <v>34</v>
      </c>
      <c r="F122">
        <v>10</v>
      </c>
      <c r="G122">
        <v>35.68</v>
      </c>
      <c r="H122" t="s">
        <v>35</v>
      </c>
      <c r="I122" t="s">
        <v>541</v>
      </c>
      <c r="J122" t="s">
        <v>55</v>
      </c>
      <c r="K122" t="s">
        <v>78</v>
      </c>
      <c r="L122" t="s">
        <v>66</v>
      </c>
      <c r="M122" t="s">
        <v>67</v>
      </c>
      <c r="N122">
        <v>356.8</v>
      </c>
    </row>
    <row r="123" spans="1:14" x14ac:dyDescent="0.35">
      <c r="A123" s="2">
        <v>45049</v>
      </c>
      <c r="B123" t="s">
        <v>268</v>
      </c>
      <c r="C123" t="s">
        <v>51</v>
      </c>
      <c r="D123" t="s">
        <v>52</v>
      </c>
      <c r="E123" t="s">
        <v>53</v>
      </c>
      <c r="F123">
        <v>10</v>
      </c>
      <c r="G123">
        <v>363.63</v>
      </c>
      <c r="H123" t="s">
        <v>58</v>
      </c>
      <c r="I123" t="s">
        <v>269</v>
      </c>
      <c r="J123" t="s">
        <v>94</v>
      </c>
      <c r="K123" t="s">
        <v>38</v>
      </c>
      <c r="L123" t="s">
        <v>28</v>
      </c>
      <c r="M123" t="s">
        <v>67</v>
      </c>
      <c r="N123">
        <v>3636.3</v>
      </c>
    </row>
    <row r="124" spans="1:14" x14ac:dyDescent="0.35">
      <c r="A124" s="2">
        <v>45299</v>
      </c>
      <c r="B124" t="s">
        <v>296</v>
      </c>
      <c r="C124" t="s">
        <v>89</v>
      </c>
      <c r="D124" t="s">
        <v>52</v>
      </c>
      <c r="E124" t="s">
        <v>43</v>
      </c>
      <c r="F124">
        <v>8</v>
      </c>
      <c r="G124">
        <v>157.94</v>
      </c>
      <c r="H124" t="s">
        <v>24</v>
      </c>
      <c r="I124" t="s">
        <v>579</v>
      </c>
      <c r="J124" t="s">
        <v>26</v>
      </c>
      <c r="K124" t="s">
        <v>38</v>
      </c>
      <c r="L124" t="s">
        <v>28</v>
      </c>
      <c r="M124" t="s">
        <v>29</v>
      </c>
      <c r="N124">
        <v>1263.52</v>
      </c>
    </row>
    <row r="125" spans="1:14" x14ac:dyDescent="0.35">
      <c r="A125" s="2">
        <v>45349</v>
      </c>
      <c r="B125" t="s">
        <v>634</v>
      </c>
      <c r="C125" t="s">
        <v>21</v>
      </c>
      <c r="D125" t="s">
        <v>42</v>
      </c>
      <c r="E125" t="s">
        <v>92</v>
      </c>
      <c r="F125">
        <v>10</v>
      </c>
      <c r="G125">
        <v>314.01</v>
      </c>
      <c r="H125" t="s">
        <v>58</v>
      </c>
      <c r="I125" t="s">
        <v>635</v>
      </c>
      <c r="J125" t="s">
        <v>26</v>
      </c>
      <c r="K125" t="s">
        <v>60</v>
      </c>
      <c r="L125" t="s">
        <v>39</v>
      </c>
      <c r="M125" t="s">
        <v>49</v>
      </c>
      <c r="N125">
        <v>3140.1</v>
      </c>
    </row>
    <row r="126" spans="1:14" x14ac:dyDescent="0.35">
      <c r="A126" s="2">
        <v>45008</v>
      </c>
      <c r="B126" t="s">
        <v>200</v>
      </c>
      <c r="C126" t="s">
        <v>21</v>
      </c>
      <c r="D126" t="s">
        <v>52</v>
      </c>
      <c r="E126" t="s">
        <v>34</v>
      </c>
      <c r="F126">
        <v>4</v>
      </c>
      <c r="G126">
        <v>199.4</v>
      </c>
      <c r="H126" t="s">
        <v>24</v>
      </c>
      <c r="I126" t="s">
        <v>201</v>
      </c>
      <c r="J126" t="s">
        <v>97</v>
      </c>
      <c r="K126" t="s">
        <v>27</v>
      </c>
      <c r="L126" t="s">
        <v>28</v>
      </c>
      <c r="M126" t="s">
        <v>56</v>
      </c>
      <c r="N126">
        <v>797.6</v>
      </c>
    </row>
    <row r="127" spans="1:14" x14ac:dyDescent="0.35">
      <c r="A127" s="2">
        <v>45429</v>
      </c>
      <c r="B127" t="s">
        <v>715</v>
      </c>
      <c r="C127" t="s">
        <v>51</v>
      </c>
      <c r="D127" t="s">
        <v>42</v>
      </c>
      <c r="E127" t="s">
        <v>92</v>
      </c>
      <c r="F127">
        <v>10</v>
      </c>
      <c r="G127">
        <v>254.52</v>
      </c>
      <c r="H127" t="s">
        <v>44</v>
      </c>
      <c r="I127" t="s">
        <v>716</v>
      </c>
      <c r="J127" t="s">
        <v>26</v>
      </c>
      <c r="K127" t="s">
        <v>78</v>
      </c>
      <c r="L127" t="s">
        <v>39</v>
      </c>
      <c r="M127" t="s">
        <v>61</v>
      </c>
      <c r="N127">
        <v>2545.1999999999998</v>
      </c>
    </row>
    <row r="128" spans="1:14" x14ac:dyDescent="0.35">
      <c r="A128" s="2">
        <v>45420</v>
      </c>
      <c r="B128" t="s">
        <v>317</v>
      </c>
      <c r="C128" t="s">
        <v>106</v>
      </c>
      <c r="D128" t="s">
        <v>42</v>
      </c>
      <c r="E128" t="s">
        <v>23</v>
      </c>
      <c r="F128">
        <v>5</v>
      </c>
      <c r="G128">
        <v>377.06</v>
      </c>
      <c r="H128" t="s">
        <v>44</v>
      </c>
      <c r="I128" t="s">
        <v>703</v>
      </c>
      <c r="J128" t="s">
        <v>55</v>
      </c>
      <c r="K128" t="s">
        <v>60</v>
      </c>
      <c r="L128" t="s">
        <v>28</v>
      </c>
      <c r="M128" t="s">
        <v>67</v>
      </c>
      <c r="N128">
        <v>1885.3</v>
      </c>
    </row>
    <row r="129" spans="1:14" x14ac:dyDescent="0.35">
      <c r="A129" s="2">
        <v>45339</v>
      </c>
      <c r="B129" t="s">
        <v>616</v>
      </c>
      <c r="C129" t="s">
        <v>86</v>
      </c>
      <c r="D129" t="s">
        <v>33</v>
      </c>
      <c r="E129" t="s">
        <v>63</v>
      </c>
      <c r="F129">
        <v>3</v>
      </c>
      <c r="G129">
        <v>40.24</v>
      </c>
      <c r="H129" t="s">
        <v>35</v>
      </c>
      <c r="I129" t="s">
        <v>617</v>
      </c>
      <c r="J129" t="s">
        <v>55</v>
      </c>
      <c r="K129" t="s">
        <v>38</v>
      </c>
      <c r="L129" t="s">
        <v>39</v>
      </c>
      <c r="M129" t="s">
        <v>79</v>
      </c>
      <c r="N129">
        <v>120.72</v>
      </c>
    </row>
    <row r="130" spans="1:14" x14ac:dyDescent="0.35">
      <c r="A130" s="2">
        <v>45074</v>
      </c>
      <c r="B130" t="s">
        <v>311</v>
      </c>
      <c r="C130" t="s">
        <v>21</v>
      </c>
      <c r="D130" t="s">
        <v>52</v>
      </c>
      <c r="E130" t="s">
        <v>53</v>
      </c>
      <c r="F130">
        <v>1</v>
      </c>
      <c r="G130">
        <v>347.26</v>
      </c>
      <c r="H130" t="s">
        <v>58</v>
      </c>
      <c r="I130" t="s">
        <v>312</v>
      </c>
      <c r="J130" t="s">
        <v>94</v>
      </c>
      <c r="K130" t="s">
        <v>38</v>
      </c>
      <c r="L130" t="s">
        <v>39</v>
      </c>
      <c r="M130" t="s">
        <v>101</v>
      </c>
      <c r="N130">
        <v>347.26</v>
      </c>
    </row>
    <row r="131" spans="1:14" x14ac:dyDescent="0.35">
      <c r="A131" s="2">
        <v>45227</v>
      </c>
      <c r="B131" t="s">
        <v>486</v>
      </c>
      <c r="C131" t="s">
        <v>21</v>
      </c>
      <c r="D131" t="s">
        <v>33</v>
      </c>
      <c r="E131" t="s">
        <v>63</v>
      </c>
      <c r="F131">
        <v>2</v>
      </c>
      <c r="G131">
        <v>229.45</v>
      </c>
      <c r="H131" t="s">
        <v>24</v>
      </c>
      <c r="I131" t="s">
        <v>487</v>
      </c>
      <c r="J131" t="s">
        <v>97</v>
      </c>
      <c r="K131" t="s">
        <v>38</v>
      </c>
      <c r="L131" t="s">
        <v>66</v>
      </c>
      <c r="M131" t="s">
        <v>79</v>
      </c>
      <c r="N131">
        <v>458.9</v>
      </c>
    </row>
    <row r="132" spans="1:14" x14ac:dyDescent="0.35">
      <c r="A132" s="2">
        <v>45405</v>
      </c>
      <c r="B132" t="s">
        <v>166</v>
      </c>
      <c r="C132" t="s">
        <v>106</v>
      </c>
      <c r="D132" t="s">
        <v>33</v>
      </c>
      <c r="E132" t="s">
        <v>92</v>
      </c>
      <c r="F132">
        <v>1</v>
      </c>
      <c r="G132">
        <v>31.5</v>
      </c>
      <c r="H132" t="s">
        <v>35</v>
      </c>
      <c r="I132" t="s">
        <v>686</v>
      </c>
      <c r="J132" t="s">
        <v>55</v>
      </c>
      <c r="K132" t="s">
        <v>38</v>
      </c>
      <c r="L132" t="s">
        <v>39</v>
      </c>
      <c r="M132" t="s">
        <v>49</v>
      </c>
      <c r="N132">
        <v>31.5</v>
      </c>
    </row>
    <row r="133" spans="1:14" x14ac:dyDescent="0.35">
      <c r="A133" s="2">
        <v>45536</v>
      </c>
      <c r="B133" t="s">
        <v>837</v>
      </c>
      <c r="C133" t="s">
        <v>89</v>
      </c>
      <c r="D133" t="s">
        <v>52</v>
      </c>
      <c r="E133" t="s">
        <v>34</v>
      </c>
      <c r="F133">
        <v>2</v>
      </c>
      <c r="G133">
        <v>120</v>
      </c>
      <c r="H133" t="s">
        <v>58</v>
      </c>
      <c r="I133" t="s">
        <v>838</v>
      </c>
      <c r="J133" t="s">
        <v>97</v>
      </c>
      <c r="K133" t="s">
        <v>60</v>
      </c>
      <c r="L133" t="s">
        <v>39</v>
      </c>
      <c r="M133" t="s">
        <v>101</v>
      </c>
      <c r="N133">
        <v>240</v>
      </c>
    </row>
    <row r="134" spans="1:14" x14ac:dyDescent="0.35">
      <c r="A134" s="2">
        <v>45006</v>
      </c>
      <c r="B134" t="s">
        <v>195</v>
      </c>
      <c r="C134" t="s">
        <v>81</v>
      </c>
      <c r="D134" t="s">
        <v>22</v>
      </c>
      <c r="E134" t="s">
        <v>23</v>
      </c>
      <c r="F134">
        <v>7</v>
      </c>
      <c r="G134">
        <v>126.69</v>
      </c>
      <c r="H134" t="s">
        <v>58</v>
      </c>
      <c r="I134" t="s">
        <v>196</v>
      </c>
      <c r="J134" t="s">
        <v>26</v>
      </c>
      <c r="K134" t="s">
        <v>38</v>
      </c>
      <c r="L134" t="s">
        <v>39</v>
      </c>
      <c r="M134" t="s">
        <v>49</v>
      </c>
      <c r="N134">
        <v>886.82999999999993</v>
      </c>
    </row>
    <row r="135" spans="1:14" x14ac:dyDescent="0.35">
      <c r="A135" s="2">
        <v>45708</v>
      </c>
      <c r="B135" t="s">
        <v>1006</v>
      </c>
      <c r="C135" t="s">
        <v>106</v>
      </c>
      <c r="D135" t="s">
        <v>22</v>
      </c>
      <c r="E135" t="s">
        <v>53</v>
      </c>
      <c r="F135">
        <v>6</v>
      </c>
      <c r="G135">
        <v>221.43</v>
      </c>
      <c r="H135" t="s">
        <v>64</v>
      </c>
      <c r="I135" t="s">
        <v>1007</v>
      </c>
      <c r="J135" t="s">
        <v>94</v>
      </c>
      <c r="K135" t="s">
        <v>60</v>
      </c>
      <c r="L135" t="s">
        <v>39</v>
      </c>
      <c r="M135" t="s">
        <v>56</v>
      </c>
      <c r="N135">
        <v>1328.58</v>
      </c>
    </row>
    <row r="136" spans="1:14" x14ac:dyDescent="0.35">
      <c r="A136" s="2">
        <v>45807</v>
      </c>
      <c r="B136" t="s">
        <v>566</v>
      </c>
      <c r="C136" t="s">
        <v>21</v>
      </c>
      <c r="D136" t="s">
        <v>33</v>
      </c>
      <c r="E136" t="s">
        <v>23</v>
      </c>
      <c r="F136">
        <v>8</v>
      </c>
      <c r="G136">
        <v>357.5</v>
      </c>
      <c r="H136" t="s">
        <v>64</v>
      </c>
      <c r="I136" t="s">
        <v>1070</v>
      </c>
      <c r="J136" t="s">
        <v>97</v>
      </c>
      <c r="K136" t="s">
        <v>60</v>
      </c>
      <c r="L136" t="s">
        <v>28</v>
      </c>
      <c r="M136" t="s">
        <v>61</v>
      </c>
      <c r="N136">
        <v>2860</v>
      </c>
    </row>
    <row r="137" spans="1:14" x14ac:dyDescent="0.35">
      <c r="A137" s="2">
        <v>45110</v>
      </c>
      <c r="B137" t="s">
        <v>368</v>
      </c>
      <c r="C137" t="s">
        <v>106</v>
      </c>
      <c r="D137" t="s">
        <v>22</v>
      </c>
      <c r="E137" t="s">
        <v>23</v>
      </c>
      <c r="F137">
        <v>1</v>
      </c>
      <c r="G137">
        <v>256.49</v>
      </c>
      <c r="H137" t="s">
        <v>35</v>
      </c>
      <c r="I137" t="s">
        <v>369</v>
      </c>
      <c r="J137" t="s">
        <v>94</v>
      </c>
      <c r="K137" t="s">
        <v>38</v>
      </c>
      <c r="L137" t="s">
        <v>39</v>
      </c>
      <c r="M137" t="s">
        <v>29</v>
      </c>
      <c r="N137">
        <v>256.49</v>
      </c>
    </row>
    <row r="138" spans="1:14" x14ac:dyDescent="0.35">
      <c r="A138" s="2">
        <v>45065</v>
      </c>
      <c r="B138" t="s">
        <v>294</v>
      </c>
      <c r="C138" t="s">
        <v>81</v>
      </c>
      <c r="D138" t="s">
        <v>42</v>
      </c>
      <c r="E138" t="s">
        <v>92</v>
      </c>
      <c r="F138">
        <v>2</v>
      </c>
      <c r="G138">
        <v>303.64999999999998</v>
      </c>
      <c r="H138" t="s">
        <v>64</v>
      </c>
      <c r="I138" t="s">
        <v>295</v>
      </c>
      <c r="J138" t="s">
        <v>97</v>
      </c>
      <c r="K138" t="s">
        <v>27</v>
      </c>
      <c r="L138" t="s">
        <v>39</v>
      </c>
      <c r="M138" t="s">
        <v>61</v>
      </c>
      <c r="N138">
        <v>607.29999999999995</v>
      </c>
    </row>
    <row r="139" spans="1:14" x14ac:dyDescent="0.35">
      <c r="A139" s="2">
        <v>44947</v>
      </c>
      <c r="B139" t="s">
        <v>73</v>
      </c>
      <c r="C139" t="s">
        <v>71</v>
      </c>
      <c r="D139" t="s">
        <v>42</v>
      </c>
      <c r="E139" t="s">
        <v>83</v>
      </c>
      <c r="F139">
        <v>7</v>
      </c>
      <c r="G139">
        <v>254.89</v>
      </c>
      <c r="H139" t="s">
        <v>44</v>
      </c>
      <c r="I139" t="s">
        <v>84</v>
      </c>
      <c r="J139" t="s">
        <v>55</v>
      </c>
      <c r="K139" t="s">
        <v>78</v>
      </c>
      <c r="L139" t="s">
        <v>39</v>
      </c>
      <c r="M139" t="s">
        <v>79</v>
      </c>
      <c r="N139">
        <v>1784.23</v>
      </c>
    </row>
    <row r="140" spans="1:14" x14ac:dyDescent="0.35">
      <c r="A140" s="2">
        <v>44956</v>
      </c>
      <c r="B140" t="s">
        <v>108</v>
      </c>
      <c r="C140" t="s">
        <v>41</v>
      </c>
      <c r="D140" t="s">
        <v>52</v>
      </c>
      <c r="E140" t="s">
        <v>43</v>
      </c>
      <c r="F140">
        <v>9</v>
      </c>
      <c r="G140">
        <v>102.38</v>
      </c>
      <c r="H140" t="s">
        <v>24</v>
      </c>
      <c r="I140" t="s">
        <v>109</v>
      </c>
      <c r="J140" t="s">
        <v>26</v>
      </c>
      <c r="K140" t="s">
        <v>38</v>
      </c>
      <c r="L140" t="s">
        <v>39</v>
      </c>
      <c r="M140" t="s">
        <v>29</v>
      </c>
      <c r="N140">
        <v>921.42</v>
      </c>
    </row>
    <row r="141" spans="1:14" x14ac:dyDescent="0.35">
      <c r="A141" s="2">
        <v>45332</v>
      </c>
      <c r="B141" t="s">
        <v>603</v>
      </c>
      <c r="C141" t="s">
        <v>51</v>
      </c>
      <c r="D141" t="s">
        <v>33</v>
      </c>
      <c r="E141" t="s">
        <v>83</v>
      </c>
      <c r="F141">
        <v>10</v>
      </c>
      <c r="G141">
        <v>380.63</v>
      </c>
      <c r="H141" t="s">
        <v>44</v>
      </c>
      <c r="I141" t="s">
        <v>604</v>
      </c>
      <c r="J141" t="s">
        <v>37</v>
      </c>
      <c r="K141" t="s">
        <v>78</v>
      </c>
      <c r="L141" t="s">
        <v>66</v>
      </c>
      <c r="M141" t="s">
        <v>79</v>
      </c>
      <c r="N141">
        <v>3806.3</v>
      </c>
    </row>
    <row r="142" spans="1:14" x14ac:dyDescent="0.35">
      <c r="A142" s="2">
        <v>45347</v>
      </c>
      <c r="B142" t="s">
        <v>409</v>
      </c>
      <c r="C142" t="s">
        <v>41</v>
      </c>
      <c r="D142" t="s">
        <v>22</v>
      </c>
      <c r="E142" t="s">
        <v>23</v>
      </c>
      <c r="F142">
        <v>5</v>
      </c>
      <c r="G142">
        <v>252.42</v>
      </c>
      <c r="H142" t="s">
        <v>64</v>
      </c>
      <c r="I142" t="s">
        <v>631</v>
      </c>
      <c r="J142" t="s">
        <v>94</v>
      </c>
      <c r="K142" t="s">
        <v>38</v>
      </c>
      <c r="L142" t="s">
        <v>39</v>
      </c>
      <c r="M142" t="s">
        <v>101</v>
      </c>
      <c r="N142">
        <v>1262.0999999999999</v>
      </c>
    </row>
    <row r="143" spans="1:14" x14ac:dyDescent="0.35">
      <c r="A143" s="2">
        <v>45487</v>
      </c>
      <c r="B143" t="s">
        <v>222</v>
      </c>
      <c r="C143" t="s">
        <v>81</v>
      </c>
      <c r="D143" t="s">
        <v>33</v>
      </c>
      <c r="E143" t="s">
        <v>43</v>
      </c>
      <c r="F143">
        <v>3</v>
      </c>
      <c r="G143">
        <v>207.33</v>
      </c>
      <c r="H143" t="s">
        <v>24</v>
      </c>
      <c r="I143" t="s">
        <v>774</v>
      </c>
      <c r="J143" t="s">
        <v>97</v>
      </c>
      <c r="K143" t="s">
        <v>27</v>
      </c>
      <c r="L143" t="s">
        <v>28</v>
      </c>
      <c r="M143" t="s">
        <v>101</v>
      </c>
      <c r="N143">
        <v>621.99</v>
      </c>
    </row>
    <row r="144" spans="1:14" x14ac:dyDescent="0.35">
      <c r="A144" s="2">
        <v>45367</v>
      </c>
      <c r="B144" t="s">
        <v>160</v>
      </c>
      <c r="C144" t="s">
        <v>81</v>
      </c>
      <c r="D144" t="s">
        <v>22</v>
      </c>
      <c r="E144" t="s">
        <v>34</v>
      </c>
      <c r="F144">
        <v>3</v>
      </c>
      <c r="G144">
        <v>269.43</v>
      </c>
      <c r="H144" t="s">
        <v>44</v>
      </c>
      <c r="I144" t="s">
        <v>655</v>
      </c>
      <c r="J144" t="s">
        <v>26</v>
      </c>
      <c r="K144" t="s">
        <v>60</v>
      </c>
      <c r="L144" t="s">
        <v>39</v>
      </c>
      <c r="M144" t="s">
        <v>79</v>
      </c>
      <c r="N144">
        <v>808.29</v>
      </c>
    </row>
    <row r="145" spans="1:14" x14ac:dyDescent="0.35">
      <c r="A145" s="2">
        <v>45642</v>
      </c>
      <c r="B145" t="s">
        <v>743</v>
      </c>
      <c r="C145" t="s">
        <v>86</v>
      </c>
      <c r="D145" t="s">
        <v>42</v>
      </c>
      <c r="E145" t="s">
        <v>63</v>
      </c>
      <c r="F145">
        <v>1</v>
      </c>
      <c r="G145">
        <v>366.47</v>
      </c>
      <c r="H145" t="s">
        <v>58</v>
      </c>
      <c r="I145" t="s">
        <v>951</v>
      </c>
      <c r="J145" t="s">
        <v>37</v>
      </c>
      <c r="K145" t="s">
        <v>38</v>
      </c>
      <c r="L145" t="s">
        <v>39</v>
      </c>
      <c r="M145" t="s">
        <v>29</v>
      </c>
      <c r="N145">
        <v>366.47</v>
      </c>
    </row>
    <row r="146" spans="1:14" x14ac:dyDescent="0.35">
      <c r="A146" s="2">
        <v>45360</v>
      </c>
      <c r="B146" t="s">
        <v>648</v>
      </c>
      <c r="C146" t="s">
        <v>51</v>
      </c>
      <c r="D146" t="s">
        <v>52</v>
      </c>
      <c r="E146" t="s">
        <v>43</v>
      </c>
      <c r="F146">
        <v>3</v>
      </c>
      <c r="G146">
        <v>180.96</v>
      </c>
      <c r="H146" t="s">
        <v>44</v>
      </c>
      <c r="I146" t="s">
        <v>649</v>
      </c>
      <c r="J146" t="s">
        <v>55</v>
      </c>
      <c r="K146" t="s">
        <v>78</v>
      </c>
      <c r="L146" t="s">
        <v>66</v>
      </c>
      <c r="M146" t="s">
        <v>79</v>
      </c>
      <c r="N146">
        <v>542.88</v>
      </c>
    </row>
    <row r="147" spans="1:14" x14ac:dyDescent="0.35">
      <c r="A147" s="2">
        <v>45290</v>
      </c>
      <c r="B147" t="s">
        <v>564</v>
      </c>
      <c r="C147" t="s">
        <v>51</v>
      </c>
      <c r="D147" t="s">
        <v>42</v>
      </c>
      <c r="E147" t="s">
        <v>34</v>
      </c>
      <c r="F147">
        <v>4</v>
      </c>
      <c r="G147">
        <v>67.39</v>
      </c>
      <c r="H147" t="s">
        <v>35</v>
      </c>
      <c r="I147" t="s">
        <v>565</v>
      </c>
      <c r="J147" t="s">
        <v>94</v>
      </c>
      <c r="K147" t="s">
        <v>78</v>
      </c>
      <c r="L147" t="s">
        <v>66</v>
      </c>
      <c r="M147" t="s">
        <v>79</v>
      </c>
      <c r="N147">
        <v>269.56</v>
      </c>
    </row>
    <row r="148" spans="1:14" x14ac:dyDescent="0.35">
      <c r="A148" s="2">
        <v>45606</v>
      </c>
      <c r="B148" t="s">
        <v>912</v>
      </c>
      <c r="C148" t="s">
        <v>106</v>
      </c>
      <c r="D148" t="s">
        <v>42</v>
      </c>
      <c r="E148" t="s">
        <v>92</v>
      </c>
      <c r="F148">
        <v>4</v>
      </c>
      <c r="G148">
        <v>312.88</v>
      </c>
      <c r="H148" t="s">
        <v>58</v>
      </c>
      <c r="I148" t="s">
        <v>913</v>
      </c>
      <c r="J148" t="s">
        <v>94</v>
      </c>
      <c r="K148" t="s">
        <v>27</v>
      </c>
      <c r="L148" t="s">
        <v>39</v>
      </c>
      <c r="M148" t="s">
        <v>101</v>
      </c>
      <c r="N148">
        <v>1251.52</v>
      </c>
    </row>
    <row r="149" spans="1:14" x14ac:dyDescent="0.35">
      <c r="A149" s="2">
        <v>45107</v>
      </c>
      <c r="B149" t="s">
        <v>137</v>
      </c>
      <c r="C149" t="s">
        <v>41</v>
      </c>
      <c r="D149" t="s">
        <v>33</v>
      </c>
      <c r="E149" t="s">
        <v>53</v>
      </c>
      <c r="F149">
        <v>10</v>
      </c>
      <c r="G149">
        <v>312.51</v>
      </c>
      <c r="H149" t="s">
        <v>24</v>
      </c>
      <c r="I149" t="s">
        <v>362</v>
      </c>
      <c r="J149" t="s">
        <v>94</v>
      </c>
      <c r="K149" t="s">
        <v>78</v>
      </c>
      <c r="L149" t="s">
        <v>28</v>
      </c>
      <c r="M149" t="s">
        <v>61</v>
      </c>
      <c r="N149">
        <v>3125.1</v>
      </c>
    </row>
    <row r="150" spans="1:14" x14ac:dyDescent="0.35">
      <c r="A150" s="2">
        <v>45041</v>
      </c>
      <c r="B150" t="s">
        <v>259</v>
      </c>
      <c r="C150" t="s">
        <v>71</v>
      </c>
      <c r="D150" t="s">
        <v>42</v>
      </c>
      <c r="E150" t="s">
        <v>83</v>
      </c>
      <c r="F150">
        <v>6</v>
      </c>
      <c r="G150">
        <v>67.61</v>
      </c>
      <c r="H150" t="s">
        <v>35</v>
      </c>
      <c r="I150" t="s">
        <v>260</v>
      </c>
      <c r="J150" t="s">
        <v>55</v>
      </c>
      <c r="K150" t="s">
        <v>60</v>
      </c>
      <c r="L150" t="s">
        <v>28</v>
      </c>
      <c r="M150" t="s">
        <v>49</v>
      </c>
      <c r="N150">
        <v>405.66</v>
      </c>
    </row>
    <row r="151" spans="1:14" x14ac:dyDescent="0.35">
      <c r="A151" s="2">
        <v>45341</v>
      </c>
      <c r="B151" t="s">
        <v>261</v>
      </c>
      <c r="C151" t="s">
        <v>21</v>
      </c>
      <c r="D151" t="s">
        <v>33</v>
      </c>
      <c r="E151" t="s">
        <v>92</v>
      </c>
      <c r="F151">
        <v>6</v>
      </c>
      <c r="G151">
        <v>58.92</v>
      </c>
      <c r="H151" t="s">
        <v>44</v>
      </c>
      <c r="I151" t="s">
        <v>620</v>
      </c>
      <c r="J151" t="s">
        <v>26</v>
      </c>
      <c r="K151" t="s">
        <v>78</v>
      </c>
      <c r="L151" t="s">
        <v>39</v>
      </c>
      <c r="M151" t="s">
        <v>29</v>
      </c>
      <c r="N151">
        <v>353.52</v>
      </c>
    </row>
    <row r="152" spans="1:14" x14ac:dyDescent="0.35">
      <c r="A152" s="2">
        <v>45624</v>
      </c>
      <c r="B152" t="s">
        <v>448</v>
      </c>
      <c r="C152" t="s">
        <v>106</v>
      </c>
      <c r="D152" t="s">
        <v>33</v>
      </c>
      <c r="E152" t="s">
        <v>92</v>
      </c>
      <c r="F152">
        <v>7</v>
      </c>
      <c r="G152">
        <v>230.74</v>
      </c>
      <c r="H152" t="s">
        <v>24</v>
      </c>
      <c r="I152" t="s">
        <v>932</v>
      </c>
      <c r="J152" t="s">
        <v>26</v>
      </c>
      <c r="K152" t="s">
        <v>60</v>
      </c>
      <c r="L152" t="s">
        <v>66</v>
      </c>
      <c r="M152" t="s">
        <v>56</v>
      </c>
      <c r="N152">
        <v>1615.18</v>
      </c>
    </row>
    <row r="153" spans="1:14" x14ac:dyDescent="0.35">
      <c r="A153" s="2">
        <v>45515</v>
      </c>
      <c r="B153" t="s">
        <v>819</v>
      </c>
      <c r="C153" t="s">
        <v>47</v>
      </c>
      <c r="D153" t="s">
        <v>52</v>
      </c>
      <c r="E153" t="s">
        <v>43</v>
      </c>
      <c r="F153">
        <v>10</v>
      </c>
      <c r="G153">
        <v>19.489999999999998</v>
      </c>
      <c r="H153" t="s">
        <v>58</v>
      </c>
      <c r="I153" t="s">
        <v>820</v>
      </c>
      <c r="J153" t="s">
        <v>26</v>
      </c>
      <c r="K153" t="s">
        <v>78</v>
      </c>
      <c r="L153" t="s">
        <v>66</v>
      </c>
      <c r="M153" t="s">
        <v>101</v>
      </c>
      <c r="N153">
        <v>194.9</v>
      </c>
    </row>
    <row r="154" spans="1:14" x14ac:dyDescent="0.35">
      <c r="A154" s="2">
        <v>45208</v>
      </c>
      <c r="B154" t="s">
        <v>313</v>
      </c>
      <c r="C154" t="s">
        <v>41</v>
      </c>
      <c r="D154" t="s">
        <v>33</v>
      </c>
      <c r="E154" t="s">
        <v>83</v>
      </c>
      <c r="F154">
        <v>2</v>
      </c>
      <c r="G154">
        <v>373.03</v>
      </c>
      <c r="H154" t="s">
        <v>35</v>
      </c>
      <c r="I154" t="s">
        <v>463</v>
      </c>
      <c r="J154" t="s">
        <v>37</v>
      </c>
      <c r="K154" t="s">
        <v>60</v>
      </c>
      <c r="L154" t="s">
        <v>66</v>
      </c>
      <c r="M154" t="s">
        <v>29</v>
      </c>
      <c r="N154">
        <v>746.06</v>
      </c>
    </row>
    <row r="155" spans="1:14" x14ac:dyDescent="0.35">
      <c r="A155" s="2">
        <v>45327</v>
      </c>
      <c r="B155" t="s">
        <v>598</v>
      </c>
      <c r="C155" t="s">
        <v>74</v>
      </c>
      <c r="D155" t="s">
        <v>52</v>
      </c>
      <c r="E155" t="s">
        <v>92</v>
      </c>
      <c r="F155">
        <v>6</v>
      </c>
      <c r="G155">
        <v>338.2</v>
      </c>
      <c r="H155" t="s">
        <v>44</v>
      </c>
      <c r="I155" t="s">
        <v>599</v>
      </c>
      <c r="J155" t="s">
        <v>37</v>
      </c>
      <c r="K155" t="s">
        <v>78</v>
      </c>
      <c r="L155" t="s">
        <v>39</v>
      </c>
      <c r="M155" t="s">
        <v>29</v>
      </c>
      <c r="N155">
        <v>2029.2</v>
      </c>
    </row>
    <row r="156" spans="1:14" x14ac:dyDescent="0.35">
      <c r="A156" s="2">
        <v>45613</v>
      </c>
      <c r="B156" t="s">
        <v>915</v>
      </c>
      <c r="C156" t="s">
        <v>74</v>
      </c>
      <c r="D156" t="s">
        <v>52</v>
      </c>
      <c r="E156" t="s">
        <v>43</v>
      </c>
      <c r="F156">
        <v>1</v>
      </c>
      <c r="G156">
        <v>8.0500000000000007</v>
      </c>
      <c r="H156" t="s">
        <v>24</v>
      </c>
      <c r="I156" t="s">
        <v>916</v>
      </c>
      <c r="J156" t="s">
        <v>26</v>
      </c>
      <c r="K156" t="s">
        <v>60</v>
      </c>
      <c r="L156" t="s">
        <v>39</v>
      </c>
      <c r="M156" t="s">
        <v>101</v>
      </c>
      <c r="N156">
        <v>8.0500000000000007</v>
      </c>
    </row>
    <row r="157" spans="1:14" x14ac:dyDescent="0.35">
      <c r="A157" s="2">
        <v>45261</v>
      </c>
      <c r="B157" t="s">
        <v>527</v>
      </c>
      <c r="C157" t="s">
        <v>81</v>
      </c>
      <c r="D157" t="s">
        <v>33</v>
      </c>
      <c r="E157" t="s">
        <v>83</v>
      </c>
      <c r="F157">
        <v>4</v>
      </c>
      <c r="G157">
        <v>310.75</v>
      </c>
      <c r="H157" t="s">
        <v>24</v>
      </c>
      <c r="I157" t="s">
        <v>528</v>
      </c>
      <c r="J157" t="s">
        <v>97</v>
      </c>
      <c r="K157" t="s">
        <v>38</v>
      </c>
      <c r="L157" t="s">
        <v>66</v>
      </c>
      <c r="M157" t="s">
        <v>61</v>
      </c>
      <c r="N157">
        <v>1243</v>
      </c>
    </row>
    <row r="158" spans="1:14" x14ac:dyDescent="0.35">
      <c r="A158" s="2">
        <v>45394</v>
      </c>
      <c r="B158" t="s">
        <v>586</v>
      </c>
      <c r="C158" t="s">
        <v>51</v>
      </c>
      <c r="D158" t="s">
        <v>42</v>
      </c>
      <c r="E158" t="s">
        <v>34</v>
      </c>
      <c r="F158">
        <v>3</v>
      </c>
      <c r="G158">
        <v>76.92</v>
      </c>
      <c r="H158" t="s">
        <v>24</v>
      </c>
      <c r="I158" t="s">
        <v>683</v>
      </c>
      <c r="J158" t="s">
        <v>55</v>
      </c>
      <c r="K158" t="s">
        <v>38</v>
      </c>
      <c r="L158" t="s">
        <v>28</v>
      </c>
      <c r="M158" t="s">
        <v>61</v>
      </c>
      <c r="N158">
        <v>230.76</v>
      </c>
    </row>
    <row r="159" spans="1:14" x14ac:dyDescent="0.35">
      <c r="A159" s="2">
        <v>45504</v>
      </c>
      <c r="B159" t="s">
        <v>406</v>
      </c>
      <c r="C159" t="s">
        <v>89</v>
      </c>
      <c r="D159" t="s">
        <v>52</v>
      </c>
      <c r="E159" t="s">
        <v>34</v>
      </c>
      <c r="F159">
        <v>10</v>
      </c>
      <c r="G159">
        <v>33.46</v>
      </c>
      <c r="H159" t="s">
        <v>44</v>
      </c>
      <c r="I159" t="s">
        <v>801</v>
      </c>
      <c r="J159" t="s">
        <v>55</v>
      </c>
      <c r="K159" t="s">
        <v>60</v>
      </c>
      <c r="L159" t="s">
        <v>28</v>
      </c>
      <c r="M159" t="s">
        <v>67</v>
      </c>
      <c r="N159">
        <v>334.6</v>
      </c>
    </row>
    <row r="160" spans="1:14" x14ac:dyDescent="0.35">
      <c r="A160" s="2">
        <v>45816</v>
      </c>
      <c r="B160" t="s">
        <v>1080</v>
      </c>
      <c r="C160" t="s">
        <v>47</v>
      </c>
      <c r="D160" t="s">
        <v>22</v>
      </c>
      <c r="E160" t="s">
        <v>53</v>
      </c>
      <c r="F160">
        <v>10</v>
      </c>
      <c r="G160">
        <v>27.94</v>
      </c>
      <c r="H160" t="s">
        <v>64</v>
      </c>
      <c r="I160" t="s">
        <v>1081</v>
      </c>
      <c r="J160" t="s">
        <v>97</v>
      </c>
      <c r="K160" t="s">
        <v>27</v>
      </c>
      <c r="L160" t="s">
        <v>66</v>
      </c>
      <c r="M160" t="s">
        <v>101</v>
      </c>
      <c r="N160">
        <v>279.39999999999998</v>
      </c>
    </row>
    <row r="161" spans="1:14" x14ac:dyDescent="0.35">
      <c r="A161" s="2">
        <v>45021</v>
      </c>
      <c r="B161" t="s">
        <v>224</v>
      </c>
      <c r="C161" t="s">
        <v>51</v>
      </c>
      <c r="D161" t="s">
        <v>42</v>
      </c>
      <c r="E161" t="s">
        <v>43</v>
      </c>
      <c r="F161">
        <v>1</v>
      </c>
      <c r="G161">
        <v>35.840000000000003</v>
      </c>
      <c r="H161" t="s">
        <v>64</v>
      </c>
      <c r="I161" t="s">
        <v>225</v>
      </c>
      <c r="J161" t="s">
        <v>97</v>
      </c>
      <c r="K161" t="s">
        <v>78</v>
      </c>
      <c r="L161" t="s">
        <v>39</v>
      </c>
      <c r="M161" t="s">
        <v>67</v>
      </c>
      <c r="N161">
        <v>35.840000000000003</v>
      </c>
    </row>
    <row r="162" spans="1:14" x14ac:dyDescent="0.35">
      <c r="A162" s="2">
        <v>45054</v>
      </c>
      <c r="B162" t="s">
        <v>277</v>
      </c>
      <c r="C162" t="s">
        <v>74</v>
      </c>
      <c r="D162" t="s">
        <v>22</v>
      </c>
      <c r="E162" t="s">
        <v>23</v>
      </c>
      <c r="F162">
        <v>5</v>
      </c>
      <c r="G162">
        <v>326.64999999999998</v>
      </c>
      <c r="H162" t="s">
        <v>58</v>
      </c>
      <c r="I162" t="s">
        <v>278</v>
      </c>
      <c r="J162" t="s">
        <v>37</v>
      </c>
      <c r="K162" t="s">
        <v>38</v>
      </c>
      <c r="L162" t="s">
        <v>66</v>
      </c>
      <c r="M162" t="s">
        <v>29</v>
      </c>
      <c r="N162">
        <v>1633.25</v>
      </c>
    </row>
    <row r="163" spans="1:14" x14ac:dyDescent="0.35">
      <c r="A163" s="2">
        <v>45321</v>
      </c>
      <c r="B163" t="s">
        <v>200</v>
      </c>
      <c r="C163" t="s">
        <v>89</v>
      </c>
      <c r="D163" t="s">
        <v>22</v>
      </c>
      <c r="E163" t="s">
        <v>23</v>
      </c>
      <c r="F163">
        <v>7</v>
      </c>
      <c r="G163">
        <v>300.35000000000002</v>
      </c>
      <c r="H163" t="s">
        <v>58</v>
      </c>
      <c r="I163" t="s">
        <v>592</v>
      </c>
      <c r="J163" t="s">
        <v>94</v>
      </c>
      <c r="K163" t="s">
        <v>38</v>
      </c>
      <c r="L163" t="s">
        <v>28</v>
      </c>
      <c r="M163" t="s">
        <v>49</v>
      </c>
      <c r="N163">
        <v>2102.4499999999998</v>
      </c>
    </row>
    <row r="164" spans="1:14" x14ac:dyDescent="0.35">
      <c r="A164" s="2">
        <v>45800</v>
      </c>
      <c r="B164" t="s">
        <v>174</v>
      </c>
      <c r="C164" t="s">
        <v>74</v>
      </c>
      <c r="D164" t="s">
        <v>52</v>
      </c>
      <c r="E164" t="s">
        <v>83</v>
      </c>
      <c r="F164">
        <v>4</v>
      </c>
      <c r="G164">
        <v>368.51</v>
      </c>
      <c r="H164" t="s">
        <v>35</v>
      </c>
      <c r="I164" t="s">
        <v>1066</v>
      </c>
      <c r="J164" t="s">
        <v>55</v>
      </c>
      <c r="K164" t="s">
        <v>78</v>
      </c>
      <c r="L164" t="s">
        <v>28</v>
      </c>
      <c r="M164" t="s">
        <v>61</v>
      </c>
      <c r="N164">
        <v>1474.04</v>
      </c>
    </row>
    <row r="165" spans="1:14" x14ac:dyDescent="0.35">
      <c r="A165" s="2">
        <v>44950</v>
      </c>
      <c r="B165" t="s">
        <v>88</v>
      </c>
      <c r="C165" t="s">
        <v>89</v>
      </c>
      <c r="D165" t="s">
        <v>33</v>
      </c>
      <c r="E165" t="s">
        <v>43</v>
      </c>
      <c r="F165">
        <v>5</v>
      </c>
      <c r="G165">
        <v>59.26</v>
      </c>
      <c r="H165" t="s">
        <v>24</v>
      </c>
      <c r="I165" t="s">
        <v>90</v>
      </c>
      <c r="J165" t="s">
        <v>26</v>
      </c>
      <c r="K165" t="s">
        <v>78</v>
      </c>
      <c r="L165" t="s">
        <v>39</v>
      </c>
      <c r="M165" t="s">
        <v>49</v>
      </c>
      <c r="N165">
        <v>296.3</v>
      </c>
    </row>
    <row r="166" spans="1:14" x14ac:dyDescent="0.35">
      <c r="A166" s="2">
        <v>45677</v>
      </c>
      <c r="B166" t="s">
        <v>187</v>
      </c>
      <c r="C166" t="s">
        <v>86</v>
      </c>
      <c r="D166" t="s">
        <v>33</v>
      </c>
      <c r="E166" t="s">
        <v>83</v>
      </c>
      <c r="F166">
        <v>9</v>
      </c>
      <c r="G166">
        <v>55.64</v>
      </c>
      <c r="H166" t="s">
        <v>24</v>
      </c>
      <c r="I166" t="s">
        <v>980</v>
      </c>
      <c r="J166" t="s">
        <v>94</v>
      </c>
      <c r="K166" t="s">
        <v>60</v>
      </c>
      <c r="L166" t="s">
        <v>28</v>
      </c>
      <c r="M166" t="s">
        <v>29</v>
      </c>
      <c r="N166">
        <v>500.76</v>
      </c>
    </row>
    <row r="167" spans="1:14" x14ac:dyDescent="0.35">
      <c r="A167" s="2">
        <v>44957</v>
      </c>
      <c r="B167" t="s">
        <v>112</v>
      </c>
      <c r="C167" t="s">
        <v>47</v>
      </c>
      <c r="D167" t="s">
        <v>42</v>
      </c>
      <c r="E167" t="s">
        <v>34</v>
      </c>
      <c r="F167">
        <v>6</v>
      </c>
      <c r="G167">
        <v>129.21</v>
      </c>
      <c r="H167" t="s">
        <v>58</v>
      </c>
      <c r="I167" t="s">
        <v>113</v>
      </c>
      <c r="J167" t="s">
        <v>26</v>
      </c>
      <c r="K167" t="s">
        <v>78</v>
      </c>
      <c r="L167" t="s">
        <v>28</v>
      </c>
      <c r="M167" t="s">
        <v>49</v>
      </c>
      <c r="N167">
        <v>775.26</v>
      </c>
    </row>
    <row r="168" spans="1:14" x14ac:dyDescent="0.35">
      <c r="A168" s="2">
        <v>45509</v>
      </c>
      <c r="B168" t="s">
        <v>815</v>
      </c>
      <c r="C168" t="s">
        <v>89</v>
      </c>
      <c r="D168" t="s">
        <v>22</v>
      </c>
      <c r="E168" t="s">
        <v>34</v>
      </c>
      <c r="F168">
        <v>4</v>
      </c>
      <c r="G168">
        <v>162.22999999999999</v>
      </c>
      <c r="H168" t="s">
        <v>44</v>
      </c>
      <c r="I168" t="s">
        <v>816</v>
      </c>
      <c r="J168" t="s">
        <v>26</v>
      </c>
      <c r="K168" t="s">
        <v>78</v>
      </c>
      <c r="L168" t="s">
        <v>39</v>
      </c>
      <c r="M168" t="s">
        <v>29</v>
      </c>
      <c r="N168">
        <v>648.91999999999996</v>
      </c>
    </row>
    <row r="169" spans="1:14" x14ac:dyDescent="0.35">
      <c r="A169" s="2">
        <v>45549</v>
      </c>
      <c r="B169" t="s">
        <v>847</v>
      </c>
      <c r="C169" t="s">
        <v>74</v>
      </c>
      <c r="D169" t="s">
        <v>42</v>
      </c>
      <c r="E169" t="s">
        <v>43</v>
      </c>
      <c r="F169">
        <v>9</v>
      </c>
      <c r="G169">
        <v>146.65</v>
      </c>
      <c r="H169" t="s">
        <v>64</v>
      </c>
      <c r="I169" t="s">
        <v>848</v>
      </c>
      <c r="J169" t="s">
        <v>37</v>
      </c>
      <c r="K169" t="s">
        <v>27</v>
      </c>
      <c r="L169" t="s">
        <v>66</v>
      </c>
      <c r="M169" t="s">
        <v>79</v>
      </c>
      <c r="N169">
        <v>1319.85</v>
      </c>
    </row>
    <row r="170" spans="1:14" x14ac:dyDescent="0.35">
      <c r="A170" s="2">
        <v>45500</v>
      </c>
      <c r="B170" t="s">
        <v>795</v>
      </c>
      <c r="C170" t="s">
        <v>41</v>
      </c>
      <c r="D170" t="s">
        <v>22</v>
      </c>
      <c r="E170" t="s">
        <v>34</v>
      </c>
      <c r="F170">
        <v>9</v>
      </c>
      <c r="G170">
        <v>77.17</v>
      </c>
      <c r="H170" t="s">
        <v>35</v>
      </c>
      <c r="I170" t="s">
        <v>796</v>
      </c>
      <c r="J170" t="s">
        <v>94</v>
      </c>
      <c r="K170" t="s">
        <v>38</v>
      </c>
      <c r="L170" t="s">
        <v>28</v>
      </c>
      <c r="M170" t="s">
        <v>79</v>
      </c>
      <c r="N170">
        <v>694.53</v>
      </c>
    </row>
    <row r="171" spans="1:14" x14ac:dyDescent="0.35">
      <c r="A171" s="2">
        <v>45070</v>
      </c>
      <c r="B171" t="s">
        <v>153</v>
      </c>
      <c r="C171" t="s">
        <v>47</v>
      </c>
      <c r="D171" t="s">
        <v>52</v>
      </c>
      <c r="E171" t="s">
        <v>23</v>
      </c>
      <c r="F171">
        <v>5</v>
      </c>
      <c r="G171">
        <v>216.28</v>
      </c>
      <c r="H171" t="s">
        <v>35</v>
      </c>
      <c r="I171" t="s">
        <v>302</v>
      </c>
      <c r="J171" t="s">
        <v>37</v>
      </c>
      <c r="K171" t="s">
        <v>78</v>
      </c>
      <c r="L171" t="s">
        <v>39</v>
      </c>
      <c r="M171" t="s">
        <v>67</v>
      </c>
      <c r="N171">
        <v>1081.4000000000001</v>
      </c>
    </row>
    <row r="172" spans="1:14" x14ac:dyDescent="0.35">
      <c r="A172" s="2">
        <v>44932</v>
      </c>
      <c r="B172" t="s">
        <v>57</v>
      </c>
      <c r="C172" t="s">
        <v>51</v>
      </c>
      <c r="D172" t="s">
        <v>42</v>
      </c>
      <c r="E172" t="s">
        <v>34</v>
      </c>
      <c r="F172">
        <v>3</v>
      </c>
      <c r="G172">
        <v>395.53</v>
      </c>
      <c r="H172" t="s">
        <v>58</v>
      </c>
      <c r="I172" t="s">
        <v>59</v>
      </c>
      <c r="J172" t="s">
        <v>55</v>
      </c>
      <c r="K172" t="s">
        <v>60</v>
      </c>
      <c r="L172" t="s">
        <v>28</v>
      </c>
      <c r="M172" t="s">
        <v>61</v>
      </c>
      <c r="N172">
        <v>1186.5899999999999</v>
      </c>
    </row>
    <row r="173" spans="1:14" x14ac:dyDescent="0.35">
      <c r="A173" s="2">
        <v>45508</v>
      </c>
      <c r="B173" t="s">
        <v>808</v>
      </c>
      <c r="C173" t="s">
        <v>51</v>
      </c>
      <c r="D173" t="s">
        <v>52</v>
      </c>
      <c r="E173" t="s">
        <v>63</v>
      </c>
      <c r="F173">
        <v>7</v>
      </c>
      <c r="G173">
        <v>30.8</v>
      </c>
      <c r="H173" t="s">
        <v>24</v>
      </c>
      <c r="I173" t="s">
        <v>814</v>
      </c>
      <c r="J173" t="s">
        <v>26</v>
      </c>
      <c r="K173" t="s">
        <v>38</v>
      </c>
      <c r="L173" t="s">
        <v>28</v>
      </c>
      <c r="M173" t="s">
        <v>101</v>
      </c>
      <c r="N173">
        <v>215.6</v>
      </c>
    </row>
    <row r="174" spans="1:14" x14ac:dyDescent="0.35">
      <c r="A174" s="2">
        <v>45190</v>
      </c>
      <c r="B174" t="s">
        <v>110</v>
      </c>
      <c r="C174" t="s">
        <v>86</v>
      </c>
      <c r="D174" t="s">
        <v>52</v>
      </c>
      <c r="E174" t="s">
        <v>83</v>
      </c>
      <c r="F174">
        <v>5</v>
      </c>
      <c r="G174">
        <v>181.86</v>
      </c>
      <c r="H174" t="s">
        <v>44</v>
      </c>
      <c r="I174" t="s">
        <v>445</v>
      </c>
      <c r="J174" t="s">
        <v>55</v>
      </c>
      <c r="K174" t="s">
        <v>60</v>
      </c>
      <c r="L174" t="s">
        <v>28</v>
      </c>
      <c r="M174" t="s">
        <v>56</v>
      </c>
      <c r="N174">
        <v>909.30000000000007</v>
      </c>
    </row>
    <row r="175" spans="1:14" x14ac:dyDescent="0.35">
      <c r="A175" s="2">
        <v>45417</v>
      </c>
      <c r="B175" t="s">
        <v>697</v>
      </c>
      <c r="C175" t="s">
        <v>41</v>
      </c>
      <c r="D175" t="s">
        <v>33</v>
      </c>
      <c r="E175" t="s">
        <v>23</v>
      </c>
      <c r="F175">
        <v>6</v>
      </c>
      <c r="G175">
        <v>113.53</v>
      </c>
      <c r="H175" t="s">
        <v>35</v>
      </c>
      <c r="I175" t="s">
        <v>698</v>
      </c>
      <c r="J175" t="s">
        <v>55</v>
      </c>
      <c r="K175" t="s">
        <v>27</v>
      </c>
      <c r="L175" t="s">
        <v>66</v>
      </c>
      <c r="M175" t="s">
        <v>101</v>
      </c>
      <c r="N175">
        <v>681.18000000000006</v>
      </c>
    </row>
    <row r="176" spans="1:14" x14ac:dyDescent="0.35">
      <c r="A176" s="2">
        <v>45237</v>
      </c>
      <c r="B176" t="s">
        <v>501</v>
      </c>
      <c r="C176" t="s">
        <v>106</v>
      </c>
      <c r="D176" t="s">
        <v>22</v>
      </c>
      <c r="E176" t="s">
        <v>83</v>
      </c>
      <c r="F176">
        <v>10</v>
      </c>
      <c r="G176">
        <v>215.64</v>
      </c>
      <c r="H176" t="s">
        <v>24</v>
      </c>
      <c r="I176" t="s">
        <v>502</v>
      </c>
      <c r="J176" t="s">
        <v>97</v>
      </c>
      <c r="K176" t="s">
        <v>60</v>
      </c>
      <c r="L176" t="s">
        <v>28</v>
      </c>
      <c r="M176" t="s">
        <v>49</v>
      </c>
      <c r="N176">
        <v>2156.4</v>
      </c>
    </row>
    <row r="177" spans="1:14" x14ac:dyDescent="0.35">
      <c r="A177" s="2">
        <v>45258</v>
      </c>
      <c r="B177" t="s">
        <v>332</v>
      </c>
      <c r="C177" t="s">
        <v>74</v>
      </c>
      <c r="D177" t="s">
        <v>22</v>
      </c>
      <c r="E177" t="s">
        <v>23</v>
      </c>
      <c r="F177">
        <v>9</v>
      </c>
      <c r="G177">
        <v>398.75</v>
      </c>
      <c r="H177" t="s">
        <v>44</v>
      </c>
      <c r="I177" t="s">
        <v>522</v>
      </c>
      <c r="J177" t="s">
        <v>55</v>
      </c>
      <c r="K177" t="s">
        <v>78</v>
      </c>
      <c r="L177" t="s">
        <v>28</v>
      </c>
      <c r="M177" t="s">
        <v>49</v>
      </c>
      <c r="N177">
        <v>3588.75</v>
      </c>
    </row>
    <row r="178" spans="1:14" x14ac:dyDescent="0.35">
      <c r="A178" s="2">
        <v>45487</v>
      </c>
      <c r="B178" t="s">
        <v>775</v>
      </c>
      <c r="C178" t="s">
        <v>71</v>
      </c>
      <c r="D178" t="s">
        <v>52</v>
      </c>
      <c r="E178" t="s">
        <v>92</v>
      </c>
      <c r="F178">
        <v>7</v>
      </c>
      <c r="G178">
        <v>148.13999999999999</v>
      </c>
      <c r="H178" t="s">
        <v>24</v>
      </c>
      <c r="I178" t="s">
        <v>776</v>
      </c>
      <c r="J178" t="s">
        <v>26</v>
      </c>
      <c r="K178" t="s">
        <v>27</v>
      </c>
      <c r="L178" t="s">
        <v>39</v>
      </c>
      <c r="M178" t="s">
        <v>101</v>
      </c>
      <c r="N178">
        <v>1036.98</v>
      </c>
    </row>
    <row r="179" spans="1:14" x14ac:dyDescent="0.35">
      <c r="A179" s="2">
        <v>44965</v>
      </c>
      <c r="B179" t="s">
        <v>125</v>
      </c>
      <c r="C179" t="s">
        <v>47</v>
      </c>
      <c r="D179" t="s">
        <v>22</v>
      </c>
      <c r="E179" t="s">
        <v>53</v>
      </c>
      <c r="F179">
        <v>7</v>
      </c>
      <c r="G179">
        <v>258.69</v>
      </c>
      <c r="H179" t="s">
        <v>58</v>
      </c>
      <c r="I179" t="s">
        <v>126</v>
      </c>
      <c r="J179" t="s">
        <v>97</v>
      </c>
      <c r="K179" t="s">
        <v>60</v>
      </c>
      <c r="L179" t="s">
        <v>39</v>
      </c>
      <c r="M179" t="s">
        <v>67</v>
      </c>
      <c r="N179">
        <v>1810.83</v>
      </c>
    </row>
    <row r="180" spans="1:14" x14ac:dyDescent="0.35">
      <c r="A180" s="2">
        <v>45125</v>
      </c>
      <c r="B180" t="s">
        <v>380</v>
      </c>
      <c r="C180" t="s">
        <v>71</v>
      </c>
      <c r="D180" t="s">
        <v>52</v>
      </c>
      <c r="E180" t="s">
        <v>23</v>
      </c>
      <c r="F180">
        <v>7</v>
      </c>
      <c r="G180">
        <v>114.76</v>
      </c>
      <c r="H180" t="s">
        <v>24</v>
      </c>
      <c r="I180" t="s">
        <v>381</v>
      </c>
      <c r="J180" t="s">
        <v>55</v>
      </c>
      <c r="K180" t="s">
        <v>38</v>
      </c>
      <c r="L180" t="s">
        <v>66</v>
      </c>
      <c r="M180" t="s">
        <v>49</v>
      </c>
      <c r="N180">
        <v>803.32</v>
      </c>
    </row>
    <row r="181" spans="1:14" x14ac:dyDescent="0.35">
      <c r="A181" s="2">
        <v>45073</v>
      </c>
      <c r="B181" t="s">
        <v>307</v>
      </c>
      <c r="C181" t="s">
        <v>74</v>
      </c>
      <c r="D181" t="s">
        <v>42</v>
      </c>
      <c r="E181" t="s">
        <v>34</v>
      </c>
      <c r="F181">
        <v>3</v>
      </c>
      <c r="G181">
        <v>58.45</v>
      </c>
      <c r="H181" t="s">
        <v>64</v>
      </c>
      <c r="I181" t="s">
        <v>308</v>
      </c>
      <c r="J181" t="s">
        <v>94</v>
      </c>
      <c r="K181" t="s">
        <v>78</v>
      </c>
      <c r="L181" t="s">
        <v>39</v>
      </c>
      <c r="M181" t="s">
        <v>79</v>
      </c>
      <c r="N181">
        <v>175.35</v>
      </c>
    </row>
    <row r="182" spans="1:14" x14ac:dyDescent="0.35">
      <c r="A182" s="2">
        <v>45061</v>
      </c>
      <c r="B182" t="s">
        <v>285</v>
      </c>
      <c r="C182" t="s">
        <v>51</v>
      </c>
      <c r="D182" t="s">
        <v>33</v>
      </c>
      <c r="E182" t="s">
        <v>23</v>
      </c>
      <c r="F182">
        <v>10</v>
      </c>
      <c r="G182">
        <v>238.87</v>
      </c>
      <c r="H182" t="s">
        <v>24</v>
      </c>
      <c r="I182" t="s">
        <v>286</v>
      </c>
      <c r="J182" t="s">
        <v>94</v>
      </c>
      <c r="K182" t="s">
        <v>38</v>
      </c>
      <c r="L182" t="s">
        <v>28</v>
      </c>
      <c r="M182" t="s">
        <v>29</v>
      </c>
      <c r="N182">
        <v>2388.6999999999998</v>
      </c>
    </row>
    <row r="183" spans="1:14" x14ac:dyDescent="0.35">
      <c r="A183" s="2">
        <v>45824</v>
      </c>
      <c r="B183" t="s">
        <v>503</v>
      </c>
      <c r="C183" t="s">
        <v>21</v>
      </c>
      <c r="D183" t="s">
        <v>33</v>
      </c>
      <c r="E183" t="s">
        <v>92</v>
      </c>
      <c r="F183">
        <v>9</v>
      </c>
      <c r="G183">
        <v>222.61</v>
      </c>
      <c r="H183" t="s">
        <v>35</v>
      </c>
      <c r="I183" t="s">
        <v>1096</v>
      </c>
      <c r="J183" t="s">
        <v>97</v>
      </c>
      <c r="K183" t="s">
        <v>38</v>
      </c>
      <c r="L183" t="s">
        <v>28</v>
      </c>
      <c r="M183" t="s">
        <v>29</v>
      </c>
      <c r="N183">
        <v>2003.49</v>
      </c>
    </row>
    <row r="184" spans="1:14" x14ac:dyDescent="0.35">
      <c r="A184" s="2">
        <v>45594</v>
      </c>
      <c r="B184" t="s">
        <v>893</v>
      </c>
      <c r="C184" t="s">
        <v>21</v>
      </c>
      <c r="D184" t="s">
        <v>52</v>
      </c>
      <c r="E184" t="s">
        <v>53</v>
      </c>
      <c r="F184">
        <v>6</v>
      </c>
      <c r="G184">
        <v>154.88999999999999</v>
      </c>
      <c r="H184" t="s">
        <v>24</v>
      </c>
      <c r="I184" t="s">
        <v>894</v>
      </c>
      <c r="J184" t="s">
        <v>37</v>
      </c>
      <c r="K184" t="s">
        <v>78</v>
      </c>
      <c r="L184" t="s">
        <v>66</v>
      </c>
      <c r="M184" t="s">
        <v>49</v>
      </c>
      <c r="N184">
        <v>929.33999999999992</v>
      </c>
    </row>
    <row r="185" spans="1:14" x14ac:dyDescent="0.35">
      <c r="A185" s="2">
        <v>45296</v>
      </c>
      <c r="B185" t="s">
        <v>575</v>
      </c>
      <c r="C185" t="s">
        <v>41</v>
      </c>
      <c r="D185" t="s">
        <v>33</v>
      </c>
      <c r="E185" t="s">
        <v>83</v>
      </c>
      <c r="F185">
        <v>6</v>
      </c>
      <c r="G185">
        <v>397.85</v>
      </c>
      <c r="H185" t="s">
        <v>35</v>
      </c>
      <c r="I185" t="s">
        <v>576</v>
      </c>
      <c r="J185" t="s">
        <v>55</v>
      </c>
      <c r="K185" t="s">
        <v>27</v>
      </c>
      <c r="L185" t="s">
        <v>39</v>
      </c>
      <c r="M185" t="s">
        <v>61</v>
      </c>
      <c r="N185">
        <v>2387.1</v>
      </c>
    </row>
    <row r="186" spans="1:14" x14ac:dyDescent="0.35">
      <c r="A186" s="2">
        <v>45021</v>
      </c>
      <c r="B186" t="s">
        <v>220</v>
      </c>
      <c r="C186" t="s">
        <v>21</v>
      </c>
      <c r="D186" t="s">
        <v>42</v>
      </c>
      <c r="E186" t="s">
        <v>63</v>
      </c>
      <c r="F186">
        <v>10</v>
      </c>
      <c r="G186">
        <v>12.93</v>
      </c>
      <c r="H186" t="s">
        <v>58</v>
      </c>
      <c r="I186" t="s">
        <v>221</v>
      </c>
      <c r="J186" t="s">
        <v>55</v>
      </c>
      <c r="K186" t="s">
        <v>78</v>
      </c>
      <c r="L186" t="s">
        <v>39</v>
      </c>
      <c r="M186" t="s">
        <v>67</v>
      </c>
      <c r="N186">
        <v>129.30000000000001</v>
      </c>
    </row>
    <row r="187" spans="1:14" x14ac:dyDescent="0.35">
      <c r="A187" s="2">
        <v>44940</v>
      </c>
      <c r="B187" t="s">
        <v>76</v>
      </c>
      <c r="C187" t="s">
        <v>41</v>
      </c>
      <c r="D187" t="s">
        <v>52</v>
      </c>
      <c r="E187" t="s">
        <v>63</v>
      </c>
      <c r="F187">
        <v>2</v>
      </c>
      <c r="G187">
        <v>223.23</v>
      </c>
      <c r="H187" t="s">
        <v>35</v>
      </c>
      <c r="I187" t="s">
        <v>77</v>
      </c>
      <c r="J187" t="s">
        <v>26</v>
      </c>
      <c r="K187" t="s">
        <v>78</v>
      </c>
      <c r="L187" t="s">
        <v>28</v>
      </c>
      <c r="M187" t="s">
        <v>79</v>
      </c>
      <c r="N187">
        <v>446.46</v>
      </c>
    </row>
    <row r="188" spans="1:14" x14ac:dyDescent="0.35">
      <c r="A188" s="2">
        <v>45095</v>
      </c>
      <c r="B188" t="s">
        <v>348</v>
      </c>
      <c r="C188" t="s">
        <v>81</v>
      </c>
      <c r="D188" t="s">
        <v>52</v>
      </c>
      <c r="E188" t="s">
        <v>92</v>
      </c>
      <c r="F188">
        <v>6</v>
      </c>
      <c r="G188">
        <v>218.42</v>
      </c>
      <c r="H188" t="s">
        <v>24</v>
      </c>
      <c r="I188" t="s">
        <v>349</v>
      </c>
      <c r="J188" t="s">
        <v>55</v>
      </c>
      <c r="K188" t="s">
        <v>78</v>
      </c>
      <c r="L188" t="s">
        <v>28</v>
      </c>
      <c r="M188" t="s">
        <v>101</v>
      </c>
      <c r="N188">
        <v>1310.52</v>
      </c>
    </row>
    <row r="189" spans="1:14" x14ac:dyDescent="0.35">
      <c r="A189" s="2">
        <v>45659</v>
      </c>
      <c r="B189" t="s">
        <v>332</v>
      </c>
      <c r="C189" t="s">
        <v>51</v>
      </c>
      <c r="D189" t="s">
        <v>22</v>
      </c>
      <c r="E189" t="s">
        <v>53</v>
      </c>
      <c r="F189">
        <v>6</v>
      </c>
      <c r="G189">
        <v>250.83</v>
      </c>
      <c r="H189" t="s">
        <v>58</v>
      </c>
      <c r="I189" t="s">
        <v>966</v>
      </c>
      <c r="J189" t="s">
        <v>26</v>
      </c>
      <c r="K189" t="s">
        <v>38</v>
      </c>
      <c r="L189" t="s">
        <v>28</v>
      </c>
      <c r="M189" t="s">
        <v>56</v>
      </c>
      <c r="N189">
        <v>1504.98</v>
      </c>
    </row>
    <row r="190" spans="1:14" x14ac:dyDescent="0.35">
      <c r="A190" s="2">
        <v>45760</v>
      </c>
      <c r="B190" t="s">
        <v>636</v>
      </c>
      <c r="C190" t="s">
        <v>81</v>
      </c>
      <c r="D190" t="s">
        <v>42</v>
      </c>
      <c r="E190" t="s">
        <v>23</v>
      </c>
      <c r="F190">
        <v>5</v>
      </c>
      <c r="G190">
        <v>207.59</v>
      </c>
      <c r="H190" t="s">
        <v>24</v>
      </c>
      <c r="I190" t="s">
        <v>1039</v>
      </c>
      <c r="J190" t="s">
        <v>37</v>
      </c>
      <c r="K190" t="s">
        <v>60</v>
      </c>
      <c r="L190" t="s">
        <v>66</v>
      </c>
      <c r="M190" t="s">
        <v>101</v>
      </c>
      <c r="N190">
        <v>1037.95</v>
      </c>
    </row>
    <row r="191" spans="1:14" x14ac:dyDescent="0.35">
      <c r="A191" s="2">
        <v>45752</v>
      </c>
      <c r="B191" t="s">
        <v>1031</v>
      </c>
      <c r="C191" t="s">
        <v>86</v>
      </c>
      <c r="D191" t="s">
        <v>22</v>
      </c>
      <c r="E191" t="s">
        <v>23</v>
      </c>
      <c r="F191">
        <v>3</v>
      </c>
      <c r="G191">
        <v>79.33</v>
      </c>
      <c r="H191" t="s">
        <v>58</v>
      </c>
      <c r="I191" t="s">
        <v>1032</v>
      </c>
      <c r="J191" t="s">
        <v>97</v>
      </c>
      <c r="K191" t="s">
        <v>60</v>
      </c>
      <c r="L191" t="s">
        <v>66</v>
      </c>
      <c r="M191" t="s">
        <v>79</v>
      </c>
      <c r="N191">
        <v>237.99</v>
      </c>
    </row>
    <row r="192" spans="1:14" x14ac:dyDescent="0.35">
      <c r="A192" s="2">
        <v>45009</v>
      </c>
      <c r="B192" t="s">
        <v>202</v>
      </c>
      <c r="C192" t="s">
        <v>86</v>
      </c>
      <c r="D192" t="s">
        <v>22</v>
      </c>
      <c r="E192" t="s">
        <v>23</v>
      </c>
      <c r="F192">
        <v>6</v>
      </c>
      <c r="G192">
        <v>75.73</v>
      </c>
      <c r="H192" t="s">
        <v>24</v>
      </c>
      <c r="I192" t="s">
        <v>203</v>
      </c>
      <c r="J192" t="s">
        <v>55</v>
      </c>
      <c r="K192" t="s">
        <v>27</v>
      </c>
      <c r="L192" t="s">
        <v>66</v>
      </c>
      <c r="M192" t="s">
        <v>61</v>
      </c>
      <c r="N192">
        <v>454.38</v>
      </c>
    </row>
    <row r="193" spans="1:14" x14ac:dyDescent="0.35">
      <c r="A193" s="2">
        <v>45504</v>
      </c>
      <c r="B193" t="s">
        <v>802</v>
      </c>
      <c r="C193" t="s">
        <v>47</v>
      </c>
      <c r="D193" t="s">
        <v>42</v>
      </c>
      <c r="E193" t="s">
        <v>43</v>
      </c>
      <c r="F193">
        <v>3</v>
      </c>
      <c r="G193">
        <v>198.77</v>
      </c>
      <c r="H193" t="s">
        <v>35</v>
      </c>
      <c r="I193" t="s">
        <v>803</v>
      </c>
      <c r="J193" t="s">
        <v>97</v>
      </c>
      <c r="K193" t="s">
        <v>38</v>
      </c>
      <c r="L193" t="s">
        <v>28</v>
      </c>
      <c r="M193" t="s">
        <v>67</v>
      </c>
      <c r="N193">
        <v>596.31000000000006</v>
      </c>
    </row>
    <row r="194" spans="1:14" x14ac:dyDescent="0.35">
      <c r="A194" s="2">
        <v>45356</v>
      </c>
      <c r="B194" t="s">
        <v>640</v>
      </c>
      <c r="C194" t="s">
        <v>86</v>
      </c>
      <c r="D194" t="s">
        <v>52</v>
      </c>
      <c r="E194" t="s">
        <v>92</v>
      </c>
      <c r="F194">
        <v>8</v>
      </c>
      <c r="G194">
        <v>368.51</v>
      </c>
      <c r="H194" t="s">
        <v>58</v>
      </c>
      <c r="I194" t="s">
        <v>641</v>
      </c>
      <c r="J194" t="s">
        <v>97</v>
      </c>
      <c r="K194" t="s">
        <v>38</v>
      </c>
      <c r="L194" t="s">
        <v>28</v>
      </c>
      <c r="M194" t="s">
        <v>49</v>
      </c>
      <c r="N194">
        <v>2948.08</v>
      </c>
    </row>
    <row r="195" spans="1:14" x14ac:dyDescent="0.35">
      <c r="A195" s="2">
        <v>44996</v>
      </c>
      <c r="B195" t="s">
        <v>174</v>
      </c>
      <c r="C195" t="s">
        <v>74</v>
      </c>
      <c r="D195" t="s">
        <v>52</v>
      </c>
      <c r="E195" t="s">
        <v>63</v>
      </c>
      <c r="F195">
        <v>3</v>
      </c>
      <c r="G195">
        <v>280.12</v>
      </c>
      <c r="H195" t="s">
        <v>64</v>
      </c>
      <c r="I195" t="s">
        <v>175</v>
      </c>
      <c r="J195" t="s">
        <v>37</v>
      </c>
      <c r="K195" t="s">
        <v>78</v>
      </c>
      <c r="L195" t="s">
        <v>28</v>
      </c>
      <c r="M195" t="s">
        <v>79</v>
      </c>
      <c r="N195">
        <v>840.36</v>
      </c>
    </row>
    <row r="196" spans="1:14" x14ac:dyDescent="0.35">
      <c r="A196" s="2">
        <v>45231</v>
      </c>
      <c r="B196" t="s">
        <v>493</v>
      </c>
      <c r="C196" t="s">
        <v>89</v>
      </c>
      <c r="D196" t="s">
        <v>33</v>
      </c>
      <c r="E196" t="s">
        <v>34</v>
      </c>
      <c r="F196">
        <v>10</v>
      </c>
      <c r="G196">
        <v>258.27</v>
      </c>
      <c r="H196" t="s">
        <v>24</v>
      </c>
      <c r="I196" t="s">
        <v>494</v>
      </c>
      <c r="J196" t="s">
        <v>55</v>
      </c>
      <c r="K196" t="s">
        <v>38</v>
      </c>
      <c r="L196" t="s">
        <v>28</v>
      </c>
      <c r="M196" t="s">
        <v>67</v>
      </c>
      <c r="N196">
        <v>2582.6999999999998</v>
      </c>
    </row>
    <row r="197" spans="1:14" x14ac:dyDescent="0.35">
      <c r="A197" s="2">
        <v>45249</v>
      </c>
      <c r="B197" t="s">
        <v>518</v>
      </c>
      <c r="C197" t="s">
        <v>71</v>
      </c>
      <c r="D197" t="s">
        <v>33</v>
      </c>
      <c r="E197" t="s">
        <v>83</v>
      </c>
      <c r="F197">
        <v>4</v>
      </c>
      <c r="G197">
        <v>208.83</v>
      </c>
      <c r="H197" t="s">
        <v>44</v>
      </c>
      <c r="I197" t="s">
        <v>519</v>
      </c>
      <c r="J197" t="s">
        <v>97</v>
      </c>
      <c r="K197" t="s">
        <v>38</v>
      </c>
      <c r="L197" t="s">
        <v>66</v>
      </c>
      <c r="M197" t="s">
        <v>101</v>
      </c>
      <c r="N197">
        <v>835.32</v>
      </c>
    </row>
    <row r="198" spans="1:14" x14ac:dyDescent="0.35">
      <c r="A198" s="2">
        <v>45499</v>
      </c>
      <c r="B198" t="s">
        <v>793</v>
      </c>
      <c r="C198" t="s">
        <v>21</v>
      </c>
      <c r="D198" t="s">
        <v>33</v>
      </c>
      <c r="E198" t="s">
        <v>43</v>
      </c>
      <c r="F198">
        <v>7</v>
      </c>
      <c r="G198">
        <v>109.79</v>
      </c>
      <c r="H198" t="s">
        <v>35</v>
      </c>
      <c r="I198" t="s">
        <v>794</v>
      </c>
      <c r="J198" t="s">
        <v>26</v>
      </c>
      <c r="K198" t="s">
        <v>38</v>
      </c>
      <c r="L198" t="s">
        <v>39</v>
      </c>
      <c r="M198" t="s">
        <v>61</v>
      </c>
      <c r="N198">
        <v>768.53000000000009</v>
      </c>
    </row>
    <row r="199" spans="1:14" x14ac:dyDescent="0.35">
      <c r="A199" s="2">
        <v>45370</v>
      </c>
      <c r="B199" t="s">
        <v>656</v>
      </c>
      <c r="C199" t="s">
        <v>86</v>
      </c>
      <c r="D199" t="s">
        <v>33</v>
      </c>
      <c r="E199" t="s">
        <v>23</v>
      </c>
      <c r="F199">
        <v>6</v>
      </c>
      <c r="G199">
        <v>285.26</v>
      </c>
      <c r="H199" t="s">
        <v>58</v>
      </c>
      <c r="I199" t="s">
        <v>657</v>
      </c>
      <c r="J199" t="s">
        <v>97</v>
      </c>
      <c r="K199" t="s">
        <v>27</v>
      </c>
      <c r="L199" t="s">
        <v>39</v>
      </c>
      <c r="M199" t="s">
        <v>49</v>
      </c>
      <c r="N199">
        <v>1711.56</v>
      </c>
    </row>
    <row r="200" spans="1:14" x14ac:dyDescent="0.35">
      <c r="A200" s="2">
        <v>45069</v>
      </c>
      <c r="B200" t="s">
        <v>299</v>
      </c>
      <c r="C200" t="s">
        <v>51</v>
      </c>
      <c r="D200" t="s">
        <v>22</v>
      </c>
      <c r="E200" t="s">
        <v>23</v>
      </c>
      <c r="F200">
        <v>6</v>
      </c>
      <c r="G200">
        <v>393.87</v>
      </c>
      <c r="H200" t="s">
        <v>58</v>
      </c>
      <c r="I200" t="s">
        <v>300</v>
      </c>
      <c r="J200" t="s">
        <v>55</v>
      </c>
      <c r="K200" t="s">
        <v>27</v>
      </c>
      <c r="L200" t="s">
        <v>28</v>
      </c>
      <c r="M200" t="s">
        <v>49</v>
      </c>
      <c r="N200">
        <v>2363.2199999999998</v>
      </c>
    </row>
    <row r="201" spans="1:14" x14ac:dyDescent="0.35">
      <c r="A201" s="2">
        <v>45539</v>
      </c>
      <c r="B201" t="s">
        <v>193</v>
      </c>
      <c r="C201" t="s">
        <v>21</v>
      </c>
      <c r="D201" t="s">
        <v>33</v>
      </c>
      <c r="E201" t="s">
        <v>83</v>
      </c>
      <c r="F201">
        <v>7</v>
      </c>
      <c r="G201">
        <v>373.31</v>
      </c>
      <c r="H201" t="s">
        <v>44</v>
      </c>
      <c r="I201" t="s">
        <v>843</v>
      </c>
      <c r="J201" t="s">
        <v>97</v>
      </c>
      <c r="K201" t="s">
        <v>38</v>
      </c>
      <c r="L201" t="s">
        <v>28</v>
      </c>
      <c r="M201" t="s">
        <v>67</v>
      </c>
      <c r="N201">
        <v>2613.17</v>
      </c>
    </row>
    <row r="202" spans="1:14" x14ac:dyDescent="0.35">
      <c r="A202" s="2">
        <v>45102</v>
      </c>
      <c r="B202" t="s">
        <v>358</v>
      </c>
      <c r="C202" t="s">
        <v>106</v>
      </c>
      <c r="D202" t="s">
        <v>22</v>
      </c>
      <c r="E202" t="s">
        <v>83</v>
      </c>
      <c r="F202">
        <v>8</v>
      </c>
      <c r="G202">
        <v>27.43</v>
      </c>
      <c r="H202" t="s">
        <v>35</v>
      </c>
      <c r="I202" t="s">
        <v>359</v>
      </c>
      <c r="J202" t="s">
        <v>37</v>
      </c>
      <c r="K202" t="s">
        <v>78</v>
      </c>
      <c r="L202" t="s">
        <v>28</v>
      </c>
      <c r="M202" t="s">
        <v>101</v>
      </c>
      <c r="N202">
        <v>219.44</v>
      </c>
    </row>
    <row r="203" spans="1:14" x14ac:dyDescent="0.35">
      <c r="A203" s="2">
        <v>45071</v>
      </c>
      <c r="B203" t="s">
        <v>303</v>
      </c>
      <c r="C203" t="s">
        <v>71</v>
      </c>
      <c r="D203" t="s">
        <v>42</v>
      </c>
      <c r="E203" t="s">
        <v>53</v>
      </c>
      <c r="F203">
        <v>5</v>
      </c>
      <c r="G203">
        <v>320.56</v>
      </c>
      <c r="H203" t="s">
        <v>64</v>
      </c>
      <c r="I203" t="s">
        <v>304</v>
      </c>
      <c r="J203" t="s">
        <v>37</v>
      </c>
      <c r="K203" t="s">
        <v>38</v>
      </c>
      <c r="L203" t="s">
        <v>28</v>
      </c>
      <c r="M203" t="s">
        <v>56</v>
      </c>
      <c r="N203">
        <v>1602.8</v>
      </c>
    </row>
    <row r="204" spans="1:14" x14ac:dyDescent="0.35">
      <c r="A204" s="2">
        <v>45032</v>
      </c>
      <c r="B204" t="s">
        <v>244</v>
      </c>
      <c r="C204" t="s">
        <v>47</v>
      </c>
      <c r="D204" t="s">
        <v>22</v>
      </c>
      <c r="E204" t="s">
        <v>34</v>
      </c>
      <c r="F204">
        <v>8</v>
      </c>
      <c r="G204">
        <v>347.37</v>
      </c>
      <c r="H204" t="s">
        <v>24</v>
      </c>
      <c r="I204" t="s">
        <v>245</v>
      </c>
      <c r="J204" t="s">
        <v>94</v>
      </c>
      <c r="K204" t="s">
        <v>38</v>
      </c>
      <c r="L204" t="s">
        <v>39</v>
      </c>
      <c r="M204" t="s">
        <v>101</v>
      </c>
      <c r="N204">
        <v>2778.96</v>
      </c>
    </row>
    <row r="205" spans="1:14" x14ac:dyDescent="0.35">
      <c r="A205" s="2">
        <v>44977</v>
      </c>
      <c r="B205" t="s">
        <v>135</v>
      </c>
      <c r="C205" t="s">
        <v>74</v>
      </c>
      <c r="D205" t="s">
        <v>22</v>
      </c>
      <c r="E205" t="s">
        <v>23</v>
      </c>
      <c r="F205">
        <v>6</v>
      </c>
      <c r="G205">
        <v>201.85</v>
      </c>
      <c r="H205" t="s">
        <v>44</v>
      </c>
      <c r="I205" t="s">
        <v>136</v>
      </c>
      <c r="J205" t="s">
        <v>37</v>
      </c>
      <c r="K205" t="s">
        <v>60</v>
      </c>
      <c r="L205" t="s">
        <v>39</v>
      </c>
      <c r="M205" t="s">
        <v>29</v>
      </c>
      <c r="N205">
        <v>1211.0999999999999</v>
      </c>
    </row>
    <row r="206" spans="1:14" x14ac:dyDescent="0.35">
      <c r="A206" s="2">
        <v>45732</v>
      </c>
      <c r="B206" t="s">
        <v>180</v>
      </c>
      <c r="C206" t="s">
        <v>47</v>
      </c>
      <c r="D206" t="s">
        <v>42</v>
      </c>
      <c r="E206" t="s">
        <v>63</v>
      </c>
      <c r="F206">
        <v>8</v>
      </c>
      <c r="G206">
        <v>28.73</v>
      </c>
      <c r="H206" t="s">
        <v>35</v>
      </c>
      <c r="I206" t="s">
        <v>1020</v>
      </c>
      <c r="J206" t="s">
        <v>94</v>
      </c>
      <c r="K206" t="s">
        <v>27</v>
      </c>
      <c r="L206" t="s">
        <v>39</v>
      </c>
      <c r="M206" t="s">
        <v>101</v>
      </c>
      <c r="N206">
        <v>229.84</v>
      </c>
    </row>
    <row r="207" spans="1:14" x14ac:dyDescent="0.35">
      <c r="A207" s="2">
        <v>44959</v>
      </c>
      <c r="B207" t="s">
        <v>121</v>
      </c>
      <c r="C207" t="s">
        <v>21</v>
      </c>
      <c r="D207" t="s">
        <v>52</v>
      </c>
      <c r="E207" t="s">
        <v>53</v>
      </c>
      <c r="F207">
        <v>2</v>
      </c>
      <c r="G207">
        <v>195.86</v>
      </c>
      <c r="H207" t="s">
        <v>64</v>
      </c>
      <c r="I207" t="s">
        <v>122</v>
      </c>
      <c r="J207" t="s">
        <v>97</v>
      </c>
      <c r="K207" t="s">
        <v>60</v>
      </c>
      <c r="L207" t="s">
        <v>28</v>
      </c>
      <c r="M207" t="s">
        <v>56</v>
      </c>
      <c r="N207">
        <v>391.72</v>
      </c>
    </row>
    <row r="208" spans="1:14" x14ac:dyDescent="0.35">
      <c r="A208" s="2">
        <v>45438</v>
      </c>
      <c r="B208" t="s">
        <v>68</v>
      </c>
      <c r="C208" t="s">
        <v>51</v>
      </c>
      <c r="D208" t="s">
        <v>42</v>
      </c>
      <c r="E208" t="s">
        <v>43</v>
      </c>
      <c r="F208">
        <v>9</v>
      </c>
      <c r="G208">
        <v>362.87</v>
      </c>
      <c r="H208" t="s">
        <v>35</v>
      </c>
      <c r="I208" t="s">
        <v>725</v>
      </c>
      <c r="J208" t="s">
        <v>97</v>
      </c>
      <c r="K208" t="s">
        <v>38</v>
      </c>
      <c r="L208" t="s">
        <v>28</v>
      </c>
      <c r="M208" t="s">
        <v>101</v>
      </c>
      <c r="N208">
        <v>3265.83</v>
      </c>
    </row>
    <row r="209" spans="1:14" x14ac:dyDescent="0.35">
      <c r="A209" s="2">
        <v>45374</v>
      </c>
      <c r="B209" t="s">
        <v>665</v>
      </c>
      <c r="C209" t="s">
        <v>74</v>
      </c>
      <c r="D209" t="s">
        <v>22</v>
      </c>
      <c r="E209" t="s">
        <v>53</v>
      </c>
      <c r="F209">
        <v>9</v>
      </c>
      <c r="G209">
        <v>80.34</v>
      </c>
      <c r="H209" t="s">
        <v>35</v>
      </c>
      <c r="I209" t="s">
        <v>666</v>
      </c>
      <c r="J209" t="s">
        <v>55</v>
      </c>
      <c r="K209" t="s">
        <v>38</v>
      </c>
      <c r="L209" t="s">
        <v>28</v>
      </c>
      <c r="M209" t="s">
        <v>79</v>
      </c>
      <c r="N209">
        <v>723.06000000000006</v>
      </c>
    </row>
    <row r="210" spans="1:14" x14ac:dyDescent="0.35">
      <c r="A210" s="2">
        <v>45017</v>
      </c>
      <c r="B210" t="s">
        <v>214</v>
      </c>
      <c r="C210" t="s">
        <v>74</v>
      </c>
      <c r="D210" t="s">
        <v>33</v>
      </c>
      <c r="E210" t="s">
        <v>23</v>
      </c>
      <c r="F210">
        <v>5</v>
      </c>
      <c r="G210">
        <v>363.82</v>
      </c>
      <c r="H210" t="s">
        <v>64</v>
      </c>
      <c r="I210" t="s">
        <v>215</v>
      </c>
      <c r="J210" t="s">
        <v>37</v>
      </c>
      <c r="K210" t="s">
        <v>78</v>
      </c>
      <c r="L210" t="s">
        <v>28</v>
      </c>
      <c r="M210" t="s">
        <v>79</v>
      </c>
      <c r="N210">
        <v>1819.1</v>
      </c>
    </row>
    <row r="211" spans="1:14" x14ac:dyDescent="0.35">
      <c r="A211" s="2">
        <v>45520</v>
      </c>
      <c r="B211" t="s">
        <v>825</v>
      </c>
      <c r="C211" t="s">
        <v>71</v>
      </c>
      <c r="D211" t="s">
        <v>22</v>
      </c>
      <c r="E211" t="s">
        <v>92</v>
      </c>
      <c r="F211">
        <v>9</v>
      </c>
      <c r="G211">
        <v>33.81</v>
      </c>
      <c r="H211" t="s">
        <v>35</v>
      </c>
      <c r="I211" t="s">
        <v>826</v>
      </c>
      <c r="J211" t="s">
        <v>55</v>
      </c>
      <c r="K211" t="s">
        <v>60</v>
      </c>
      <c r="L211" t="s">
        <v>28</v>
      </c>
      <c r="M211" t="s">
        <v>61</v>
      </c>
      <c r="N211">
        <v>304.29000000000002</v>
      </c>
    </row>
    <row r="212" spans="1:14" x14ac:dyDescent="0.35">
      <c r="A212" s="2">
        <v>45585</v>
      </c>
      <c r="B212" t="s">
        <v>808</v>
      </c>
      <c r="C212" t="s">
        <v>41</v>
      </c>
      <c r="D212" t="s">
        <v>42</v>
      </c>
      <c r="E212" t="s">
        <v>92</v>
      </c>
      <c r="F212">
        <v>1</v>
      </c>
      <c r="G212">
        <v>72.67</v>
      </c>
      <c r="H212" t="s">
        <v>58</v>
      </c>
      <c r="I212" t="s">
        <v>880</v>
      </c>
      <c r="J212" t="s">
        <v>37</v>
      </c>
      <c r="K212" t="s">
        <v>38</v>
      </c>
      <c r="L212" t="s">
        <v>28</v>
      </c>
      <c r="M212" t="s">
        <v>101</v>
      </c>
      <c r="N212">
        <v>72.67</v>
      </c>
    </row>
    <row r="213" spans="1:14" x14ac:dyDescent="0.35">
      <c r="A213" s="2">
        <v>44965</v>
      </c>
      <c r="B213" t="s">
        <v>127</v>
      </c>
      <c r="C213" t="s">
        <v>81</v>
      </c>
      <c r="D213" t="s">
        <v>52</v>
      </c>
      <c r="E213" t="s">
        <v>34</v>
      </c>
      <c r="F213">
        <v>3</v>
      </c>
      <c r="G213">
        <v>94.42</v>
      </c>
      <c r="H213" t="s">
        <v>64</v>
      </c>
      <c r="I213" t="s">
        <v>128</v>
      </c>
      <c r="J213" t="s">
        <v>55</v>
      </c>
      <c r="K213" t="s">
        <v>60</v>
      </c>
      <c r="L213" t="s">
        <v>39</v>
      </c>
      <c r="M213" t="s">
        <v>67</v>
      </c>
      <c r="N213">
        <v>283.26</v>
      </c>
    </row>
    <row r="214" spans="1:14" x14ac:dyDescent="0.35">
      <c r="A214" s="2">
        <v>45242</v>
      </c>
      <c r="B214" t="s">
        <v>509</v>
      </c>
      <c r="C214" t="s">
        <v>89</v>
      </c>
      <c r="D214" t="s">
        <v>52</v>
      </c>
      <c r="E214" t="s">
        <v>53</v>
      </c>
      <c r="F214">
        <v>5</v>
      </c>
      <c r="G214">
        <v>337.42</v>
      </c>
      <c r="H214" t="s">
        <v>64</v>
      </c>
      <c r="I214" t="s">
        <v>510</v>
      </c>
      <c r="J214" t="s">
        <v>26</v>
      </c>
      <c r="K214" t="s">
        <v>60</v>
      </c>
      <c r="L214" t="s">
        <v>66</v>
      </c>
      <c r="M214" t="s">
        <v>101</v>
      </c>
      <c r="N214">
        <v>1687.1</v>
      </c>
    </row>
    <row r="215" spans="1:14" x14ac:dyDescent="0.35">
      <c r="A215" s="2">
        <v>45631</v>
      </c>
      <c r="B215" t="s">
        <v>923</v>
      </c>
      <c r="C215" t="s">
        <v>74</v>
      </c>
      <c r="D215" t="s">
        <v>52</v>
      </c>
      <c r="E215" t="s">
        <v>63</v>
      </c>
      <c r="F215">
        <v>10</v>
      </c>
      <c r="G215">
        <v>382.99</v>
      </c>
      <c r="H215" t="s">
        <v>58</v>
      </c>
      <c r="I215" t="s">
        <v>937</v>
      </c>
      <c r="J215" t="s">
        <v>94</v>
      </c>
      <c r="K215" t="s">
        <v>60</v>
      </c>
      <c r="L215" t="s">
        <v>39</v>
      </c>
      <c r="M215" t="s">
        <v>56</v>
      </c>
      <c r="N215">
        <v>3829.9</v>
      </c>
    </row>
    <row r="216" spans="1:14" x14ac:dyDescent="0.35">
      <c r="A216" s="2">
        <v>45627</v>
      </c>
      <c r="B216" t="s">
        <v>812</v>
      </c>
      <c r="C216" t="s">
        <v>86</v>
      </c>
      <c r="D216" t="s">
        <v>22</v>
      </c>
      <c r="E216" t="s">
        <v>43</v>
      </c>
      <c r="F216">
        <v>4</v>
      </c>
      <c r="G216">
        <v>42.85</v>
      </c>
      <c r="H216" t="s">
        <v>58</v>
      </c>
      <c r="I216" t="s">
        <v>934</v>
      </c>
      <c r="J216" t="s">
        <v>26</v>
      </c>
      <c r="K216" t="s">
        <v>78</v>
      </c>
      <c r="L216" t="s">
        <v>28</v>
      </c>
      <c r="M216" t="s">
        <v>101</v>
      </c>
      <c r="N216">
        <v>171.4</v>
      </c>
    </row>
    <row r="217" spans="1:14" x14ac:dyDescent="0.35">
      <c r="A217" s="2">
        <v>45091</v>
      </c>
      <c r="B217" t="s">
        <v>334</v>
      </c>
      <c r="C217" t="s">
        <v>71</v>
      </c>
      <c r="D217" t="s">
        <v>33</v>
      </c>
      <c r="E217" t="s">
        <v>92</v>
      </c>
      <c r="F217">
        <v>10</v>
      </c>
      <c r="G217">
        <v>210.94</v>
      </c>
      <c r="H217" t="s">
        <v>35</v>
      </c>
      <c r="I217" t="s">
        <v>335</v>
      </c>
      <c r="J217" t="s">
        <v>26</v>
      </c>
      <c r="K217" t="s">
        <v>78</v>
      </c>
      <c r="L217" t="s">
        <v>39</v>
      </c>
      <c r="M217" t="s">
        <v>67</v>
      </c>
      <c r="N217">
        <v>2109.4</v>
      </c>
    </row>
    <row r="218" spans="1:14" x14ac:dyDescent="0.35">
      <c r="A218" s="2">
        <v>44980</v>
      </c>
      <c r="B218" t="s">
        <v>141</v>
      </c>
      <c r="C218" t="s">
        <v>51</v>
      </c>
      <c r="D218" t="s">
        <v>42</v>
      </c>
      <c r="E218" t="s">
        <v>53</v>
      </c>
      <c r="F218">
        <v>4</v>
      </c>
      <c r="G218">
        <v>125.66</v>
      </c>
      <c r="H218" t="s">
        <v>35</v>
      </c>
      <c r="I218" t="s">
        <v>142</v>
      </c>
      <c r="J218" t="s">
        <v>26</v>
      </c>
      <c r="K218" t="s">
        <v>78</v>
      </c>
      <c r="L218" t="s">
        <v>28</v>
      </c>
      <c r="M218" t="s">
        <v>56</v>
      </c>
      <c r="N218">
        <v>502.64</v>
      </c>
    </row>
    <row r="219" spans="1:14" x14ac:dyDescent="0.35">
      <c r="A219" s="2">
        <v>45154</v>
      </c>
      <c r="B219" t="s">
        <v>400</v>
      </c>
      <c r="C219" t="s">
        <v>86</v>
      </c>
      <c r="D219" t="s">
        <v>52</v>
      </c>
      <c r="E219" t="s">
        <v>83</v>
      </c>
      <c r="F219">
        <v>6</v>
      </c>
      <c r="G219">
        <v>266.69</v>
      </c>
      <c r="H219" t="s">
        <v>44</v>
      </c>
      <c r="I219" t="s">
        <v>401</v>
      </c>
      <c r="J219" t="s">
        <v>97</v>
      </c>
      <c r="K219" t="s">
        <v>78</v>
      </c>
      <c r="L219" t="s">
        <v>28</v>
      </c>
      <c r="M219" t="s">
        <v>67</v>
      </c>
      <c r="N219">
        <v>1600.14</v>
      </c>
    </row>
    <row r="220" spans="1:14" x14ac:dyDescent="0.35">
      <c r="A220" s="2">
        <v>45740</v>
      </c>
      <c r="B220" t="s">
        <v>1023</v>
      </c>
      <c r="C220" t="s">
        <v>89</v>
      </c>
      <c r="D220" t="s">
        <v>22</v>
      </c>
      <c r="E220" t="s">
        <v>92</v>
      </c>
      <c r="F220">
        <v>5</v>
      </c>
      <c r="G220">
        <v>33.64</v>
      </c>
      <c r="H220" t="s">
        <v>24</v>
      </c>
      <c r="I220" t="s">
        <v>1024</v>
      </c>
      <c r="J220" t="s">
        <v>37</v>
      </c>
      <c r="K220" t="s">
        <v>38</v>
      </c>
      <c r="L220" t="s">
        <v>39</v>
      </c>
      <c r="M220" t="s">
        <v>29</v>
      </c>
      <c r="N220">
        <v>168.2</v>
      </c>
    </row>
    <row r="221" spans="1:14" x14ac:dyDescent="0.35">
      <c r="A221" s="2">
        <v>45093</v>
      </c>
      <c r="B221" t="s">
        <v>342</v>
      </c>
      <c r="C221" t="s">
        <v>41</v>
      </c>
      <c r="D221" t="s">
        <v>42</v>
      </c>
      <c r="E221" t="s">
        <v>23</v>
      </c>
      <c r="F221">
        <v>1</v>
      </c>
      <c r="G221">
        <v>226.69</v>
      </c>
      <c r="H221" t="s">
        <v>35</v>
      </c>
      <c r="I221" t="s">
        <v>343</v>
      </c>
      <c r="J221" t="s">
        <v>26</v>
      </c>
      <c r="K221" t="s">
        <v>27</v>
      </c>
      <c r="L221" t="s">
        <v>28</v>
      </c>
      <c r="M221" t="s">
        <v>61</v>
      </c>
      <c r="N221">
        <v>226.69</v>
      </c>
    </row>
    <row r="222" spans="1:14" x14ac:dyDescent="0.35">
      <c r="A222" s="2">
        <v>44987</v>
      </c>
      <c r="B222" t="s">
        <v>156</v>
      </c>
      <c r="C222" t="s">
        <v>71</v>
      </c>
      <c r="D222" t="s">
        <v>33</v>
      </c>
      <c r="E222" t="s">
        <v>83</v>
      </c>
      <c r="F222">
        <v>10</v>
      </c>
      <c r="G222">
        <v>48.17</v>
      </c>
      <c r="H222" t="s">
        <v>64</v>
      </c>
      <c r="I222" t="s">
        <v>157</v>
      </c>
      <c r="J222" t="s">
        <v>94</v>
      </c>
      <c r="K222" t="s">
        <v>60</v>
      </c>
      <c r="L222" t="s">
        <v>39</v>
      </c>
      <c r="M222" t="s">
        <v>56</v>
      </c>
      <c r="N222">
        <v>481.7</v>
      </c>
    </row>
    <row r="223" spans="1:14" x14ac:dyDescent="0.35">
      <c r="A223" s="2">
        <v>45011</v>
      </c>
      <c r="B223" t="s">
        <v>212</v>
      </c>
      <c r="C223" t="s">
        <v>41</v>
      </c>
      <c r="D223" t="s">
        <v>52</v>
      </c>
      <c r="E223" t="s">
        <v>92</v>
      </c>
      <c r="F223">
        <v>9</v>
      </c>
      <c r="G223">
        <v>324.63</v>
      </c>
      <c r="H223" t="s">
        <v>64</v>
      </c>
      <c r="I223" t="s">
        <v>213</v>
      </c>
      <c r="J223" t="s">
        <v>94</v>
      </c>
      <c r="K223" t="s">
        <v>78</v>
      </c>
      <c r="L223" t="s">
        <v>39</v>
      </c>
      <c r="M223" t="s">
        <v>101</v>
      </c>
      <c r="N223">
        <v>2921.67</v>
      </c>
    </row>
    <row r="224" spans="1:14" x14ac:dyDescent="0.35">
      <c r="A224" s="2">
        <v>45834</v>
      </c>
      <c r="B224" t="s">
        <v>1111</v>
      </c>
      <c r="C224" t="s">
        <v>74</v>
      </c>
      <c r="D224" t="s">
        <v>52</v>
      </c>
      <c r="E224" t="s">
        <v>34</v>
      </c>
      <c r="F224">
        <v>10</v>
      </c>
      <c r="G224">
        <v>399.74</v>
      </c>
      <c r="H224" t="s">
        <v>58</v>
      </c>
      <c r="I224" t="s">
        <v>1112</v>
      </c>
      <c r="J224" t="s">
        <v>94</v>
      </c>
      <c r="K224" t="s">
        <v>27</v>
      </c>
      <c r="L224" t="s">
        <v>66</v>
      </c>
      <c r="M224" t="s">
        <v>56</v>
      </c>
      <c r="N224">
        <v>3997.4</v>
      </c>
    </row>
    <row r="225" spans="1:14" x14ac:dyDescent="0.35">
      <c r="A225" s="2">
        <v>45637</v>
      </c>
      <c r="B225" t="s">
        <v>437</v>
      </c>
      <c r="C225" t="s">
        <v>74</v>
      </c>
      <c r="D225" t="s">
        <v>22</v>
      </c>
      <c r="E225" t="s">
        <v>63</v>
      </c>
      <c r="F225">
        <v>10</v>
      </c>
      <c r="G225">
        <v>309.33</v>
      </c>
      <c r="H225" t="s">
        <v>35</v>
      </c>
      <c r="I225" t="s">
        <v>943</v>
      </c>
      <c r="J225" t="s">
        <v>37</v>
      </c>
      <c r="K225" t="s">
        <v>78</v>
      </c>
      <c r="L225" t="s">
        <v>28</v>
      </c>
      <c r="M225" t="s">
        <v>67</v>
      </c>
      <c r="N225">
        <v>3093.3</v>
      </c>
    </row>
    <row r="226" spans="1:14" x14ac:dyDescent="0.35">
      <c r="A226" s="2">
        <v>44939</v>
      </c>
      <c r="B226" t="s">
        <v>73</v>
      </c>
      <c r="C226" t="s">
        <v>74</v>
      </c>
      <c r="D226" t="s">
        <v>42</v>
      </c>
      <c r="E226" t="s">
        <v>43</v>
      </c>
      <c r="F226">
        <v>8</v>
      </c>
      <c r="G226">
        <v>133.51</v>
      </c>
      <c r="H226" t="s">
        <v>58</v>
      </c>
      <c r="I226" t="s">
        <v>75</v>
      </c>
      <c r="J226" t="s">
        <v>26</v>
      </c>
      <c r="K226" t="s">
        <v>60</v>
      </c>
      <c r="L226" t="s">
        <v>39</v>
      </c>
      <c r="M226" t="s">
        <v>61</v>
      </c>
      <c r="N226">
        <v>1068.08</v>
      </c>
    </row>
    <row r="227" spans="1:14" x14ac:dyDescent="0.35">
      <c r="A227" s="2">
        <v>45504</v>
      </c>
      <c r="B227" t="s">
        <v>804</v>
      </c>
      <c r="C227" t="s">
        <v>81</v>
      </c>
      <c r="D227" t="s">
        <v>42</v>
      </c>
      <c r="E227" t="s">
        <v>53</v>
      </c>
      <c r="F227">
        <v>9</v>
      </c>
      <c r="G227">
        <v>244.78</v>
      </c>
      <c r="H227" t="s">
        <v>44</v>
      </c>
      <c r="I227" t="s">
        <v>805</v>
      </c>
      <c r="J227" t="s">
        <v>26</v>
      </c>
      <c r="K227" t="s">
        <v>78</v>
      </c>
      <c r="L227" t="s">
        <v>66</v>
      </c>
      <c r="M227" t="s">
        <v>67</v>
      </c>
      <c r="N227">
        <v>2203.02</v>
      </c>
    </row>
    <row r="228" spans="1:14" x14ac:dyDescent="0.35">
      <c r="A228" s="2">
        <v>45667</v>
      </c>
      <c r="B228" t="s">
        <v>425</v>
      </c>
      <c r="C228" t="s">
        <v>81</v>
      </c>
      <c r="D228" t="s">
        <v>42</v>
      </c>
      <c r="E228" t="s">
        <v>23</v>
      </c>
      <c r="F228">
        <v>5</v>
      </c>
      <c r="G228">
        <v>122.53</v>
      </c>
      <c r="H228" t="s">
        <v>24</v>
      </c>
      <c r="I228" t="s">
        <v>972</v>
      </c>
      <c r="J228" t="s">
        <v>94</v>
      </c>
      <c r="K228" t="s">
        <v>60</v>
      </c>
      <c r="L228" t="s">
        <v>66</v>
      </c>
      <c r="M228" t="s">
        <v>61</v>
      </c>
      <c r="N228">
        <v>612.65</v>
      </c>
    </row>
    <row r="229" spans="1:14" x14ac:dyDescent="0.35">
      <c r="A229" s="2">
        <v>45089</v>
      </c>
      <c r="B229" t="s">
        <v>330</v>
      </c>
      <c r="C229" t="s">
        <v>71</v>
      </c>
      <c r="D229" t="s">
        <v>33</v>
      </c>
      <c r="E229" t="s">
        <v>63</v>
      </c>
      <c r="F229">
        <v>5</v>
      </c>
      <c r="G229">
        <v>133.33000000000001</v>
      </c>
      <c r="H229" t="s">
        <v>44</v>
      </c>
      <c r="I229" t="s">
        <v>331</v>
      </c>
      <c r="J229" t="s">
        <v>55</v>
      </c>
      <c r="K229" t="s">
        <v>60</v>
      </c>
      <c r="L229" t="s">
        <v>28</v>
      </c>
      <c r="M229" t="s">
        <v>29</v>
      </c>
      <c r="N229">
        <v>666.65000000000009</v>
      </c>
    </row>
    <row r="230" spans="1:14" x14ac:dyDescent="0.35">
      <c r="A230" s="2">
        <v>45445</v>
      </c>
      <c r="B230" t="s">
        <v>731</v>
      </c>
      <c r="C230" t="s">
        <v>41</v>
      </c>
      <c r="D230" t="s">
        <v>42</v>
      </c>
      <c r="E230" t="s">
        <v>63</v>
      </c>
      <c r="F230">
        <v>3</v>
      </c>
      <c r="G230">
        <v>303.35000000000002</v>
      </c>
      <c r="H230" t="s">
        <v>64</v>
      </c>
      <c r="I230" t="s">
        <v>732</v>
      </c>
      <c r="J230" t="s">
        <v>26</v>
      </c>
      <c r="K230" t="s">
        <v>78</v>
      </c>
      <c r="L230" t="s">
        <v>66</v>
      </c>
      <c r="M230" t="s">
        <v>101</v>
      </c>
      <c r="N230">
        <v>910.05000000000007</v>
      </c>
    </row>
    <row r="231" spans="1:14" x14ac:dyDescent="0.35">
      <c r="A231" s="2">
        <v>45809</v>
      </c>
      <c r="B231" t="s">
        <v>212</v>
      </c>
      <c r="C231" t="s">
        <v>74</v>
      </c>
      <c r="D231" t="s">
        <v>52</v>
      </c>
      <c r="E231" t="s">
        <v>34</v>
      </c>
      <c r="F231">
        <v>4</v>
      </c>
      <c r="G231">
        <v>294.27999999999997</v>
      </c>
      <c r="H231" t="s">
        <v>35</v>
      </c>
      <c r="I231" t="s">
        <v>1072</v>
      </c>
      <c r="J231" t="s">
        <v>55</v>
      </c>
      <c r="K231" t="s">
        <v>38</v>
      </c>
      <c r="L231" t="s">
        <v>39</v>
      </c>
      <c r="M231" t="s">
        <v>101</v>
      </c>
      <c r="N231">
        <v>1177.1199999999999</v>
      </c>
    </row>
    <row r="232" spans="1:14" x14ac:dyDescent="0.35">
      <c r="A232" s="2">
        <v>45109</v>
      </c>
      <c r="B232" t="s">
        <v>116</v>
      </c>
      <c r="C232" t="s">
        <v>41</v>
      </c>
      <c r="D232" t="s">
        <v>52</v>
      </c>
      <c r="E232" t="s">
        <v>53</v>
      </c>
      <c r="F232">
        <v>4</v>
      </c>
      <c r="G232">
        <v>201.46</v>
      </c>
      <c r="H232" t="s">
        <v>35</v>
      </c>
      <c r="I232" t="s">
        <v>365</v>
      </c>
      <c r="J232" t="s">
        <v>37</v>
      </c>
      <c r="K232" t="s">
        <v>78</v>
      </c>
      <c r="L232" t="s">
        <v>66</v>
      </c>
      <c r="M232" t="s">
        <v>101</v>
      </c>
      <c r="N232">
        <v>805.84</v>
      </c>
    </row>
    <row r="233" spans="1:14" x14ac:dyDescent="0.35">
      <c r="A233" s="2">
        <v>45371</v>
      </c>
      <c r="B233" t="s">
        <v>319</v>
      </c>
      <c r="C233" t="s">
        <v>21</v>
      </c>
      <c r="D233" t="s">
        <v>33</v>
      </c>
      <c r="E233" t="s">
        <v>43</v>
      </c>
      <c r="F233">
        <v>2</v>
      </c>
      <c r="G233">
        <v>354.14</v>
      </c>
      <c r="H233" t="s">
        <v>24</v>
      </c>
      <c r="I233" t="s">
        <v>660</v>
      </c>
      <c r="J233" t="s">
        <v>94</v>
      </c>
      <c r="K233" t="s">
        <v>27</v>
      </c>
      <c r="L233" t="s">
        <v>28</v>
      </c>
      <c r="M233" t="s">
        <v>67</v>
      </c>
      <c r="N233">
        <v>708.28</v>
      </c>
    </row>
    <row r="234" spans="1:14" x14ac:dyDescent="0.35">
      <c r="A234" s="2">
        <v>45171</v>
      </c>
      <c r="B234" t="s">
        <v>421</v>
      </c>
      <c r="C234" t="s">
        <v>51</v>
      </c>
      <c r="D234" t="s">
        <v>33</v>
      </c>
      <c r="E234" t="s">
        <v>63</v>
      </c>
      <c r="F234">
        <v>1</v>
      </c>
      <c r="G234">
        <v>142.57</v>
      </c>
      <c r="H234" t="s">
        <v>24</v>
      </c>
      <c r="I234" t="s">
        <v>422</v>
      </c>
      <c r="J234" t="s">
        <v>94</v>
      </c>
      <c r="K234" t="s">
        <v>78</v>
      </c>
      <c r="L234" t="s">
        <v>39</v>
      </c>
      <c r="M234" t="s">
        <v>79</v>
      </c>
      <c r="N234">
        <v>142.57</v>
      </c>
    </row>
    <row r="235" spans="1:14" x14ac:dyDescent="0.35">
      <c r="A235" s="2">
        <v>45452</v>
      </c>
      <c r="B235" t="s">
        <v>735</v>
      </c>
      <c r="C235" t="s">
        <v>74</v>
      </c>
      <c r="D235" t="s">
        <v>22</v>
      </c>
      <c r="E235" t="s">
        <v>83</v>
      </c>
      <c r="F235">
        <v>10</v>
      </c>
      <c r="G235">
        <v>172.32</v>
      </c>
      <c r="H235" t="s">
        <v>44</v>
      </c>
      <c r="I235" t="s">
        <v>736</v>
      </c>
      <c r="J235" t="s">
        <v>97</v>
      </c>
      <c r="K235" t="s">
        <v>78</v>
      </c>
      <c r="L235" t="s">
        <v>66</v>
      </c>
      <c r="M235" t="s">
        <v>101</v>
      </c>
      <c r="N235">
        <v>1723.2</v>
      </c>
    </row>
    <row r="236" spans="1:14" x14ac:dyDescent="0.35">
      <c r="A236" s="2">
        <v>45671</v>
      </c>
      <c r="B236" t="s">
        <v>974</v>
      </c>
      <c r="C236" t="s">
        <v>86</v>
      </c>
      <c r="D236" t="s">
        <v>52</v>
      </c>
      <c r="E236" t="s">
        <v>43</v>
      </c>
      <c r="F236">
        <v>9</v>
      </c>
      <c r="G236">
        <v>195.04</v>
      </c>
      <c r="H236" t="s">
        <v>35</v>
      </c>
      <c r="I236" t="s">
        <v>975</v>
      </c>
      <c r="J236" t="s">
        <v>55</v>
      </c>
      <c r="K236" t="s">
        <v>38</v>
      </c>
      <c r="L236" t="s">
        <v>39</v>
      </c>
      <c r="M236" t="s">
        <v>49</v>
      </c>
      <c r="N236">
        <v>1755.36</v>
      </c>
    </row>
    <row r="237" spans="1:14" x14ac:dyDescent="0.35">
      <c r="A237" s="2">
        <v>45477</v>
      </c>
      <c r="B237" t="s">
        <v>768</v>
      </c>
      <c r="C237" t="s">
        <v>81</v>
      </c>
      <c r="D237" t="s">
        <v>42</v>
      </c>
      <c r="E237" t="s">
        <v>63</v>
      </c>
      <c r="F237">
        <v>8</v>
      </c>
      <c r="G237">
        <v>298.8</v>
      </c>
      <c r="H237" t="s">
        <v>58</v>
      </c>
      <c r="I237" t="s">
        <v>769</v>
      </c>
      <c r="J237" t="s">
        <v>37</v>
      </c>
      <c r="K237" t="s">
        <v>38</v>
      </c>
      <c r="L237" t="s">
        <v>39</v>
      </c>
      <c r="M237" t="s">
        <v>56</v>
      </c>
      <c r="N237">
        <v>2390.4</v>
      </c>
    </row>
    <row r="238" spans="1:14" x14ac:dyDescent="0.35">
      <c r="A238" s="2">
        <v>45091</v>
      </c>
      <c r="B238" t="s">
        <v>332</v>
      </c>
      <c r="C238" t="s">
        <v>74</v>
      </c>
      <c r="D238" t="s">
        <v>52</v>
      </c>
      <c r="E238" t="s">
        <v>53</v>
      </c>
      <c r="F238">
        <v>1</v>
      </c>
      <c r="G238">
        <v>51.87</v>
      </c>
      <c r="H238" t="s">
        <v>44</v>
      </c>
      <c r="I238" t="s">
        <v>333</v>
      </c>
      <c r="J238" t="s">
        <v>55</v>
      </c>
      <c r="K238" t="s">
        <v>38</v>
      </c>
      <c r="L238" t="s">
        <v>28</v>
      </c>
      <c r="M238" t="s">
        <v>67</v>
      </c>
      <c r="N238">
        <v>51.87</v>
      </c>
    </row>
    <row r="239" spans="1:14" x14ac:dyDescent="0.35">
      <c r="A239" s="2">
        <v>45409</v>
      </c>
      <c r="B239" t="s">
        <v>326</v>
      </c>
      <c r="C239" t="s">
        <v>71</v>
      </c>
      <c r="D239" t="s">
        <v>42</v>
      </c>
      <c r="E239" t="s">
        <v>63</v>
      </c>
      <c r="F239">
        <v>5</v>
      </c>
      <c r="G239">
        <v>58.51</v>
      </c>
      <c r="H239" t="s">
        <v>24</v>
      </c>
      <c r="I239" t="s">
        <v>692</v>
      </c>
      <c r="J239" t="s">
        <v>94</v>
      </c>
      <c r="K239" t="s">
        <v>78</v>
      </c>
      <c r="L239" t="s">
        <v>28</v>
      </c>
      <c r="M239" t="s">
        <v>79</v>
      </c>
      <c r="N239">
        <v>292.55</v>
      </c>
    </row>
    <row r="240" spans="1:14" x14ac:dyDescent="0.35">
      <c r="A240" s="2">
        <v>45214</v>
      </c>
      <c r="B240" t="s">
        <v>474</v>
      </c>
      <c r="C240" t="s">
        <v>47</v>
      </c>
      <c r="D240" t="s">
        <v>52</v>
      </c>
      <c r="E240" t="s">
        <v>63</v>
      </c>
      <c r="F240">
        <v>7</v>
      </c>
      <c r="G240">
        <v>65.569999999999993</v>
      </c>
      <c r="H240" t="s">
        <v>58</v>
      </c>
      <c r="I240" t="s">
        <v>475</v>
      </c>
      <c r="J240" t="s">
        <v>94</v>
      </c>
      <c r="K240" t="s">
        <v>27</v>
      </c>
      <c r="L240" t="s">
        <v>39</v>
      </c>
      <c r="M240" t="s">
        <v>101</v>
      </c>
      <c r="N240">
        <v>458.99</v>
      </c>
    </row>
    <row r="241" spans="1:14" x14ac:dyDescent="0.35">
      <c r="A241" s="2">
        <v>45692</v>
      </c>
      <c r="B241" t="s">
        <v>997</v>
      </c>
      <c r="C241" t="s">
        <v>74</v>
      </c>
      <c r="D241" t="s">
        <v>22</v>
      </c>
      <c r="E241" t="s">
        <v>83</v>
      </c>
      <c r="F241">
        <v>9</v>
      </c>
      <c r="G241">
        <v>73.62</v>
      </c>
      <c r="H241" t="s">
        <v>44</v>
      </c>
      <c r="I241" t="s">
        <v>998</v>
      </c>
      <c r="J241" t="s">
        <v>37</v>
      </c>
      <c r="K241" t="s">
        <v>78</v>
      </c>
      <c r="L241" t="s">
        <v>28</v>
      </c>
      <c r="M241" t="s">
        <v>49</v>
      </c>
      <c r="N241">
        <v>662.58</v>
      </c>
    </row>
    <row r="242" spans="1:14" x14ac:dyDescent="0.35">
      <c r="A242" s="2">
        <v>45588</v>
      </c>
      <c r="B242" t="s">
        <v>368</v>
      </c>
      <c r="C242" t="s">
        <v>86</v>
      </c>
      <c r="D242" t="s">
        <v>42</v>
      </c>
      <c r="E242" t="s">
        <v>34</v>
      </c>
      <c r="F242">
        <v>10</v>
      </c>
      <c r="G242">
        <v>282.75</v>
      </c>
      <c r="H242" t="s">
        <v>58</v>
      </c>
      <c r="I242" t="s">
        <v>881</v>
      </c>
      <c r="J242" t="s">
        <v>94</v>
      </c>
      <c r="K242" t="s">
        <v>38</v>
      </c>
      <c r="L242" t="s">
        <v>39</v>
      </c>
      <c r="M242" t="s">
        <v>67</v>
      </c>
      <c r="N242">
        <v>2827.5</v>
      </c>
    </row>
    <row r="243" spans="1:14" x14ac:dyDescent="0.35">
      <c r="A243" s="2">
        <v>45471</v>
      </c>
      <c r="B243" t="s">
        <v>454</v>
      </c>
      <c r="C243" t="s">
        <v>51</v>
      </c>
      <c r="D243" t="s">
        <v>33</v>
      </c>
      <c r="E243" t="s">
        <v>34</v>
      </c>
      <c r="F243">
        <v>8</v>
      </c>
      <c r="G243">
        <v>112.39</v>
      </c>
      <c r="H243" t="s">
        <v>44</v>
      </c>
      <c r="I243" t="s">
        <v>755</v>
      </c>
      <c r="J243" t="s">
        <v>97</v>
      </c>
      <c r="K243" t="s">
        <v>27</v>
      </c>
      <c r="L243" t="s">
        <v>66</v>
      </c>
      <c r="M243" t="s">
        <v>61</v>
      </c>
      <c r="N243">
        <v>899.12</v>
      </c>
    </row>
    <row r="244" spans="1:14" x14ac:dyDescent="0.35">
      <c r="A244" s="2">
        <v>45181</v>
      </c>
      <c r="B244" t="s">
        <v>433</v>
      </c>
      <c r="C244" t="s">
        <v>89</v>
      </c>
      <c r="D244" t="s">
        <v>42</v>
      </c>
      <c r="E244" t="s">
        <v>23</v>
      </c>
      <c r="F244">
        <v>2</v>
      </c>
      <c r="G244">
        <v>215.6</v>
      </c>
      <c r="H244" t="s">
        <v>44</v>
      </c>
      <c r="I244" t="s">
        <v>434</v>
      </c>
      <c r="J244" t="s">
        <v>26</v>
      </c>
      <c r="K244" t="s">
        <v>60</v>
      </c>
      <c r="L244" t="s">
        <v>66</v>
      </c>
      <c r="M244" t="s">
        <v>49</v>
      </c>
      <c r="N244">
        <v>431.2</v>
      </c>
    </row>
    <row r="245" spans="1:14" x14ac:dyDescent="0.35">
      <c r="A245" s="2">
        <v>45197</v>
      </c>
      <c r="B245" t="s">
        <v>454</v>
      </c>
      <c r="C245" t="s">
        <v>47</v>
      </c>
      <c r="D245" t="s">
        <v>22</v>
      </c>
      <c r="E245" t="s">
        <v>83</v>
      </c>
      <c r="F245">
        <v>10</v>
      </c>
      <c r="G245">
        <v>242.6</v>
      </c>
      <c r="H245" t="s">
        <v>64</v>
      </c>
      <c r="I245" t="s">
        <v>455</v>
      </c>
      <c r="J245" t="s">
        <v>94</v>
      </c>
      <c r="K245" t="s">
        <v>27</v>
      </c>
      <c r="L245" t="s">
        <v>66</v>
      </c>
      <c r="M245" t="s">
        <v>56</v>
      </c>
      <c r="N245">
        <v>2426</v>
      </c>
    </row>
    <row r="246" spans="1:14" x14ac:dyDescent="0.35">
      <c r="A246" s="2">
        <v>45027</v>
      </c>
      <c r="B246" t="s">
        <v>234</v>
      </c>
      <c r="C246" t="s">
        <v>89</v>
      </c>
      <c r="D246" t="s">
        <v>42</v>
      </c>
      <c r="E246" t="s">
        <v>83</v>
      </c>
      <c r="F246">
        <v>4</v>
      </c>
      <c r="G246">
        <v>20.47</v>
      </c>
      <c r="H246" t="s">
        <v>44</v>
      </c>
      <c r="I246" t="s">
        <v>235</v>
      </c>
      <c r="J246" t="s">
        <v>37</v>
      </c>
      <c r="K246" t="s">
        <v>60</v>
      </c>
      <c r="L246" t="s">
        <v>39</v>
      </c>
      <c r="M246" t="s">
        <v>49</v>
      </c>
      <c r="N246">
        <v>81.88</v>
      </c>
    </row>
    <row r="247" spans="1:14" x14ac:dyDescent="0.35">
      <c r="A247" s="2">
        <v>45100</v>
      </c>
      <c r="B247" t="s">
        <v>356</v>
      </c>
      <c r="C247" t="s">
        <v>21</v>
      </c>
      <c r="D247" t="s">
        <v>52</v>
      </c>
      <c r="E247" t="s">
        <v>34</v>
      </c>
      <c r="F247">
        <v>4</v>
      </c>
      <c r="G247">
        <v>257.19</v>
      </c>
      <c r="H247" t="s">
        <v>24</v>
      </c>
      <c r="I247" t="s">
        <v>357</v>
      </c>
      <c r="J247" t="s">
        <v>55</v>
      </c>
      <c r="K247" t="s">
        <v>78</v>
      </c>
      <c r="L247" t="s">
        <v>39</v>
      </c>
      <c r="M247" t="s">
        <v>61</v>
      </c>
      <c r="N247">
        <v>1028.76</v>
      </c>
    </row>
    <row r="248" spans="1:14" x14ac:dyDescent="0.35">
      <c r="A248" s="2">
        <v>45240</v>
      </c>
      <c r="B248" t="s">
        <v>507</v>
      </c>
      <c r="C248" t="s">
        <v>41</v>
      </c>
      <c r="D248" t="s">
        <v>52</v>
      </c>
      <c r="E248" t="s">
        <v>23</v>
      </c>
      <c r="F248">
        <v>10</v>
      </c>
      <c r="G248">
        <v>130.81</v>
      </c>
      <c r="H248" t="s">
        <v>64</v>
      </c>
      <c r="I248" t="s">
        <v>508</v>
      </c>
      <c r="J248" t="s">
        <v>26</v>
      </c>
      <c r="K248" t="s">
        <v>27</v>
      </c>
      <c r="L248" t="s">
        <v>39</v>
      </c>
      <c r="M248" t="s">
        <v>61</v>
      </c>
      <c r="N248">
        <v>1308.0999999999999</v>
      </c>
    </row>
    <row r="249" spans="1:14" x14ac:dyDescent="0.35">
      <c r="A249" s="2">
        <v>45713</v>
      </c>
      <c r="B249" t="s">
        <v>1008</v>
      </c>
      <c r="C249" t="s">
        <v>41</v>
      </c>
      <c r="D249" t="s">
        <v>42</v>
      </c>
      <c r="E249" t="s">
        <v>83</v>
      </c>
      <c r="F249">
        <v>4</v>
      </c>
      <c r="G249">
        <v>295.25</v>
      </c>
      <c r="H249" t="s">
        <v>24</v>
      </c>
      <c r="I249" t="s">
        <v>1009</v>
      </c>
      <c r="J249" t="s">
        <v>26</v>
      </c>
      <c r="K249" t="s">
        <v>38</v>
      </c>
      <c r="L249" t="s">
        <v>28</v>
      </c>
      <c r="M249" t="s">
        <v>49</v>
      </c>
      <c r="N249">
        <v>1181</v>
      </c>
    </row>
    <row r="250" spans="1:14" x14ac:dyDescent="0.35">
      <c r="A250" s="2">
        <v>45579</v>
      </c>
      <c r="B250" t="s">
        <v>871</v>
      </c>
      <c r="C250" t="s">
        <v>106</v>
      </c>
      <c r="D250" t="s">
        <v>22</v>
      </c>
      <c r="E250" t="s">
        <v>92</v>
      </c>
      <c r="F250">
        <v>9</v>
      </c>
      <c r="G250">
        <v>311.23</v>
      </c>
      <c r="H250" t="s">
        <v>58</v>
      </c>
      <c r="I250" t="s">
        <v>872</v>
      </c>
      <c r="J250" t="s">
        <v>55</v>
      </c>
      <c r="K250" t="s">
        <v>38</v>
      </c>
      <c r="L250" t="s">
        <v>66</v>
      </c>
      <c r="M250" t="s">
        <v>29</v>
      </c>
      <c r="N250">
        <v>2801.07</v>
      </c>
    </row>
    <row r="251" spans="1:14" x14ac:dyDescent="0.35">
      <c r="A251" s="2">
        <v>45492</v>
      </c>
      <c r="B251" t="s">
        <v>778</v>
      </c>
      <c r="C251" t="s">
        <v>74</v>
      </c>
      <c r="D251" t="s">
        <v>33</v>
      </c>
      <c r="E251" t="s">
        <v>23</v>
      </c>
      <c r="F251">
        <v>9</v>
      </c>
      <c r="G251">
        <v>85.04</v>
      </c>
      <c r="H251" t="s">
        <v>24</v>
      </c>
      <c r="I251" t="s">
        <v>779</v>
      </c>
      <c r="J251" t="s">
        <v>94</v>
      </c>
      <c r="K251" t="s">
        <v>38</v>
      </c>
      <c r="L251" t="s">
        <v>39</v>
      </c>
      <c r="M251" t="s">
        <v>61</v>
      </c>
      <c r="N251">
        <v>765.36</v>
      </c>
    </row>
    <row r="252" spans="1:14" x14ac:dyDescent="0.35">
      <c r="A252" s="2">
        <v>45443</v>
      </c>
      <c r="B252" t="s">
        <v>450</v>
      </c>
      <c r="C252" t="s">
        <v>81</v>
      </c>
      <c r="D252" t="s">
        <v>52</v>
      </c>
      <c r="E252" t="s">
        <v>92</v>
      </c>
      <c r="F252">
        <v>5</v>
      </c>
      <c r="G252">
        <v>354.97</v>
      </c>
      <c r="H252" t="s">
        <v>44</v>
      </c>
      <c r="I252" t="s">
        <v>726</v>
      </c>
      <c r="J252" t="s">
        <v>97</v>
      </c>
      <c r="K252" t="s">
        <v>78</v>
      </c>
      <c r="L252" t="s">
        <v>39</v>
      </c>
      <c r="M252" t="s">
        <v>61</v>
      </c>
      <c r="N252">
        <v>1774.85</v>
      </c>
    </row>
    <row r="253" spans="1:14" x14ac:dyDescent="0.35">
      <c r="A253" s="2">
        <v>45120</v>
      </c>
      <c r="B253" t="s">
        <v>376</v>
      </c>
      <c r="C253" t="s">
        <v>89</v>
      </c>
      <c r="D253" t="s">
        <v>52</v>
      </c>
      <c r="E253" t="s">
        <v>34</v>
      </c>
      <c r="F253">
        <v>2</v>
      </c>
      <c r="G253">
        <v>300.88</v>
      </c>
      <c r="H253" t="s">
        <v>64</v>
      </c>
      <c r="I253" t="s">
        <v>377</v>
      </c>
      <c r="J253" t="s">
        <v>26</v>
      </c>
      <c r="K253" t="s">
        <v>27</v>
      </c>
      <c r="L253" t="s">
        <v>66</v>
      </c>
      <c r="M253" t="s">
        <v>56</v>
      </c>
      <c r="N253">
        <v>601.76</v>
      </c>
    </row>
    <row r="254" spans="1:14" x14ac:dyDescent="0.35">
      <c r="A254" s="2">
        <v>45528</v>
      </c>
      <c r="B254" t="s">
        <v>835</v>
      </c>
      <c r="C254" t="s">
        <v>81</v>
      </c>
      <c r="D254" t="s">
        <v>42</v>
      </c>
      <c r="E254" t="s">
        <v>83</v>
      </c>
      <c r="F254">
        <v>10</v>
      </c>
      <c r="G254">
        <v>248.55</v>
      </c>
      <c r="H254" t="s">
        <v>35</v>
      </c>
      <c r="I254" t="s">
        <v>836</v>
      </c>
      <c r="J254" t="s">
        <v>37</v>
      </c>
      <c r="K254" t="s">
        <v>27</v>
      </c>
      <c r="L254" t="s">
        <v>39</v>
      </c>
      <c r="M254" t="s">
        <v>79</v>
      </c>
      <c r="N254">
        <v>2485.5</v>
      </c>
    </row>
    <row r="255" spans="1:14" x14ac:dyDescent="0.35">
      <c r="A255" s="2">
        <v>44977</v>
      </c>
      <c r="B255" t="s">
        <v>133</v>
      </c>
      <c r="C255" t="s">
        <v>74</v>
      </c>
      <c r="D255" t="s">
        <v>22</v>
      </c>
      <c r="E255" t="s">
        <v>34</v>
      </c>
      <c r="F255">
        <v>5</v>
      </c>
      <c r="G255">
        <v>237.09</v>
      </c>
      <c r="H255" t="s">
        <v>44</v>
      </c>
      <c r="I255" t="s">
        <v>134</v>
      </c>
      <c r="J255" t="s">
        <v>97</v>
      </c>
      <c r="K255" t="s">
        <v>38</v>
      </c>
      <c r="L255" t="s">
        <v>39</v>
      </c>
      <c r="M255" t="s">
        <v>29</v>
      </c>
      <c r="N255">
        <v>1185.45</v>
      </c>
    </row>
    <row r="256" spans="1:14" x14ac:dyDescent="0.35">
      <c r="A256" s="2">
        <v>45143</v>
      </c>
      <c r="B256" t="s">
        <v>147</v>
      </c>
      <c r="C256" t="s">
        <v>106</v>
      </c>
      <c r="D256" t="s">
        <v>52</v>
      </c>
      <c r="E256" t="s">
        <v>83</v>
      </c>
      <c r="F256">
        <v>5</v>
      </c>
      <c r="G256">
        <v>45.97</v>
      </c>
      <c r="H256" t="s">
        <v>24</v>
      </c>
      <c r="I256" t="s">
        <v>392</v>
      </c>
      <c r="J256" t="s">
        <v>97</v>
      </c>
      <c r="K256" t="s">
        <v>60</v>
      </c>
      <c r="L256" t="s">
        <v>28</v>
      </c>
      <c r="M256" t="s">
        <v>79</v>
      </c>
      <c r="N256">
        <v>229.85</v>
      </c>
    </row>
    <row r="257" spans="1:14" x14ac:dyDescent="0.35">
      <c r="A257" s="2">
        <v>45317</v>
      </c>
      <c r="B257" t="s">
        <v>586</v>
      </c>
      <c r="C257" t="s">
        <v>51</v>
      </c>
      <c r="D257" t="s">
        <v>22</v>
      </c>
      <c r="E257" t="s">
        <v>83</v>
      </c>
      <c r="F257">
        <v>8</v>
      </c>
      <c r="G257">
        <v>158.02000000000001</v>
      </c>
      <c r="H257" t="s">
        <v>44</v>
      </c>
      <c r="I257" t="s">
        <v>587</v>
      </c>
      <c r="J257" t="s">
        <v>55</v>
      </c>
      <c r="K257" t="s">
        <v>60</v>
      </c>
      <c r="L257" t="s">
        <v>28</v>
      </c>
      <c r="M257" t="s">
        <v>61</v>
      </c>
      <c r="N257">
        <v>1264.1600000000001</v>
      </c>
    </row>
    <row r="258" spans="1:14" x14ac:dyDescent="0.35">
      <c r="A258" s="2">
        <v>45177</v>
      </c>
      <c r="B258" t="s">
        <v>429</v>
      </c>
      <c r="C258" t="s">
        <v>21</v>
      </c>
      <c r="D258" t="s">
        <v>42</v>
      </c>
      <c r="E258" t="s">
        <v>92</v>
      </c>
      <c r="F258">
        <v>4</v>
      </c>
      <c r="G258">
        <v>217.07</v>
      </c>
      <c r="H258" t="s">
        <v>58</v>
      </c>
      <c r="I258" t="s">
        <v>430</v>
      </c>
      <c r="J258" t="s">
        <v>26</v>
      </c>
      <c r="K258" t="s">
        <v>27</v>
      </c>
      <c r="L258" t="s">
        <v>39</v>
      </c>
      <c r="M258" t="s">
        <v>61</v>
      </c>
      <c r="N258">
        <v>868.28</v>
      </c>
    </row>
    <row r="259" spans="1:14" x14ac:dyDescent="0.35">
      <c r="A259" s="2">
        <v>45094</v>
      </c>
      <c r="B259" t="s">
        <v>344</v>
      </c>
      <c r="C259" t="s">
        <v>21</v>
      </c>
      <c r="D259" t="s">
        <v>33</v>
      </c>
      <c r="E259" t="s">
        <v>23</v>
      </c>
      <c r="F259">
        <v>7</v>
      </c>
      <c r="G259">
        <v>229.82</v>
      </c>
      <c r="H259" t="s">
        <v>35</v>
      </c>
      <c r="I259" t="s">
        <v>345</v>
      </c>
      <c r="J259" t="s">
        <v>55</v>
      </c>
      <c r="K259" t="s">
        <v>27</v>
      </c>
      <c r="L259" t="s">
        <v>39</v>
      </c>
      <c r="M259" t="s">
        <v>79</v>
      </c>
      <c r="N259">
        <v>1608.74</v>
      </c>
    </row>
    <row r="260" spans="1:14" x14ac:dyDescent="0.35">
      <c r="A260" s="2">
        <v>45037</v>
      </c>
      <c r="B260" t="s">
        <v>252</v>
      </c>
      <c r="C260" t="s">
        <v>106</v>
      </c>
      <c r="D260" t="s">
        <v>22</v>
      </c>
      <c r="E260" t="s">
        <v>23</v>
      </c>
      <c r="F260">
        <v>10</v>
      </c>
      <c r="G260">
        <v>310.02</v>
      </c>
      <c r="H260" t="s">
        <v>64</v>
      </c>
      <c r="I260" t="s">
        <v>253</v>
      </c>
      <c r="J260" t="s">
        <v>55</v>
      </c>
      <c r="K260" t="s">
        <v>60</v>
      </c>
      <c r="L260" t="s">
        <v>39</v>
      </c>
      <c r="M260" t="s">
        <v>61</v>
      </c>
      <c r="N260">
        <v>3100.2</v>
      </c>
    </row>
    <row r="261" spans="1:14" x14ac:dyDescent="0.35">
      <c r="A261" s="2">
        <v>45066</v>
      </c>
      <c r="B261" t="s">
        <v>296</v>
      </c>
      <c r="C261" t="s">
        <v>51</v>
      </c>
      <c r="D261" t="s">
        <v>52</v>
      </c>
      <c r="E261" t="s">
        <v>34</v>
      </c>
      <c r="F261">
        <v>10</v>
      </c>
      <c r="G261">
        <v>294.99</v>
      </c>
      <c r="H261" t="s">
        <v>64</v>
      </c>
      <c r="I261" t="s">
        <v>297</v>
      </c>
      <c r="J261" t="s">
        <v>26</v>
      </c>
      <c r="K261" t="s">
        <v>60</v>
      </c>
      <c r="L261" t="s">
        <v>28</v>
      </c>
      <c r="M261" t="s">
        <v>79</v>
      </c>
      <c r="N261">
        <v>2949.9</v>
      </c>
    </row>
    <row r="262" spans="1:14" x14ac:dyDescent="0.35">
      <c r="A262" s="2">
        <v>45342</v>
      </c>
      <c r="B262" t="s">
        <v>625</v>
      </c>
      <c r="C262" t="s">
        <v>81</v>
      </c>
      <c r="D262" t="s">
        <v>52</v>
      </c>
      <c r="E262" t="s">
        <v>92</v>
      </c>
      <c r="F262">
        <v>7</v>
      </c>
      <c r="G262">
        <v>228.97</v>
      </c>
      <c r="H262" t="s">
        <v>58</v>
      </c>
      <c r="I262" t="s">
        <v>626</v>
      </c>
      <c r="J262" t="s">
        <v>94</v>
      </c>
      <c r="K262" t="s">
        <v>60</v>
      </c>
      <c r="L262" t="s">
        <v>66</v>
      </c>
      <c r="M262" t="s">
        <v>49</v>
      </c>
      <c r="N262">
        <v>1602.79</v>
      </c>
    </row>
    <row r="263" spans="1:14" x14ac:dyDescent="0.35">
      <c r="A263" s="2">
        <v>45689</v>
      </c>
      <c r="B263" t="s">
        <v>991</v>
      </c>
      <c r="C263" t="s">
        <v>71</v>
      </c>
      <c r="D263" t="s">
        <v>22</v>
      </c>
      <c r="E263" t="s">
        <v>83</v>
      </c>
      <c r="F263">
        <v>4</v>
      </c>
      <c r="G263">
        <v>173.42</v>
      </c>
      <c r="H263" t="s">
        <v>24</v>
      </c>
      <c r="I263" t="s">
        <v>992</v>
      </c>
      <c r="J263" t="s">
        <v>97</v>
      </c>
      <c r="K263" t="s">
        <v>78</v>
      </c>
      <c r="L263" t="s">
        <v>28</v>
      </c>
      <c r="M263" t="s">
        <v>79</v>
      </c>
      <c r="N263">
        <v>693.68</v>
      </c>
    </row>
    <row r="264" spans="1:14" x14ac:dyDescent="0.35">
      <c r="A264" s="2">
        <v>45147</v>
      </c>
      <c r="B264" t="s">
        <v>394</v>
      </c>
      <c r="C264" t="s">
        <v>47</v>
      </c>
      <c r="D264" t="s">
        <v>22</v>
      </c>
      <c r="E264" t="s">
        <v>34</v>
      </c>
      <c r="F264">
        <v>4</v>
      </c>
      <c r="G264">
        <v>392.47</v>
      </c>
      <c r="H264" t="s">
        <v>44</v>
      </c>
      <c r="I264" t="s">
        <v>395</v>
      </c>
      <c r="J264" t="s">
        <v>26</v>
      </c>
      <c r="K264" t="s">
        <v>78</v>
      </c>
      <c r="L264" t="s">
        <v>28</v>
      </c>
      <c r="M264" t="s">
        <v>67</v>
      </c>
      <c r="N264">
        <v>1569.88</v>
      </c>
    </row>
    <row r="265" spans="1:14" x14ac:dyDescent="0.35">
      <c r="A265" s="2">
        <v>45243</v>
      </c>
      <c r="B265" t="s">
        <v>511</v>
      </c>
      <c r="C265" t="s">
        <v>81</v>
      </c>
      <c r="D265" t="s">
        <v>42</v>
      </c>
      <c r="E265" t="s">
        <v>34</v>
      </c>
      <c r="F265">
        <v>5</v>
      </c>
      <c r="G265">
        <v>68.88</v>
      </c>
      <c r="H265" t="s">
        <v>58</v>
      </c>
      <c r="I265" t="s">
        <v>512</v>
      </c>
      <c r="J265" t="s">
        <v>97</v>
      </c>
      <c r="K265" t="s">
        <v>60</v>
      </c>
      <c r="L265" t="s">
        <v>39</v>
      </c>
      <c r="M265" t="s">
        <v>29</v>
      </c>
      <c r="N265">
        <v>344.4</v>
      </c>
    </row>
    <row r="266" spans="1:14" x14ac:dyDescent="0.35">
      <c r="A266" s="2">
        <v>45583</v>
      </c>
      <c r="B266" t="s">
        <v>638</v>
      </c>
      <c r="C266" t="s">
        <v>51</v>
      </c>
      <c r="D266" t="s">
        <v>52</v>
      </c>
      <c r="E266" t="s">
        <v>43</v>
      </c>
      <c r="F266">
        <v>6</v>
      </c>
      <c r="G266">
        <v>335.39</v>
      </c>
      <c r="H266" t="s">
        <v>58</v>
      </c>
      <c r="I266" t="s">
        <v>879</v>
      </c>
      <c r="J266" t="s">
        <v>26</v>
      </c>
      <c r="K266" t="s">
        <v>78</v>
      </c>
      <c r="L266" t="s">
        <v>39</v>
      </c>
      <c r="M266" t="s">
        <v>61</v>
      </c>
      <c r="N266">
        <v>2012.34</v>
      </c>
    </row>
    <row r="267" spans="1:14" x14ac:dyDescent="0.35">
      <c r="A267" s="2">
        <v>45341</v>
      </c>
      <c r="B267" t="s">
        <v>621</v>
      </c>
      <c r="C267" t="s">
        <v>74</v>
      </c>
      <c r="D267" t="s">
        <v>52</v>
      </c>
      <c r="E267" t="s">
        <v>83</v>
      </c>
      <c r="F267">
        <v>4</v>
      </c>
      <c r="G267">
        <v>29.05</v>
      </c>
      <c r="H267" t="s">
        <v>44</v>
      </c>
      <c r="I267" t="s">
        <v>622</v>
      </c>
      <c r="J267" t="s">
        <v>94</v>
      </c>
      <c r="K267" t="s">
        <v>38</v>
      </c>
      <c r="L267" t="s">
        <v>39</v>
      </c>
      <c r="M267" t="s">
        <v>29</v>
      </c>
      <c r="N267">
        <v>116.2</v>
      </c>
    </row>
    <row r="268" spans="1:14" x14ac:dyDescent="0.35">
      <c r="A268" s="2">
        <v>44983</v>
      </c>
      <c r="B268" t="s">
        <v>147</v>
      </c>
      <c r="C268" t="s">
        <v>89</v>
      </c>
      <c r="D268" t="s">
        <v>22</v>
      </c>
      <c r="E268" t="s">
        <v>63</v>
      </c>
      <c r="F268">
        <v>3</v>
      </c>
      <c r="G268">
        <v>152.75</v>
      </c>
      <c r="H268" t="s">
        <v>44</v>
      </c>
      <c r="I268" t="s">
        <v>148</v>
      </c>
      <c r="J268" t="s">
        <v>37</v>
      </c>
      <c r="K268" t="s">
        <v>27</v>
      </c>
      <c r="L268" t="s">
        <v>28</v>
      </c>
      <c r="M268" t="s">
        <v>101</v>
      </c>
      <c r="N268">
        <v>458.25</v>
      </c>
    </row>
    <row r="269" spans="1:14" x14ac:dyDescent="0.35">
      <c r="A269" s="2">
        <v>45364</v>
      </c>
      <c r="B269" t="s">
        <v>651</v>
      </c>
      <c r="C269" t="s">
        <v>74</v>
      </c>
      <c r="D269" t="s">
        <v>42</v>
      </c>
      <c r="E269" t="s">
        <v>23</v>
      </c>
      <c r="F269">
        <v>8</v>
      </c>
      <c r="G269">
        <v>231.47</v>
      </c>
      <c r="H269" t="s">
        <v>35</v>
      </c>
      <c r="I269" t="s">
        <v>652</v>
      </c>
      <c r="J269" t="s">
        <v>94</v>
      </c>
      <c r="K269" t="s">
        <v>60</v>
      </c>
      <c r="L269" t="s">
        <v>28</v>
      </c>
      <c r="M269" t="s">
        <v>67</v>
      </c>
      <c r="N269">
        <v>1851.76</v>
      </c>
    </row>
    <row r="270" spans="1:14" x14ac:dyDescent="0.35">
      <c r="A270" s="2">
        <v>45820</v>
      </c>
      <c r="B270" t="s">
        <v>1084</v>
      </c>
      <c r="C270" t="s">
        <v>89</v>
      </c>
      <c r="D270" t="s">
        <v>42</v>
      </c>
      <c r="E270" t="s">
        <v>83</v>
      </c>
      <c r="F270">
        <v>9</v>
      </c>
      <c r="G270">
        <v>328.28</v>
      </c>
      <c r="H270" t="s">
        <v>35</v>
      </c>
      <c r="I270" t="s">
        <v>1085</v>
      </c>
      <c r="J270" t="s">
        <v>55</v>
      </c>
      <c r="K270" t="s">
        <v>78</v>
      </c>
      <c r="L270" t="s">
        <v>39</v>
      </c>
      <c r="M270" t="s">
        <v>56</v>
      </c>
      <c r="N270">
        <v>2954.52</v>
      </c>
    </row>
    <row r="271" spans="1:14" x14ac:dyDescent="0.35">
      <c r="A271" s="2">
        <v>45794</v>
      </c>
      <c r="B271" t="s">
        <v>1031</v>
      </c>
      <c r="C271" t="s">
        <v>89</v>
      </c>
      <c r="D271" t="s">
        <v>42</v>
      </c>
      <c r="E271" t="s">
        <v>43</v>
      </c>
      <c r="F271">
        <v>9</v>
      </c>
      <c r="G271">
        <v>254.76</v>
      </c>
      <c r="H271" t="s">
        <v>35</v>
      </c>
      <c r="I271" t="s">
        <v>1061</v>
      </c>
      <c r="J271" t="s">
        <v>94</v>
      </c>
      <c r="K271" t="s">
        <v>38</v>
      </c>
      <c r="L271" t="s">
        <v>66</v>
      </c>
      <c r="M271" t="s">
        <v>79</v>
      </c>
      <c r="N271">
        <v>2292.84</v>
      </c>
    </row>
    <row r="272" spans="1:14" x14ac:dyDescent="0.35">
      <c r="A272" s="2">
        <v>45052</v>
      </c>
      <c r="B272" t="s">
        <v>275</v>
      </c>
      <c r="C272" t="s">
        <v>106</v>
      </c>
      <c r="D272" t="s">
        <v>22</v>
      </c>
      <c r="E272" t="s">
        <v>53</v>
      </c>
      <c r="F272">
        <v>3</v>
      </c>
      <c r="G272">
        <v>174.62</v>
      </c>
      <c r="H272" t="s">
        <v>35</v>
      </c>
      <c r="I272" t="s">
        <v>276</v>
      </c>
      <c r="J272" t="s">
        <v>97</v>
      </c>
      <c r="K272" t="s">
        <v>60</v>
      </c>
      <c r="L272" t="s">
        <v>39</v>
      </c>
      <c r="M272" t="s">
        <v>79</v>
      </c>
      <c r="N272">
        <v>523.86</v>
      </c>
    </row>
    <row r="273" spans="1:14" x14ac:dyDescent="0.35">
      <c r="A273" s="2">
        <v>45335</v>
      </c>
      <c r="B273" t="s">
        <v>605</v>
      </c>
      <c r="C273" t="s">
        <v>106</v>
      </c>
      <c r="D273" t="s">
        <v>33</v>
      </c>
      <c r="E273" t="s">
        <v>92</v>
      </c>
      <c r="F273">
        <v>2</v>
      </c>
      <c r="G273">
        <v>332.06</v>
      </c>
      <c r="H273" t="s">
        <v>24</v>
      </c>
      <c r="I273" t="s">
        <v>606</v>
      </c>
      <c r="J273" t="s">
        <v>97</v>
      </c>
      <c r="K273" t="s">
        <v>60</v>
      </c>
      <c r="L273" t="s">
        <v>28</v>
      </c>
      <c r="M273" t="s">
        <v>49</v>
      </c>
      <c r="N273">
        <v>664.12</v>
      </c>
    </row>
    <row r="274" spans="1:14" x14ac:dyDescent="0.35">
      <c r="A274" s="2">
        <v>45220</v>
      </c>
      <c r="B274" t="s">
        <v>481</v>
      </c>
      <c r="C274" t="s">
        <v>51</v>
      </c>
      <c r="D274" t="s">
        <v>22</v>
      </c>
      <c r="E274" t="s">
        <v>53</v>
      </c>
      <c r="F274">
        <v>5</v>
      </c>
      <c r="G274">
        <v>170.02</v>
      </c>
      <c r="H274" t="s">
        <v>58</v>
      </c>
      <c r="I274" t="s">
        <v>482</v>
      </c>
      <c r="J274" t="s">
        <v>97</v>
      </c>
      <c r="K274" t="s">
        <v>27</v>
      </c>
      <c r="L274" t="s">
        <v>66</v>
      </c>
      <c r="M274" t="s">
        <v>79</v>
      </c>
      <c r="N274">
        <v>850.1</v>
      </c>
    </row>
    <row r="275" spans="1:14" x14ac:dyDescent="0.35">
      <c r="A275" s="2">
        <v>45613</v>
      </c>
      <c r="B275" t="s">
        <v>99</v>
      </c>
      <c r="C275" t="s">
        <v>89</v>
      </c>
      <c r="D275" t="s">
        <v>42</v>
      </c>
      <c r="E275" t="s">
        <v>23</v>
      </c>
      <c r="F275">
        <v>3</v>
      </c>
      <c r="G275">
        <v>17.98</v>
      </c>
      <c r="H275" t="s">
        <v>44</v>
      </c>
      <c r="I275" t="s">
        <v>914</v>
      </c>
      <c r="J275" t="s">
        <v>26</v>
      </c>
      <c r="K275" t="s">
        <v>27</v>
      </c>
      <c r="L275" t="s">
        <v>28</v>
      </c>
      <c r="M275" t="s">
        <v>101</v>
      </c>
      <c r="N275">
        <v>53.94</v>
      </c>
    </row>
    <row r="276" spans="1:14" x14ac:dyDescent="0.35">
      <c r="A276" s="2">
        <v>44998</v>
      </c>
      <c r="B276" t="s">
        <v>178</v>
      </c>
      <c r="C276" t="s">
        <v>74</v>
      </c>
      <c r="D276" t="s">
        <v>22</v>
      </c>
      <c r="E276" t="s">
        <v>83</v>
      </c>
      <c r="F276">
        <v>1</v>
      </c>
      <c r="G276">
        <v>188.28</v>
      </c>
      <c r="H276" t="s">
        <v>58</v>
      </c>
      <c r="I276" t="s">
        <v>179</v>
      </c>
      <c r="J276" t="s">
        <v>97</v>
      </c>
      <c r="K276" t="s">
        <v>60</v>
      </c>
      <c r="L276" t="s">
        <v>66</v>
      </c>
      <c r="M276" t="s">
        <v>29</v>
      </c>
      <c r="N276">
        <v>188.28</v>
      </c>
    </row>
    <row r="277" spans="1:14" x14ac:dyDescent="0.35">
      <c r="A277" s="2">
        <v>45617</v>
      </c>
      <c r="B277" t="s">
        <v>923</v>
      </c>
      <c r="C277" t="s">
        <v>41</v>
      </c>
      <c r="D277" t="s">
        <v>22</v>
      </c>
      <c r="E277" t="s">
        <v>92</v>
      </c>
      <c r="F277">
        <v>1</v>
      </c>
      <c r="G277">
        <v>380.74</v>
      </c>
      <c r="H277" t="s">
        <v>58</v>
      </c>
      <c r="I277" t="s">
        <v>924</v>
      </c>
      <c r="J277" t="s">
        <v>94</v>
      </c>
      <c r="K277" t="s">
        <v>78</v>
      </c>
      <c r="L277" t="s">
        <v>39</v>
      </c>
      <c r="M277" t="s">
        <v>56</v>
      </c>
      <c r="N277">
        <v>380.74</v>
      </c>
    </row>
    <row r="278" spans="1:14" x14ac:dyDescent="0.35">
      <c r="A278" s="2">
        <v>44994</v>
      </c>
      <c r="B278" t="s">
        <v>170</v>
      </c>
      <c r="C278" t="s">
        <v>106</v>
      </c>
      <c r="D278" t="s">
        <v>33</v>
      </c>
      <c r="E278" t="s">
        <v>34</v>
      </c>
      <c r="F278">
        <v>8</v>
      </c>
      <c r="G278">
        <v>396.79</v>
      </c>
      <c r="H278" t="s">
        <v>58</v>
      </c>
      <c r="I278" t="s">
        <v>171</v>
      </c>
      <c r="J278" t="s">
        <v>97</v>
      </c>
      <c r="K278" t="s">
        <v>27</v>
      </c>
      <c r="L278" t="s">
        <v>39</v>
      </c>
      <c r="M278" t="s">
        <v>56</v>
      </c>
      <c r="N278">
        <v>3174.32</v>
      </c>
    </row>
    <row r="279" spans="1:14" x14ac:dyDescent="0.35">
      <c r="A279" s="2">
        <v>45475</v>
      </c>
      <c r="B279" t="s">
        <v>759</v>
      </c>
      <c r="C279" t="s">
        <v>86</v>
      </c>
      <c r="D279" t="s">
        <v>52</v>
      </c>
      <c r="E279" t="s">
        <v>23</v>
      </c>
      <c r="F279">
        <v>3</v>
      </c>
      <c r="G279">
        <v>86.64</v>
      </c>
      <c r="H279" t="s">
        <v>44</v>
      </c>
      <c r="I279" t="s">
        <v>760</v>
      </c>
      <c r="J279" t="s">
        <v>37</v>
      </c>
      <c r="K279" t="s">
        <v>78</v>
      </c>
      <c r="L279" t="s">
        <v>28</v>
      </c>
      <c r="M279" t="s">
        <v>49</v>
      </c>
      <c r="N279">
        <v>259.92</v>
      </c>
    </row>
    <row r="280" spans="1:14" x14ac:dyDescent="0.35">
      <c r="A280" s="2">
        <v>45649</v>
      </c>
      <c r="B280" t="s">
        <v>953</v>
      </c>
      <c r="C280" t="s">
        <v>86</v>
      </c>
      <c r="D280" t="s">
        <v>52</v>
      </c>
      <c r="E280" t="s">
        <v>23</v>
      </c>
      <c r="F280">
        <v>8</v>
      </c>
      <c r="G280">
        <v>45.99</v>
      </c>
      <c r="H280" t="s">
        <v>64</v>
      </c>
      <c r="I280" t="s">
        <v>954</v>
      </c>
      <c r="J280" t="s">
        <v>26</v>
      </c>
      <c r="K280" t="s">
        <v>60</v>
      </c>
      <c r="L280" t="s">
        <v>28</v>
      </c>
      <c r="M280" t="s">
        <v>29</v>
      </c>
      <c r="N280">
        <v>367.92</v>
      </c>
    </row>
    <row r="281" spans="1:14" x14ac:dyDescent="0.35">
      <c r="A281" s="2">
        <v>45264</v>
      </c>
      <c r="B281" t="s">
        <v>536</v>
      </c>
      <c r="C281" t="s">
        <v>21</v>
      </c>
      <c r="D281" t="s">
        <v>22</v>
      </c>
      <c r="E281" t="s">
        <v>23</v>
      </c>
      <c r="F281">
        <v>1</v>
      </c>
      <c r="G281">
        <v>201.06</v>
      </c>
      <c r="H281" t="s">
        <v>35</v>
      </c>
      <c r="I281" t="s">
        <v>537</v>
      </c>
      <c r="J281" t="s">
        <v>97</v>
      </c>
      <c r="K281" t="s">
        <v>27</v>
      </c>
      <c r="L281" t="s">
        <v>66</v>
      </c>
      <c r="M281" t="s">
        <v>29</v>
      </c>
      <c r="N281">
        <v>201.06</v>
      </c>
    </row>
    <row r="282" spans="1:14" x14ac:dyDescent="0.35">
      <c r="A282" s="2">
        <v>45657</v>
      </c>
      <c r="B282" t="s">
        <v>961</v>
      </c>
      <c r="C282" t="s">
        <v>89</v>
      </c>
      <c r="D282" t="s">
        <v>22</v>
      </c>
      <c r="E282" t="s">
        <v>92</v>
      </c>
      <c r="F282">
        <v>7</v>
      </c>
      <c r="G282">
        <v>206.22</v>
      </c>
      <c r="H282" t="s">
        <v>44</v>
      </c>
      <c r="I282" t="s">
        <v>962</v>
      </c>
      <c r="J282" t="s">
        <v>94</v>
      </c>
      <c r="K282" t="s">
        <v>60</v>
      </c>
      <c r="L282" t="s">
        <v>39</v>
      </c>
      <c r="M282" t="s">
        <v>49</v>
      </c>
      <c r="N282">
        <v>1443.54</v>
      </c>
    </row>
    <row r="283" spans="1:14" x14ac:dyDescent="0.35">
      <c r="A283" s="2">
        <v>44951</v>
      </c>
      <c r="B283" t="s">
        <v>91</v>
      </c>
      <c r="C283" t="s">
        <v>47</v>
      </c>
      <c r="D283" t="s">
        <v>22</v>
      </c>
      <c r="E283" t="s">
        <v>92</v>
      </c>
      <c r="F283">
        <v>3</v>
      </c>
      <c r="G283">
        <v>18.59</v>
      </c>
      <c r="H283" t="s">
        <v>58</v>
      </c>
      <c r="I283" t="s">
        <v>93</v>
      </c>
      <c r="J283" t="s">
        <v>94</v>
      </c>
      <c r="K283" t="s">
        <v>27</v>
      </c>
      <c r="L283" t="s">
        <v>39</v>
      </c>
      <c r="M283" t="s">
        <v>67</v>
      </c>
      <c r="N283">
        <v>55.77</v>
      </c>
    </row>
    <row r="284" spans="1:14" x14ac:dyDescent="0.35">
      <c r="A284" s="2">
        <v>45515</v>
      </c>
      <c r="B284" t="s">
        <v>821</v>
      </c>
      <c r="C284" t="s">
        <v>71</v>
      </c>
      <c r="D284" t="s">
        <v>42</v>
      </c>
      <c r="E284" t="s">
        <v>23</v>
      </c>
      <c r="F284">
        <v>5</v>
      </c>
      <c r="G284">
        <v>164.32</v>
      </c>
      <c r="H284" t="s">
        <v>35</v>
      </c>
      <c r="I284" t="s">
        <v>822</v>
      </c>
      <c r="J284" t="s">
        <v>55</v>
      </c>
      <c r="K284" t="s">
        <v>27</v>
      </c>
      <c r="L284" t="s">
        <v>28</v>
      </c>
      <c r="M284" t="s">
        <v>101</v>
      </c>
      <c r="N284">
        <v>821.59999999999991</v>
      </c>
    </row>
    <row r="285" spans="1:14" x14ac:dyDescent="0.35">
      <c r="A285" s="2">
        <v>45820</v>
      </c>
      <c r="B285" t="s">
        <v>1086</v>
      </c>
      <c r="C285" t="s">
        <v>71</v>
      </c>
      <c r="D285" t="s">
        <v>52</v>
      </c>
      <c r="E285" t="s">
        <v>53</v>
      </c>
      <c r="F285">
        <v>9</v>
      </c>
      <c r="G285">
        <v>249.93</v>
      </c>
      <c r="H285" t="s">
        <v>24</v>
      </c>
      <c r="I285" t="s">
        <v>1087</v>
      </c>
      <c r="J285" t="s">
        <v>37</v>
      </c>
      <c r="K285" t="s">
        <v>78</v>
      </c>
      <c r="L285" t="s">
        <v>66</v>
      </c>
      <c r="M285" t="s">
        <v>56</v>
      </c>
      <c r="N285">
        <v>2249.37</v>
      </c>
    </row>
    <row r="286" spans="1:14" x14ac:dyDescent="0.35">
      <c r="A286" s="2">
        <v>45105</v>
      </c>
      <c r="B286" t="s">
        <v>360</v>
      </c>
      <c r="C286" t="s">
        <v>89</v>
      </c>
      <c r="D286" t="s">
        <v>42</v>
      </c>
      <c r="E286" t="s">
        <v>63</v>
      </c>
      <c r="F286">
        <v>8</v>
      </c>
      <c r="G286">
        <v>216.91</v>
      </c>
      <c r="H286" t="s">
        <v>64</v>
      </c>
      <c r="I286" t="s">
        <v>361</v>
      </c>
      <c r="J286" t="s">
        <v>37</v>
      </c>
      <c r="K286" t="s">
        <v>78</v>
      </c>
      <c r="L286" t="s">
        <v>66</v>
      </c>
      <c r="M286" t="s">
        <v>67</v>
      </c>
      <c r="N286">
        <v>1735.28</v>
      </c>
    </row>
    <row r="287" spans="1:14" x14ac:dyDescent="0.35">
      <c r="A287" s="2">
        <v>45206</v>
      </c>
      <c r="B287" t="s">
        <v>459</v>
      </c>
      <c r="C287" t="s">
        <v>74</v>
      </c>
      <c r="D287" t="s">
        <v>22</v>
      </c>
      <c r="E287" t="s">
        <v>23</v>
      </c>
      <c r="F287">
        <v>1</v>
      </c>
      <c r="G287">
        <v>53.75</v>
      </c>
      <c r="H287" t="s">
        <v>58</v>
      </c>
      <c r="I287" t="s">
        <v>460</v>
      </c>
      <c r="J287" t="s">
        <v>94</v>
      </c>
      <c r="K287" t="s">
        <v>27</v>
      </c>
      <c r="L287" t="s">
        <v>66</v>
      </c>
      <c r="M287" t="s">
        <v>79</v>
      </c>
      <c r="N287">
        <v>53.75</v>
      </c>
    </row>
    <row r="288" spans="1:14" x14ac:dyDescent="0.35">
      <c r="A288" s="2">
        <v>45726</v>
      </c>
      <c r="B288" t="s">
        <v>1018</v>
      </c>
      <c r="C288" t="s">
        <v>106</v>
      </c>
      <c r="D288" t="s">
        <v>22</v>
      </c>
      <c r="E288" t="s">
        <v>63</v>
      </c>
      <c r="F288">
        <v>3</v>
      </c>
      <c r="G288">
        <v>149.79</v>
      </c>
      <c r="H288" t="s">
        <v>44</v>
      </c>
      <c r="I288" t="s">
        <v>1019</v>
      </c>
      <c r="J288" t="s">
        <v>37</v>
      </c>
      <c r="K288" t="s">
        <v>60</v>
      </c>
      <c r="L288" t="s">
        <v>39</v>
      </c>
      <c r="M288" t="s">
        <v>29</v>
      </c>
      <c r="N288">
        <v>449.37</v>
      </c>
    </row>
    <row r="289" spans="1:14" x14ac:dyDescent="0.35">
      <c r="A289" s="2">
        <v>45011</v>
      </c>
      <c r="B289" t="s">
        <v>210</v>
      </c>
      <c r="C289" t="s">
        <v>41</v>
      </c>
      <c r="D289" t="s">
        <v>22</v>
      </c>
      <c r="E289" t="s">
        <v>83</v>
      </c>
      <c r="F289">
        <v>5</v>
      </c>
      <c r="G289">
        <v>133.72</v>
      </c>
      <c r="H289" t="s">
        <v>58</v>
      </c>
      <c r="I289" t="s">
        <v>211</v>
      </c>
      <c r="J289" t="s">
        <v>37</v>
      </c>
      <c r="K289" t="s">
        <v>27</v>
      </c>
      <c r="L289" t="s">
        <v>66</v>
      </c>
      <c r="M289" t="s">
        <v>101</v>
      </c>
      <c r="N289">
        <v>668.6</v>
      </c>
    </row>
    <row r="290" spans="1:14" x14ac:dyDescent="0.35">
      <c r="A290" s="2">
        <v>45003</v>
      </c>
      <c r="B290" t="s">
        <v>76</v>
      </c>
      <c r="C290" t="s">
        <v>81</v>
      </c>
      <c r="D290" t="s">
        <v>22</v>
      </c>
      <c r="E290" t="s">
        <v>23</v>
      </c>
      <c r="F290">
        <v>1</v>
      </c>
      <c r="G290">
        <v>305.19</v>
      </c>
      <c r="H290" t="s">
        <v>64</v>
      </c>
      <c r="I290" t="s">
        <v>186</v>
      </c>
      <c r="J290" t="s">
        <v>37</v>
      </c>
      <c r="K290" t="s">
        <v>78</v>
      </c>
      <c r="L290" t="s">
        <v>28</v>
      </c>
      <c r="M290" t="s">
        <v>79</v>
      </c>
      <c r="N290">
        <v>305.19</v>
      </c>
    </row>
    <row r="291" spans="1:14" x14ac:dyDescent="0.35">
      <c r="A291" s="2">
        <v>45819</v>
      </c>
      <c r="B291" t="s">
        <v>935</v>
      </c>
      <c r="C291" t="s">
        <v>51</v>
      </c>
      <c r="D291" t="s">
        <v>33</v>
      </c>
      <c r="E291" t="s">
        <v>63</v>
      </c>
      <c r="F291">
        <v>10</v>
      </c>
      <c r="G291">
        <v>287.93</v>
      </c>
      <c r="H291" t="s">
        <v>64</v>
      </c>
      <c r="I291" t="s">
        <v>1082</v>
      </c>
      <c r="J291" t="s">
        <v>97</v>
      </c>
      <c r="K291" t="s">
        <v>27</v>
      </c>
      <c r="L291" t="s">
        <v>39</v>
      </c>
      <c r="M291" t="s">
        <v>67</v>
      </c>
      <c r="N291">
        <v>2879.3</v>
      </c>
    </row>
    <row r="292" spans="1:14" x14ac:dyDescent="0.35">
      <c r="A292" s="2">
        <v>45063</v>
      </c>
      <c r="B292" t="s">
        <v>131</v>
      </c>
      <c r="C292" t="s">
        <v>21</v>
      </c>
      <c r="D292" t="s">
        <v>42</v>
      </c>
      <c r="E292" t="s">
        <v>63</v>
      </c>
      <c r="F292">
        <v>10</v>
      </c>
      <c r="G292">
        <v>356.74</v>
      </c>
      <c r="H292" t="s">
        <v>35</v>
      </c>
      <c r="I292" t="s">
        <v>293</v>
      </c>
      <c r="J292" t="s">
        <v>55</v>
      </c>
      <c r="K292" t="s">
        <v>60</v>
      </c>
      <c r="L292" t="s">
        <v>66</v>
      </c>
      <c r="M292" t="s">
        <v>67</v>
      </c>
      <c r="N292">
        <v>3567.4</v>
      </c>
    </row>
    <row r="293" spans="1:14" x14ac:dyDescent="0.35">
      <c r="A293" s="2">
        <v>45338</v>
      </c>
      <c r="B293" t="s">
        <v>614</v>
      </c>
      <c r="C293" t="s">
        <v>47</v>
      </c>
      <c r="D293" t="s">
        <v>33</v>
      </c>
      <c r="E293" t="s">
        <v>43</v>
      </c>
      <c r="F293">
        <v>10</v>
      </c>
      <c r="G293">
        <v>105.45</v>
      </c>
      <c r="H293" t="s">
        <v>64</v>
      </c>
      <c r="I293" t="s">
        <v>615</v>
      </c>
      <c r="J293" t="s">
        <v>97</v>
      </c>
      <c r="K293" t="s">
        <v>38</v>
      </c>
      <c r="L293" t="s">
        <v>28</v>
      </c>
      <c r="M293" t="s">
        <v>61</v>
      </c>
      <c r="N293">
        <v>1054.5</v>
      </c>
    </row>
    <row r="294" spans="1:14" x14ac:dyDescent="0.35">
      <c r="A294" s="2">
        <v>45603</v>
      </c>
      <c r="B294" t="s">
        <v>908</v>
      </c>
      <c r="C294" t="s">
        <v>106</v>
      </c>
      <c r="D294" t="s">
        <v>42</v>
      </c>
      <c r="E294" t="s">
        <v>53</v>
      </c>
      <c r="F294">
        <v>10</v>
      </c>
      <c r="G294">
        <v>369.1</v>
      </c>
      <c r="H294" t="s">
        <v>58</v>
      </c>
      <c r="I294" t="s">
        <v>909</v>
      </c>
      <c r="J294" t="s">
        <v>94</v>
      </c>
      <c r="K294" t="s">
        <v>78</v>
      </c>
      <c r="L294" t="s">
        <v>28</v>
      </c>
      <c r="M294" t="s">
        <v>56</v>
      </c>
      <c r="N294">
        <v>3691</v>
      </c>
    </row>
    <row r="295" spans="1:14" x14ac:dyDescent="0.35">
      <c r="A295" s="2">
        <v>45630</v>
      </c>
      <c r="B295" t="s">
        <v>935</v>
      </c>
      <c r="C295" t="s">
        <v>89</v>
      </c>
      <c r="D295" t="s">
        <v>33</v>
      </c>
      <c r="E295" t="s">
        <v>43</v>
      </c>
      <c r="F295">
        <v>8</v>
      </c>
      <c r="G295">
        <v>62.29</v>
      </c>
      <c r="H295" t="s">
        <v>35</v>
      </c>
      <c r="I295" t="s">
        <v>936</v>
      </c>
      <c r="J295" t="s">
        <v>26</v>
      </c>
      <c r="K295" t="s">
        <v>60</v>
      </c>
      <c r="L295" t="s">
        <v>39</v>
      </c>
      <c r="M295" t="s">
        <v>67</v>
      </c>
      <c r="N295">
        <v>498.32</v>
      </c>
    </row>
    <row r="296" spans="1:14" x14ac:dyDescent="0.35">
      <c r="A296" s="2">
        <v>45057</v>
      </c>
      <c r="B296" t="s">
        <v>281</v>
      </c>
      <c r="C296" t="s">
        <v>74</v>
      </c>
      <c r="D296" t="s">
        <v>52</v>
      </c>
      <c r="E296" t="s">
        <v>63</v>
      </c>
      <c r="F296">
        <v>3</v>
      </c>
      <c r="G296">
        <v>168.63</v>
      </c>
      <c r="H296" t="s">
        <v>64</v>
      </c>
      <c r="I296" t="s">
        <v>282</v>
      </c>
      <c r="J296" t="s">
        <v>55</v>
      </c>
      <c r="K296" t="s">
        <v>27</v>
      </c>
      <c r="L296" t="s">
        <v>66</v>
      </c>
      <c r="M296" t="s">
        <v>56</v>
      </c>
      <c r="N296">
        <v>505.89</v>
      </c>
    </row>
    <row r="297" spans="1:14" x14ac:dyDescent="0.35">
      <c r="A297" s="2">
        <v>45705</v>
      </c>
      <c r="B297" t="s">
        <v>1004</v>
      </c>
      <c r="C297" t="s">
        <v>41</v>
      </c>
      <c r="D297" t="s">
        <v>52</v>
      </c>
      <c r="E297" t="s">
        <v>34</v>
      </c>
      <c r="F297">
        <v>4</v>
      </c>
      <c r="G297">
        <v>153.75</v>
      </c>
      <c r="H297" t="s">
        <v>24</v>
      </c>
      <c r="I297" t="s">
        <v>1005</v>
      </c>
      <c r="J297" t="s">
        <v>97</v>
      </c>
      <c r="K297" t="s">
        <v>27</v>
      </c>
      <c r="L297" t="s">
        <v>66</v>
      </c>
      <c r="M297" t="s">
        <v>29</v>
      </c>
      <c r="N297">
        <v>615</v>
      </c>
    </row>
    <row r="298" spans="1:14" x14ac:dyDescent="0.35">
      <c r="A298" s="2">
        <v>45006</v>
      </c>
      <c r="B298" t="s">
        <v>193</v>
      </c>
      <c r="C298" t="s">
        <v>89</v>
      </c>
      <c r="D298" t="s">
        <v>33</v>
      </c>
      <c r="E298" t="s">
        <v>92</v>
      </c>
      <c r="F298">
        <v>7</v>
      </c>
      <c r="G298">
        <v>24.39</v>
      </c>
      <c r="H298" t="s">
        <v>44</v>
      </c>
      <c r="I298" t="s">
        <v>194</v>
      </c>
      <c r="J298" t="s">
        <v>94</v>
      </c>
      <c r="K298" t="s">
        <v>78</v>
      </c>
      <c r="L298" t="s">
        <v>28</v>
      </c>
      <c r="M298" t="s">
        <v>49</v>
      </c>
      <c r="N298">
        <v>170.73</v>
      </c>
    </row>
    <row r="299" spans="1:14" x14ac:dyDescent="0.35">
      <c r="A299" s="2">
        <v>45667</v>
      </c>
      <c r="B299" t="s">
        <v>957</v>
      </c>
      <c r="C299" t="s">
        <v>106</v>
      </c>
      <c r="D299" t="s">
        <v>33</v>
      </c>
      <c r="E299" t="s">
        <v>23</v>
      </c>
      <c r="F299">
        <v>3</v>
      </c>
      <c r="G299">
        <v>258.74</v>
      </c>
      <c r="H299" t="s">
        <v>35</v>
      </c>
      <c r="I299" t="s">
        <v>971</v>
      </c>
      <c r="J299" t="s">
        <v>97</v>
      </c>
      <c r="K299" t="s">
        <v>27</v>
      </c>
      <c r="L299" t="s">
        <v>39</v>
      </c>
      <c r="M299" t="s">
        <v>61</v>
      </c>
      <c r="N299">
        <v>776.22</v>
      </c>
    </row>
    <row r="300" spans="1:14" x14ac:dyDescent="0.35">
      <c r="A300" s="2">
        <v>45667</v>
      </c>
      <c r="B300" t="s">
        <v>198</v>
      </c>
      <c r="C300" t="s">
        <v>106</v>
      </c>
      <c r="D300" t="s">
        <v>33</v>
      </c>
      <c r="E300" t="s">
        <v>43</v>
      </c>
      <c r="F300">
        <v>10</v>
      </c>
      <c r="G300">
        <v>19.72</v>
      </c>
      <c r="H300" t="s">
        <v>64</v>
      </c>
      <c r="I300" t="s">
        <v>973</v>
      </c>
      <c r="J300" t="s">
        <v>37</v>
      </c>
      <c r="K300" t="s">
        <v>38</v>
      </c>
      <c r="L300" t="s">
        <v>66</v>
      </c>
      <c r="M300" t="s">
        <v>61</v>
      </c>
      <c r="N300">
        <v>197.2</v>
      </c>
    </row>
    <row r="301" spans="1:14" x14ac:dyDescent="0.35">
      <c r="A301" s="2">
        <v>45760</v>
      </c>
      <c r="B301" t="s">
        <v>669</v>
      </c>
      <c r="C301" t="s">
        <v>47</v>
      </c>
      <c r="D301" t="s">
        <v>33</v>
      </c>
      <c r="E301" t="s">
        <v>53</v>
      </c>
      <c r="F301">
        <v>1</v>
      </c>
      <c r="G301">
        <v>60.07</v>
      </c>
      <c r="H301" t="s">
        <v>58</v>
      </c>
      <c r="I301" t="s">
        <v>1038</v>
      </c>
      <c r="J301" t="s">
        <v>55</v>
      </c>
      <c r="K301" t="s">
        <v>27</v>
      </c>
      <c r="L301" t="s">
        <v>39</v>
      </c>
      <c r="M301" t="s">
        <v>101</v>
      </c>
      <c r="N301">
        <v>60.07</v>
      </c>
    </row>
    <row r="302" spans="1:14" x14ac:dyDescent="0.35">
      <c r="A302" s="2">
        <v>44928</v>
      </c>
      <c r="B302" t="s">
        <v>32</v>
      </c>
      <c r="C302" t="s">
        <v>21</v>
      </c>
      <c r="D302" t="s">
        <v>33</v>
      </c>
      <c r="E302" t="s">
        <v>34</v>
      </c>
      <c r="F302">
        <v>3</v>
      </c>
      <c r="G302">
        <v>112.59</v>
      </c>
      <c r="H302" t="s">
        <v>35</v>
      </c>
      <c r="I302" t="s">
        <v>36</v>
      </c>
      <c r="J302" t="s">
        <v>37</v>
      </c>
      <c r="K302" t="s">
        <v>38</v>
      </c>
      <c r="L302" t="s">
        <v>39</v>
      </c>
      <c r="M302" t="s">
        <v>29</v>
      </c>
      <c r="N302">
        <v>337.77</v>
      </c>
    </row>
    <row r="303" spans="1:14" x14ac:dyDescent="0.35">
      <c r="A303" s="2">
        <v>45551</v>
      </c>
      <c r="B303" t="s">
        <v>735</v>
      </c>
      <c r="C303" t="s">
        <v>71</v>
      </c>
      <c r="D303" t="s">
        <v>52</v>
      </c>
      <c r="E303" t="s">
        <v>53</v>
      </c>
      <c r="F303">
        <v>7</v>
      </c>
      <c r="G303">
        <v>19.21</v>
      </c>
      <c r="H303" t="s">
        <v>44</v>
      </c>
      <c r="I303" t="s">
        <v>849</v>
      </c>
      <c r="J303" t="s">
        <v>26</v>
      </c>
      <c r="K303" t="s">
        <v>27</v>
      </c>
      <c r="L303" t="s">
        <v>66</v>
      </c>
      <c r="M303" t="s">
        <v>29</v>
      </c>
      <c r="N303">
        <v>134.47</v>
      </c>
    </row>
    <row r="304" spans="1:14" x14ac:dyDescent="0.35">
      <c r="A304" s="2">
        <v>45359</v>
      </c>
      <c r="B304" t="s">
        <v>646</v>
      </c>
      <c r="C304" t="s">
        <v>71</v>
      </c>
      <c r="D304" t="s">
        <v>52</v>
      </c>
      <c r="E304" t="s">
        <v>53</v>
      </c>
      <c r="F304">
        <v>6</v>
      </c>
      <c r="G304">
        <v>140.38</v>
      </c>
      <c r="H304" t="s">
        <v>44</v>
      </c>
      <c r="I304" t="s">
        <v>647</v>
      </c>
      <c r="J304" t="s">
        <v>94</v>
      </c>
      <c r="K304" t="s">
        <v>78</v>
      </c>
      <c r="L304" t="s">
        <v>28</v>
      </c>
      <c r="M304" t="s">
        <v>61</v>
      </c>
      <c r="N304">
        <v>842.28</v>
      </c>
    </row>
    <row r="305" spans="1:14" x14ac:dyDescent="0.35">
      <c r="A305" s="2">
        <v>44990</v>
      </c>
      <c r="B305" t="s">
        <v>162</v>
      </c>
      <c r="C305" t="s">
        <v>89</v>
      </c>
      <c r="D305" t="s">
        <v>33</v>
      </c>
      <c r="E305" t="s">
        <v>63</v>
      </c>
      <c r="F305">
        <v>8</v>
      </c>
      <c r="G305">
        <v>182.9</v>
      </c>
      <c r="H305" t="s">
        <v>44</v>
      </c>
      <c r="I305" t="s">
        <v>163</v>
      </c>
      <c r="J305" t="s">
        <v>26</v>
      </c>
      <c r="K305" t="s">
        <v>78</v>
      </c>
      <c r="L305" t="s">
        <v>66</v>
      </c>
      <c r="M305" t="s">
        <v>101</v>
      </c>
      <c r="N305">
        <v>1463.2</v>
      </c>
    </row>
    <row r="306" spans="1:14" x14ac:dyDescent="0.35">
      <c r="A306" s="2">
        <v>45470</v>
      </c>
      <c r="B306" t="s">
        <v>753</v>
      </c>
      <c r="C306" t="s">
        <v>51</v>
      </c>
      <c r="D306" t="s">
        <v>22</v>
      </c>
      <c r="E306" t="s">
        <v>63</v>
      </c>
      <c r="F306">
        <v>4</v>
      </c>
      <c r="G306">
        <v>311.31</v>
      </c>
      <c r="H306" t="s">
        <v>64</v>
      </c>
      <c r="I306" t="s">
        <v>754</v>
      </c>
      <c r="J306" t="s">
        <v>26</v>
      </c>
      <c r="K306" t="s">
        <v>60</v>
      </c>
      <c r="L306" t="s">
        <v>39</v>
      </c>
      <c r="M306" t="s">
        <v>56</v>
      </c>
      <c r="N306">
        <v>1245.24</v>
      </c>
    </row>
    <row r="307" spans="1:14" x14ac:dyDescent="0.35">
      <c r="A307" s="2">
        <v>45096</v>
      </c>
      <c r="B307" t="s">
        <v>350</v>
      </c>
      <c r="C307" t="s">
        <v>106</v>
      </c>
      <c r="D307" t="s">
        <v>42</v>
      </c>
      <c r="E307" t="s">
        <v>92</v>
      </c>
      <c r="F307">
        <v>4</v>
      </c>
      <c r="G307">
        <v>323.45999999999998</v>
      </c>
      <c r="H307" t="s">
        <v>24</v>
      </c>
      <c r="I307" t="s">
        <v>351</v>
      </c>
      <c r="J307" t="s">
        <v>97</v>
      </c>
      <c r="K307" t="s">
        <v>27</v>
      </c>
      <c r="L307" t="s">
        <v>28</v>
      </c>
      <c r="M307" t="s">
        <v>29</v>
      </c>
      <c r="N307">
        <v>1293.8399999999999</v>
      </c>
    </row>
    <row r="308" spans="1:14" x14ac:dyDescent="0.35">
      <c r="A308" s="2">
        <v>45212</v>
      </c>
      <c r="B308" t="s">
        <v>470</v>
      </c>
      <c r="C308" t="s">
        <v>21</v>
      </c>
      <c r="D308" t="s">
        <v>42</v>
      </c>
      <c r="E308" t="s">
        <v>34</v>
      </c>
      <c r="F308">
        <v>3</v>
      </c>
      <c r="G308">
        <v>287.54000000000002</v>
      </c>
      <c r="H308" t="s">
        <v>35</v>
      </c>
      <c r="I308" t="s">
        <v>471</v>
      </c>
      <c r="J308" t="s">
        <v>55</v>
      </c>
      <c r="K308" t="s">
        <v>60</v>
      </c>
      <c r="L308" t="s">
        <v>39</v>
      </c>
      <c r="M308" t="s">
        <v>61</v>
      </c>
      <c r="N308">
        <v>862.62000000000012</v>
      </c>
    </row>
    <row r="309" spans="1:14" x14ac:dyDescent="0.35">
      <c r="A309" s="2">
        <v>45236</v>
      </c>
      <c r="B309" t="s">
        <v>499</v>
      </c>
      <c r="C309" t="s">
        <v>71</v>
      </c>
      <c r="D309" t="s">
        <v>52</v>
      </c>
      <c r="E309" t="s">
        <v>53</v>
      </c>
      <c r="F309">
        <v>8</v>
      </c>
      <c r="G309">
        <v>224.47</v>
      </c>
      <c r="H309" t="s">
        <v>64</v>
      </c>
      <c r="I309" t="s">
        <v>500</v>
      </c>
      <c r="J309" t="s">
        <v>55</v>
      </c>
      <c r="K309" t="s">
        <v>78</v>
      </c>
      <c r="L309" t="s">
        <v>66</v>
      </c>
      <c r="M309" t="s">
        <v>29</v>
      </c>
      <c r="N309">
        <v>1795.76</v>
      </c>
    </row>
    <row r="310" spans="1:14" x14ac:dyDescent="0.35">
      <c r="A310" s="2">
        <v>45563</v>
      </c>
      <c r="B310" t="s">
        <v>863</v>
      </c>
      <c r="C310" t="s">
        <v>86</v>
      </c>
      <c r="D310" t="s">
        <v>22</v>
      </c>
      <c r="E310" t="s">
        <v>23</v>
      </c>
      <c r="F310">
        <v>4</v>
      </c>
      <c r="G310">
        <v>134.1</v>
      </c>
      <c r="H310" t="s">
        <v>58</v>
      </c>
      <c r="I310" t="s">
        <v>864</v>
      </c>
      <c r="J310" t="s">
        <v>94</v>
      </c>
      <c r="K310" t="s">
        <v>38</v>
      </c>
      <c r="L310" t="s">
        <v>66</v>
      </c>
      <c r="M310" t="s">
        <v>79</v>
      </c>
      <c r="N310">
        <v>536.4</v>
      </c>
    </row>
    <row r="311" spans="1:14" x14ac:dyDescent="0.35">
      <c r="A311" s="2">
        <v>45580</v>
      </c>
      <c r="B311" t="s">
        <v>875</v>
      </c>
      <c r="C311" t="s">
        <v>21</v>
      </c>
      <c r="D311" t="s">
        <v>52</v>
      </c>
      <c r="E311" t="s">
        <v>34</v>
      </c>
      <c r="F311">
        <v>10</v>
      </c>
      <c r="G311">
        <v>238.98</v>
      </c>
      <c r="H311" t="s">
        <v>58</v>
      </c>
      <c r="I311" t="s">
        <v>876</v>
      </c>
      <c r="J311" t="s">
        <v>26</v>
      </c>
      <c r="K311" t="s">
        <v>60</v>
      </c>
      <c r="L311" t="s">
        <v>66</v>
      </c>
      <c r="M311" t="s">
        <v>49</v>
      </c>
      <c r="N311">
        <v>2389.8000000000002</v>
      </c>
    </row>
    <row r="312" spans="1:14" x14ac:dyDescent="0.35">
      <c r="A312" s="2">
        <v>45217</v>
      </c>
      <c r="B312" t="s">
        <v>477</v>
      </c>
      <c r="C312" t="s">
        <v>106</v>
      </c>
      <c r="D312" t="s">
        <v>33</v>
      </c>
      <c r="E312" t="s">
        <v>34</v>
      </c>
      <c r="F312">
        <v>1</v>
      </c>
      <c r="G312">
        <v>157.01</v>
      </c>
      <c r="H312" t="s">
        <v>24</v>
      </c>
      <c r="I312" t="s">
        <v>478</v>
      </c>
      <c r="J312" t="s">
        <v>55</v>
      </c>
      <c r="K312" t="s">
        <v>38</v>
      </c>
      <c r="L312" t="s">
        <v>66</v>
      </c>
      <c r="M312" t="s">
        <v>67</v>
      </c>
      <c r="N312">
        <v>157.01</v>
      </c>
    </row>
    <row r="313" spans="1:14" x14ac:dyDescent="0.35">
      <c r="A313" s="2">
        <v>45407</v>
      </c>
      <c r="B313" t="s">
        <v>689</v>
      </c>
      <c r="C313" t="s">
        <v>86</v>
      </c>
      <c r="D313" t="s">
        <v>22</v>
      </c>
      <c r="E313" t="s">
        <v>23</v>
      </c>
      <c r="F313">
        <v>3</v>
      </c>
      <c r="G313">
        <v>385.02</v>
      </c>
      <c r="H313" t="s">
        <v>35</v>
      </c>
      <c r="I313" t="s">
        <v>690</v>
      </c>
      <c r="J313" t="s">
        <v>97</v>
      </c>
      <c r="K313" t="s">
        <v>38</v>
      </c>
      <c r="L313" t="s">
        <v>39</v>
      </c>
      <c r="M313" t="s">
        <v>56</v>
      </c>
      <c r="N313">
        <v>1155.06</v>
      </c>
    </row>
    <row r="314" spans="1:14" x14ac:dyDescent="0.35">
      <c r="A314" s="2">
        <v>45420</v>
      </c>
      <c r="B314" t="s">
        <v>701</v>
      </c>
      <c r="C314" t="s">
        <v>71</v>
      </c>
      <c r="D314" t="s">
        <v>42</v>
      </c>
      <c r="E314" t="s">
        <v>83</v>
      </c>
      <c r="F314">
        <v>9</v>
      </c>
      <c r="G314">
        <v>361.39</v>
      </c>
      <c r="H314" t="s">
        <v>44</v>
      </c>
      <c r="I314" t="s">
        <v>702</v>
      </c>
      <c r="J314" t="s">
        <v>55</v>
      </c>
      <c r="K314" t="s">
        <v>60</v>
      </c>
      <c r="L314" t="s">
        <v>39</v>
      </c>
      <c r="M314" t="s">
        <v>67</v>
      </c>
      <c r="N314">
        <v>3252.51</v>
      </c>
    </row>
    <row r="315" spans="1:14" x14ac:dyDescent="0.35">
      <c r="A315" s="2">
        <v>45399</v>
      </c>
      <c r="B315" t="s">
        <v>386</v>
      </c>
      <c r="C315" t="s">
        <v>89</v>
      </c>
      <c r="D315" t="s">
        <v>22</v>
      </c>
      <c r="E315" t="s">
        <v>83</v>
      </c>
      <c r="F315">
        <v>2</v>
      </c>
      <c r="G315">
        <v>221.29</v>
      </c>
      <c r="H315" t="s">
        <v>64</v>
      </c>
      <c r="I315" t="s">
        <v>684</v>
      </c>
      <c r="J315" t="s">
        <v>55</v>
      </c>
      <c r="K315" t="s">
        <v>27</v>
      </c>
      <c r="L315" t="s">
        <v>28</v>
      </c>
      <c r="M315" t="s">
        <v>67</v>
      </c>
      <c r="N315">
        <v>442.58</v>
      </c>
    </row>
    <row r="316" spans="1:14" x14ac:dyDescent="0.35">
      <c r="A316" s="2">
        <v>45449</v>
      </c>
      <c r="B316" t="s">
        <v>507</v>
      </c>
      <c r="C316" t="s">
        <v>89</v>
      </c>
      <c r="D316" t="s">
        <v>22</v>
      </c>
      <c r="E316" t="s">
        <v>53</v>
      </c>
      <c r="F316">
        <v>4</v>
      </c>
      <c r="G316">
        <v>163.36000000000001</v>
      </c>
      <c r="H316" t="s">
        <v>64</v>
      </c>
      <c r="I316" t="s">
        <v>733</v>
      </c>
      <c r="J316" t="s">
        <v>94</v>
      </c>
      <c r="K316" t="s">
        <v>60</v>
      </c>
      <c r="L316" t="s">
        <v>39</v>
      </c>
      <c r="M316" t="s">
        <v>56</v>
      </c>
      <c r="N316">
        <v>653.44000000000005</v>
      </c>
    </row>
    <row r="317" spans="1:14" x14ac:dyDescent="0.35">
      <c r="A317" s="2">
        <v>45761</v>
      </c>
      <c r="B317" t="s">
        <v>719</v>
      </c>
      <c r="C317" t="s">
        <v>74</v>
      </c>
      <c r="D317" t="s">
        <v>33</v>
      </c>
      <c r="E317" t="s">
        <v>63</v>
      </c>
      <c r="F317">
        <v>9</v>
      </c>
      <c r="G317">
        <v>120.53</v>
      </c>
      <c r="H317" t="s">
        <v>44</v>
      </c>
      <c r="I317" t="s">
        <v>1040</v>
      </c>
      <c r="J317" t="s">
        <v>94</v>
      </c>
      <c r="K317" t="s">
        <v>60</v>
      </c>
      <c r="L317" t="s">
        <v>66</v>
      </c>
      <c r="M317" t="s">
        <v>29</v>
      </c>
      <c r="N317">
        <v>1084.77</v>
      </c>
    </row>
    <row r="318" spans="1:14" x14ac:dyDescent="0.35">
      <c r="A318" s="2">
        <v>45261</v>
      </c>
      <c r="B318" t="s">
        <v>530</v>
      </c>
      <c r="C318" t="s">
        <v>106</v>
      </c>
      <c r="D318" t="s">
        <v>42</v>
      </c>
      <c r="E318" t="s">
        <v>23</v>
      </c>
      <c r="F318">
        <v>3</v>
      </c>
      <c r="G318">
        <v>138.47999999999999</v>
      </c>
      <c r="H318" t="s">
        <v>44</v>
      </c>
      <c r="I318" t="s">
        <v>531</v>
      </c>
      <c r="J318" t="s">
        <v>26</v>
      </c>
      <c r="K318" t="s">
        <v>78</v>
      </c>
      <c r="L318" t="s">
        <v>39</v>
      </c>
      <c r="M318" t="s">
        <v>61</v>
      </c>
      <c r="N318">
        <v>415.43999999999988</v>
      </c>
    </row>
    <row r="319" spans="1:14" x14ac:dyDescent="0.35">
      <c r="A319" s="2">
        <v>45477</v>
      </c>
      <c r="B319" t="s">
        <v>607</v>
      </c>
      <c r="C319" t="s">
        <v>89</v>
      </c>
      <c r="D319" t="s">
        <v>42</v>
      </c>
      <c r="E319" t="s">
        <v>53</v>
      </c>
      <c r="F319">
        <v>4</v>
      </c>
      <c r="G319">
        <v>340.55</v>
      </c>
      <c r="H319" t="s">
        <v>44</v>
      </c>
      <c r="I319" t="s">
        <v>767</v>
      </c>
      <c r="J319" t="s">
        <v>26</v>
      </c>
      <c r="K319" t="s">
        <v>78</v>
      </c>
      <c r="L319" t="s">
        <v>66</v>
      </c>
      <c r="M319" t="s">
        <v>56</v>
      </c>
      <c r="N319">
        <v>1362.2</v>
      </c>
    </row>
    <row r="320" spans="1:14" x14ac:dyDescent="0.35">
      <c r="A320" s="2">
        <v>45671</v>
      </c>
      <c r="B320" t="s">
        <v>976</v>
      </c>
      <c r="C320" t="s">
        <v>89</v>
      </c>
      <c r="D320" t="s">
        <v>52</v>
      </c>
      <c r="E320" t="s">
        <v>92</v>
      </c>
      <c r="F320">
        <v>4</v>
      </c>
      <c r="G320">
        <v>158.41999999999999</v>
      </c>
      <c r="H320" t="s">
        <v>24</v>
      </c>
      <c r="I320" t="s">
        <v>977</v>
      </c>
      <c r="J320" t="s">
        <v>37</v>
      </c>
      <c r="K320" t="s">
        <v>38</v>
      </c>
      <c r="L320" t="s">
        <v>66</v>
      </c>
      <c r="M320" t="s">
        <v>49</v>
      </c>
      <c r="N320">
        <v>633.67999999999995</v>
      </c>
    </row>
    <row r="321" spans="1:14" x14ac:dyDescent="0.35">
      <c r="A321" s="2">
        <v>45749</v>
      </c>
      <c r="B321" t="s">
        <v>1027</v>
      </c>
      <c r="C321" t="s">
        <v>89</v>
      </c>
      <c r="D321" t="s">
        <v>22</v>
      </c>
      <c r="E321" t="s">
        <v>63</v>
      </c>
      <c r="F321">
        <v>8</v>
      </c>
      <c r="G321">
        <v>51.55</v>
      </c>
      <c r="H321" t="s">
        <v>64</v>
      </c>
      <c r="I321" t="s">
        <v>1028</v>
      </c>
      <c r="J321" t="s">
        <v>97</v>
      </c>
      <c r="K321" t="s">
        <v>27</v>
      </c>
      <c r="L321" t="s">
        <v>28</v>
      </c>
      <c r="M321" t="s">
        <v>67</v>
      </c>
      <c r="N321">
        <v>412.4</v>
      </c>
    </row>
    <row r="322" spans="1:14" x14ac:dyDescent="0.35">
      <c r="A322" s="2">
        <v>45029</v>
      </c>
      <c r="B322" t="s">
        <v>238</v>
      </c>
      <c r="C322" t="s">
        <v>21</v>
      </c>
      <c r="D322" t="s">
        <v>33</v>
      </c>
      <c r="E322" t="s">
        <v>43</v>
      </c>
      <c r="F322">
        <v>2</v>
      </c>
      <c r="G322">
        <v>58.36</v>
      </c>
      <c r="H322" t="s">
        <v>24</v>
      </c>
      <c r="I322" t="s">
        <v>239</v>
      </c>
      <c r="J322" t="s">
        <v>94</v>
      </c>
      <c r="K322" t="s">
        <v>38</v>
      </c>
      <c r="L322" t="s">
        <v>39</v>
      </c>
      <c r="M322" t="s">
        <v>56</v>
      </c>
      <c r="N322">
        <v>116.72</v>
      </c>
    </row>
    <row r="323" spans="1:14" x14ac:dyDescent="0.35">
      <c r="A323" s="2">
        <v>45389</v>
      </c>
      <c r="B323" t="s">
        <v>677</v>
      </c>
      <c r="C323" t="s">
        <v>47</v>
      </c>
      <c r="D323" t="s">
        <v>42</v>
      </c>
      <c r="E323" t="s">
        <v>34</v>
      </c>
      <c r="F323">
        <v>10</v>
      </c>
      <c r="G323">
        <v>330.6</v>
      </c>
      <c r="H323" t="s">
        <v>44</v>
      </c>
      <c r="I323" t="s">
        <v>678</v>
      </c>
      <c r="J323" t="s">
        <v>37</v>
      </c>
      <c r="K323" t="s">
        <v>78</v>
      </c>
      <c r="L323" t="s">
        <v>66</v>
      </c>
      <c r="M323" t="s">
        <v>101</v>
      </c>
      <c r="N323">
        <v>3306</v>
      </c>
    </row>
    <row r="324" spans="1:14" x14ac:dyDescent="0.35">
      <c r="A324" s="2">
        <v>45589</v>
      </c>
      <c r="B324" t="s">
        <v>884</v>
      </c>
      <c r="C324" t="s">
        <v>86</v>
      </c>
      <c r="D324" t="s">
        <v>22</v>
      </c>
      <c r="E324" t="s">
        <v>23</v>
      </c>
      <c r="F324">
        <v>8</v>
      </c>
      <c r="G324">
        <v>151.44999999999999</v>
      </c>
      <c r="H324" t="s">
        <v>35</v>
      </c>
      <c r="I324" t="s">
        <v>885</v>
      </c>
      <c r="J324" t="s">
        <v>26</v>
      </c>
      <c r="K324" t="s">
        <v>60</v>
      </c>
      <c r="L324" t="s">
        <v>28</v>
      </c>
      <c r="M324" t="s">
        <v>56</v>
      </c>
      <c r="N324">
        <v>1211.5999999999999</v>
      </c>
    </row>
    <row r="325" spans="1:14" x14ac:dyDescent="0.35">
      <c r="A325" s="2">
        <v>45657</v>
      </c>
      <c r="B325" t="s">
        <v>963</v>
      </c>
      <c r="C325" t="s">
        <v>81</v>
      </c>
      <c r="D325" t="s">
        <v>22</v>
      </c>
      <c r="E325" t="s">
        <v>83</v>
      </c>
      <c r="F325">
        <v>5</v>
      </c>
      <c r="G325">
        <v>38.89</v>
      </c>
      <c r="H325" t="s">
        <v>64</v>
      </c>
      <c r="I325" t="s">
        <v>964</v>
      </c>
      <c r="J325" t="s">
        <v>97</v>
      </c>
      <c r="K325" t="s">
        <v>78</v>
      </c>
      <c r="L325" t="s">
        <v>39</v>
      </c>
      <c r="M325" t="s">
        <v>49</v>
      </c>
      <c r="N325">
        <v>194.45</v>
      </c>
    </row>
    <row r="326" spans="1:14" x14ac:dyDescent="0.35">
      <c r="A326" s="2">
        <v>45560</v>
      </c>
      <c r="B326" t="s">
        <v>852</v>
      </c>
      <c r="C326" t="s">
        <v>51</v>
      </c>
      <c r="D326" t="s">
        <v>22</v>
      </c>
      <c r="E326" t="s">
        <v>23</v>
      </c>
      <c r="F326">
        <v>5</v>
      </c>
      <c r="G326">
        <v>316.62</v>
      </c>
      <c r="H326" t="s">
        <v>35</v>
      </c>
      <c r="I326" t="s">
        <v>853</v>
      </c>
      <c r="J326" t="s">
        <v>94</v>
      </c>
      <c r="K326" t="s">
        <v>78</v>
      </c>
      <c r="L326" t="s">
        <v>66</v>
      </c>
      <c r="M326" t="s">
        <v>67</v>
      </c>
      <c r="N326">
        <v>1583.1</v>
      </c>
    </row>
    <row r="327" spans="1:14" x14ac:dyDescent="0.35">
      <c r="A327" s="2">
        <v>45300</v>
      </c>
      <c r="B327" t="s">
        <v>279</v>
      </c>
      <c r="C327" t="s">
        <v>81</v>
      </c>
      <c r="D327" t="s">
        <v>33</v>
      </c>
      <c r="E327" t="s">
        <v>23</v>
      </c>
      <c r="F327">
        <v>10</v>
      </c>
      <c r="G327">
        <v>369.63</v>
      </c>
      <c r="H327" t="s">
        <v>24</v>
      </c>
      <c r="I327" t="s">
        <v>580</v>
      </c>
      <c r="J327" t="s">
        <v>94</v>
      </c>
      <c r="K327" t="s">
        <v>78</v>
      </c>
      <c r="L327" t="s">
        <v>28</v>
      </c>
      <c r="M327" t="s">
        <v>49</v>
      </c>
      <c r="N327">
        <v>3696.3</v>
      </c>
    </row>
    <row r="328" spans="1:14" x14ac:dyDescent="0.35">
      <c r="A328" s="2">
        <v>45050</v>
      </c>
      <c r="B328" t="s">
        <v>271</v>
      </c>
      <c r="C328" t="s">
        <v>86</v>
      </c>
      <c r="D328" t="s">
        <v>22</v>
      </c>
      <c r="E328" t="s">
        <v>92</v>
      </c>
      <c r="F328">
        <v>8</v>
      </c>
      <c r="G328">
        <v>58.28</v>
      </c>
      <c r="H328" t="s">
        <v>58</v>
      </c>
      <c r="I328" t="s">
        <v>272</v>
      </c>
      <c r="J328" t="s">
        <v>26</v>
      </c>
      <c r="K328" t="s">
        <v>60</v>
      </c>
      <c r="L328" t="s">
        <v>66</v>
      </c>
      <c r="M328" t="s">
        <v>56</v>
      </c>
      <c r="N328">
        <v>466.24</v>
      </c>
    </row>
    <row r="329" spans="1:14" x14ac:dyDescent="0.35">
      <c r="A329" s="2">
        <v>45494</v>
      </c>
      <c r="B329" t="s">
        <v>782</v>
      </c>
      <c r="C329" t="s">
        <v>81</v>
      </c>
      <c r="D329" t="s">
        <v>22</v>
      </c>
      <c r="E329" t="s">
        <v>53</v>
      </c>
      <c r="F329">
        <v>3</v>
      </c>
      <c r="G329">
        <v>136.38999999999999</v>
      </c>
      <c r="H329" t="s">
        <v>24</v>
      </c>
      <c r="I329" t="s">
        <v>783</v>
      </c>
      <c r="J329" t="s">
        <v>94</v>
      </c>
      <c r="K329" t="s">
        <v>38</v>
      </c>
      <c r="L329" t="s">
        <v>39</v>
      </c>
      <c r="M329" t="s">
        <v>101</v>
      </c>
      <c r="N329">
        <v>409.17</v>
      </c>
    </row>
    <row r="330" spans="1:14" x14ac:dyDescent="0.35">
      <c r="A330" s="2">
        <v>45744</v>
      </c>
      <c r="B330" t="s">
        <v>586</v>
      </c>
      <c r="C330" t="s">
        <v>106</v>
      </c>
      <c r="D330" t="s">
        <v>33</v>
      </c>
      <c r="E330" t="s">
        <v>63</v>
      </c>
      <c r="F330">
        <v>4</v>
      </c>
      <c r="G330">
        <v>314.73</v>
      </c>
      <c r="H330" t="s">
        <v>35</v>
      </c>
      <c r="I330" t="s">
        <v>1025</v>
      </c>
      <c r="J330" t="s">
        <v>37</v>
      </c>
      <c r="K330" t="s">
        <v>38</v>
      </c>
      <c r="L330" t="s">
        <v>28</v>
      </c>
      <c r="M330" t="s">
        <v>61</v>
      </c>
      <c r="N330">
        <v>1258.92</v>
      </c>
    </row>
    <row r="331" spans="1:14" x14ac:dyDescent="0.35">
      <c r="A331" s="2">
        <v>45723</v>
      </c>
      <c r="B331" t="s">
        <v>390</v>
      </c>
      <c r="C331" t="s">
        <v>74</v>
      </c>
      <c r="D331" t="s">
        <v>42</v>
      </c>
      <c r="E331" t="s">
        <v>23</v>
      </c>
      <c r="F331">
        <v>4</v>
      </c>
      <c r="G331">
        <v>277.5</v>
      </c>
      <c r="H331" t="s">
        <v>35</v>
      </c>
      <c r="I331" t="s">
        <v>1016</v>
      </c>
      <c r="J331" t="s">
        <v>97</v>
      </c>
      <c r="K331" t="s">
        <v>60</v>
      </c>
      <c r="L331" t="s">
        <v>28</v>
      </c>
      <c r="M331" t="s">
        <v>61</v>
      </c>
      <c r="N331">
        <v>1110</v>
      </c>
    </row>
    <row r="332" spans="1:14" x14ac:dyDescent="0.35">
      <c r="A332" s="2">
        <v>45382</v>
      </c>
      <c r="B332" t="s">
        <v>671</v>
      </c>
      <c r="C332" t="s">
        <v>106</v>
      </c>
      <c r="D332" t="s">
        <v>52</v>
      </c>
      <c r="E332" t="s">
        <v>23</v>
      </c>
      <c r="F332">
        <v>3</v>
      </c>
      <c r="G332">
        <v>261.76</v>
      </c>
      <c r="H332" t="s">
        <v>44</v>
      </c>
      <c r="I332" t="s">
        <v>672</v>
      </c>
      <c r="J332" t="s">
        <v>26</v>
      </c>
      <c r="K332" t="s">
        <v>78</v>
      </c>
      <c r="L332" t="s">
        <v>66</v>
      </c>
      <c r="M332" t="s">
        <v>101</v>
      </c>
      <c r="N332">
        <v>785.28</v>
      </c>
    </row>
    <row r="333" spans="1:14" x14ac:dyDescent="0.35">
      <c r="A333" s="2">
        <v>45825</v>
      </c>
      <c r="B333" t="s">
        <v>1098</v>
      </c>
      <c r="C333" t="s">
        <v>86</v>
      </c>
      <c r="D333" t="s">
        <v>22</v>
      </c>
      <c r="E333" t="s">
        <v>63</v>
      </c>
      <c r="F333">
        <v>8</v>
      </c>
      <c r="G333">
        <v>268.58</v>
      </c>
      <c r="H333" t="s">
        <v>44</v>
      </c>
      <c r="I333" t="s">
        <v>1099</v>
      </c>
      <c r="J333" t="s">
        <v>97</v>
      </c>
      <c r="K333" t="s">
        <v>38</v>
      </c>
      <c r="L333" t="s">
        <v>28</v>
      </c>
      <c r="M333" t="s">
        <v>49</v>
      </c>
      <c r="N333">
        <v>2148.64</v>
      </c>
    </row>
    <row r="334" spans="1:14" x14ac:dyDescent="0.35">
      <c r="A334" s="2">
        <v>45747</v>
      </c>
      <c r="B334" t="s">
        <v>459</v>
      </c>
      <c r="C334" t="s">
        <v>89</v>
      </c>
      <c r="D334" t="s">
        <v>52</v>
      </c>
      <c r="E334" t="s">
        <v>83</v>
      </c>
      <c r="F334">
        <v>1</v>
      </c>
      <c r="G334">
        <v>46.55</v>
      </c>
      <c r="H334" t="s">
        <v>64</v>
      </c>
      <c r="I334" t="s">
        <v>1026</v>
      </c>
      <c r="J334" t="s">
        <v>97</v>
      </c>
      <c r="K334" t="s">
        <v>38</v>
      </c>
      <c r="L334" t="s">
        <v>66</v>
      </c>
      <c r="M334" t="s">
        <v>29</v>
      </c>
      <c r="N334">
        <v>46.55</v>
      </c>
    </row>
    <row r="335" spans="1:14" x14ac:dyDescent="0.35">
      <c r="A335" s="2">
        <v>45635</v>
      </c>
      <c r="B335" t="s">
        <v>940</v>
      </c>
      <c r="C335" t="s">
        <v>106</v>
      </c>
      <c r="D335" t="s">
        <v>22</v>
      </c>
      <c r="E335" t="s">
        <v>83</v>
      </c>
      <c r="F335">
        <v>5</v>
      </c>
      <c r="G335">
        <v>148.76</v>
      </c>
      <c r="H335" t="s">
        <v>24</v>
      </c>
      <c r="I335" t="s">
        <v>941</v>
      </c>
      <c r="J335" t="s">
        <v>26</v>
      </c>
      <c r="K335" t="s">
        <v>27</v>
      </c>
      <c r="L335" t="s">
        <v>28</v>
      </c>
      <c r="M335" t="s">
        <v>29</v>
      </c>
      <c r="N335">
        <v>743.8</v>
      </c>
    </row>
    <row r="336" spans="1:14" x14ac:dyDescent="0.35">
      <c r="A336" s="2">
        <v>45188</v>
      </c>
      <c r="B336" t="s">
        <v>439</v>
      </c>
      <c r="C336" t="s">
        <v>21</v>
      </c>
      <c r="D336" t="s">
        <v>42</v>
      </c>
      <c r="E336" t="s">
        <v>43</v>
      </c>
      <c r="F336">
        <v>9</v>
      </c>
      <c r="G336">
        <v>394.42</v>
      </c>
      <c r="H336" t="s">
        <v>44</v>
      </c>
      <c r="I336" t="s">
        <v>440</v>
      </c>
      <c r="J336" t="s">
        <v>26</v>
      </c>
      <c r="K336" t="s">
        <v>78</v>
      </c>
      <c r="L336" t="s">
        <v>28</v>
      </c>
      <c r="M336" t="s">
        <v>49</v>
      </c>
      <c r="N336">
        <v>3549.78</v>
      </c>
    </row>
    <row r="337" spans="1:14" x14ac:dyDescent="0.35">
      <c r="A337" s="2">
        <v>45776</v>
      </c>
      <c r="B337" t="s">
        <v>1051</v>
      </c>
      <c r="C337" t="s">
        <v>71</v>
      </c>
      <c r="D337" t="s">
        <v>52</v>
      </c>
      <c r="E337" t="s">
        <v>34</v>
      </c>
      <c r="F337">
        <v>1</v>
      </c>
      <c r="G337">
        <v>72</v>
      </c>
      <c r="H337" t="s">
        <v>24</v>
      </c>
      <c r="I337" t="s">
        <v>1052</v>
      </c>
      <c r="J337" t="s">
        <v>97</v>
      </c>
      <c r="K337" t="s">
        <v>60</v>
      </c>
      <c r="L337" t="s">
        <v>66</v>
      </c>
      <c r="M337" t="s">
        <v>49</v>
      </c>
      <c r="N337">
        <v>72</v>
      </c>
    </row>
    <row r="338" spans="1:14" x14ac:dyDescent="0.35">
      <c r="A338" s="2">
        <v>45352</v>
      </c>
      <c r="B338" t="s">
        <v>636</v>
      </c>
      <c r="C338" t="s">
        <v>89</v>
      </c>
      <c r="D338" t="s">
        <v>42</v>
      </c>
      <c r="E338" t="s">
        <v>43</v>
      </c>
      <c r="F338">
        <v>8</v>
      </c>
      <c r="G338">
        <v>226.4</v>
      </c>
      <c r="H338" t="s">
        <v>35</v>
      </c>
      <c r="I338" t="s">
        <v>637</v>
      </c>
      <c r="J338" t="s">
        <v>26</v>
      </c>
      <c r="K338" t="s">
        <v>27</v>
      </c>
      <c r="L338" t="s">
        <v>66</v>
      </c>
      <c r="M338" t="s">
        <v>61</v>
      </c>
      <c r="N338">
        <v>1811.2</v>
      </c>
    </row>
    <row r="339" spans="1:14" x14ac:dyDescent="0.35">
      <c r="A339" s="2">
        <v>45313</v>
      </c>
      <c r="B339" t="s">
        <v>370</v>
      </c>
      <c r="C339" t="s">
        <v>89</v>
      </c>
      <c r="D339" t="s">
        <v>42</v>
      </c>
      <c r="E339" t="s">
        <v>63</v>
      </c>
      <c r="F339">
        <v>3</v>
      </c>
      <c r="G339">
        <v>351.54</v>
      </c>
      <c r="H339" t="s">
        <v>58</v>
      </c>
      <c r="I339" t="s">
        <v>585</v>
      </c>
      <c r="J339" t="s">
        <v>97</v>
      </c>
      <c r="K339" t="s">
        <v>78</v>
      </c>
      <c r="L339" t="s">
        <v>28</v>
      </c>
      <c r="M339" t="s">
        <v>29</v>
      </c>
      <c r="N339">
        <v>1054.6199999999999</v>
      </c>
    </row>
    <row r="340" spans="1:14" x14ac:dyDescent="0.35">
      <c r="A340" s="2">
        <v>45292</v>
      </c>
      <c r="B340" t="s">
        <v>566</v>
      </c>
      <c r="C340" t="s">
        <v>106</v>
      </c>
      <c r="D340" t="s">
        <v>33</v>
      </c>
      <c r="E340" t="s">
        <v>92</v>
      </c>
      <c r="F340">
        <v>7</v>
      </c>
      <c r="G340">
        <v>157.11000000000001</v>
      </c>
      <c r="H340" t="s">
        <v>35</v>
      </c>
      <c r="I340" t="s">
        <v>567</v>
      </c>
      <c r="J340" t="s">
        <v>55</v>
      </c>
      <c r="K340" t="s">
        <v>78</v>
      </c>
      <c r="L340" t="s">
        <v>28</v>
      </c>
      <c r="M340" t="s">
        <v>29</v>
      </c>
      <c r="N340">
        <v>1099.77</v>
      </c>
    </row>
    <row r="341" spans="1:14" x14ac:dyDescent="0.35">
      <c r="A341" s="2">
        <v>45258</v>
      </c>
      <c r="B341" t="s">
        <v>218</v>
      </c>
      <c r="C341" t="s">
        <v>89</v>
      </c>
      <c r="D341" t="s">
        <v>42</v>
      </c>
      <c r="E341" t="s">
        <v>43</v>
      </c>
      <c r="F341">
        <v>10</v>
      </c>
      <c r="G341">
        <v>392.71</v>
      </c>
      <c r="H341" t="s">
        <v>64</v>
      </c>
      <c r="I341" t="s">
        <v>523</v>
      </c>
      <c r="J341" t="s">
        <v>94</v>
      </c>
      <c r="K341" t="s">
        <v>27</v>
      </c>
      <c r="L341" t="s">
        <v>28</v>
      </c>
      <c r="M341" t="s">
        <v>49</v>
      </c>
      <c r="N341">
        <v>3927.1</v>
      </c>
    </row>
    <row r="342" spans="1:14" x14ac:dyDescent="0.35">
      <c r="A342" s="2">
        <v>45163</v>
      </c>
      <c r="B342" t="s">
        <v>409</v>
      </c>
      <c r="C342" t="s">
        <v>86</v>
      </c>
      <c r="D342" t="s">
        <v>33</v>
      </c>
      <c r="E342" t="s">
        <v>34</v>
      </c>
      <c r="F342">
        <v>8</v>
      </c>
      <c r="G342">
        <v>310.26</v>
      </c>
      <c r="H342" t="s">
        <v>35</v>
      </c>
      <c r="I342" t="s">
        <v>410</v>
      </c>
      <c r="J342" t="s">
        <v>26</v>
      </c>
      <c r="K342" t="s">
        <v>78</v>
      </c>
      <c r="L342" t="s">
        <v>39</v>
      </c>
      <c r="M342" t="s">
        <v>61</v>
      </c>
      <c r="N342">
        <v>2482.08</v>
      </c>
    </row>
    <row r="343" spans="1:14" x14ac:dyDescent="0.35">
      <c r="A343" s="2">
        <v>45827</v>
      </c>
      <c r="B343" t="s">
        <v>1062</v>
      </c>
      <c r="C343" t="s">
        <v>89</v>
      </c>
      <c r="D343" t="s">
        <v>42</v>
      </c>
      <c r="E343" t="s">
        <v>34</v>
      </c>
      <c r="F343">
        <v>9</v>
      </c>
      <c r="G343">
        <v>11.91</v>
      </c>
      <c r="H343" t="s">
        <v>58</v>
      </c>
      <c r="I343" t="s">
        <v>1104</v>
      </c>
      <c r="J343" t="s">
        <v>97</v>
      </c>
      <c r="K343" t="s">
        <v>60</v>
      </c>
      <c r="L343" t="s">
        <v>28</v>
      </c>
      <c r="M343" t="s">
        <v>56</v>
      </c>
      <c r="N343">
        <v>107.19</v>
      </c>
    </row>
    <row r="344" spans="1:14" x14ac:dyDescent="0.35">
      <c r="A344" s="2">
        <v>45523</v>
      </c>
      <c r="B344" t="s">
        <v>833</v>
      </c>
      <c r="C344" t="s">
        <v>86</v>
      </c>
      <c r="D344" t="s">
        <v>52</v>
      </c>
      <c r="E344" t="s">
        <v>43</v>
      </c>
      <c r="F344">
        <v>1</v>
      </c>
      <c r="G344">
        <v>367.5</v>
      </c>
      <c r="H344" t="s">
        <v>44</v>
      </c>
      <c r="I344" t="s">
        <v>834</v>
      </c>
      <c r="J344" t="s">
        <v>97</v>
      </c>
      <c r="K344" t="s">
        <v>27</v>
      </c>
      <c r="L344" t="s">
        <v>66</v>
      </c>
      <c r="M344" t="s">
        <v>29</v>
      </c>
      <c r="N344">
        <v>367.5</v>
      </c>
    </row>
    <row r="345" spans="1:14" x14ac:dyDescent="0.35">
      <c r="A345" s="2">
        <v>45507</v>
      </c>
      <c r="B345" t="s">
        <v>812</v>
      </c>
      <c r="C345" t="s">
        <v>89</v>
      </c>
      <c r="D345" t="s">
        <v>42</v>
      </c>
      <c r="E345" t="s">
        <v>23</v>
      </c>
      <c r="F345">
        <v>1</v>
      </c>
      <c r="G345">
        <v>375.32</v>
      </c>
      <c r="H345" t="s">
        <v>24</v>
      </c>
      <c r="I345" t="s">
        <v>813</v>
      </c>
      <c r="J345" t="s">
        <v>26</v>
      </c>
      <c r="K345" t="s">
        <v>27</v>
      </c>
      <c r="L345" t="s">
        <v>28</v>
      </c>
      <c r="M345" t="s">
        <v>79</v>
      </c>
      <c r="N345">
        <v>375.32</v>
      </c>
    </row>
    <row r="346" spans="1:14" x14ac:dyDescent="0.35">
      <c r="A346" s="2">
        <v>45404</v>
      </c>
      <c r="B346" t="s">
        <v>441</v>
      </c>
      <c r="C346" t="s">
        <v>81</v>
      </c>
      <c r="D346" t="s">
        <v>52</v>
      </c>
      <c r="E346" t="s">
        <v>63</v>
      </c>
      <c r="F346">
        <v>2</v>
      </c>
      <c r="G346">
        <v>82.73</v>
      </c>
      <c r="H346" t="s">
        <v>64</v>
      </c>
      <c r="I346" t="s">
        <v>685</v>
      </c>
      <c r="J346" t="s">
        <v>55</v>
      </c>
      <c r="K346" t="s">
        <v>60</v>
      </c>
      <c r="L346" t="s">
        <v>28</v>
      </c>
      <c r="M346" t="s">
        <v>29</v>
      </c>
      <c r="N346">
        <v>165.46</v>
      </c>
    </row>
    <row r="347" spans="1:14" x14ac:dyDescent="0.35">
      <c r="A347" s="2">
        <v>45292</v>
      </c>
      <c r="B347" t="s">
        <v>275</v>
      </c>
      <c r="C347" t="s">
        <v>89</v>
      </c>
      <c r="D347" t="s">
        <v>22</v>
      </c>
      <c r="E347" t="s">
        <v>83</v>
      </c>
      <c r="F347">
        <v>1</v>
      </c>
      <c r="G347">
        <v>227.17</v>
      </c>
      <c r="H347" t="s">
        <v>58</v>
      </c>
      <c r="I347" t="s">
        <v>568</v>
      </c>
      <c r="J347" t="s">
        <v>97</v>
      </c>
      <c r="K347" t="s">
        <v>60</v>
      </c>
      <c r="L347" t="s">
        <v>39</v>
      </c>
      <c r="M347" t="s">
        <v>29</v>
      </c>
      <c r="N347">
        <v>227.17</v>
      </c>
    </row>
    <row r="348" spans="1:14" x14ac:dyDescent="0.35">
      <c r="A348" s="2">
        <v>45582</v>
      </c>
      <c r="B348" t="s">
        <v>877</v>
      </c>
      <c r="C348" t="s">
        <v>41</v>
      </c>
      <c r="D348" t="s">
        <v>22</v>
      </c>
      <c r="E348" t="s">
        <v>53</v>
      </c>
      <c r="F348">
        <v>4</v>
      </c>
      <c r="G348">
        <v>45.25</v>
      </c>
      <c r="H348" t="s">
        <v>64</v>
      </c>
      <c r="I348" t="s">
        <v>878</v>
      </c>
      <c r="J348" t="s">
        <v>55</v>
      </c>
      <c r="K348" t="s">
        <v>60</v>
      </c>
      <c r="L348" t="s">
        <v>66</v>
      </c>
      <c r="M348" t="s">
        <v>56</v>
      </c>
      <c r="N348">
        <v>181</v>
      </c>
    </row>
    <row r="349" spans="1:14" x14ac:dyDescent="0.35">
      <c r="A349" s="2">
        <v>45702</v>
      </c>
      <c r="B349" t="s">
        <v>1002</v>
      </c>
      <c r="C349" t="s">
        <v>86</v>
      </c>
      <c r="D349" t="s">
        <v>33</v>
      </c>
      <c r="E349" t="s">
        <v>63</v>
      </c>
      <c r="F349">
        <v>2</v>
      </c>
      <c r="G349">
        <v>328.5</v>
      </c>
      <c r="H349" t="s">
        <v>44</v>
      </c>
      <c r="I349" t="s">
        <v>1003</v>
      </c>
      <c r="J349" t="s">
        <v>26</v>
      </c>
      <c r="K349" t="s">
        <v>78</v>
      </c>
      <c r="L349" t="s">
        <v>28</v>
      </c>
      <c r="M349" t="s">
        <v>61</v>
      </c>
      <c r="N349">
        <v>657</v>
      </c>
    </row>
    <row r="350" spans="1:14" x14ac:dyDescent="0.35">
      <c r="A350" s="2">
        <v>45009</v>
      </c>
      <c r="B350" t="s">
        <v>204</v>
      </c>
      <c r="C350" t="s">
        <v>86</v>
      </c>
      <c r="D350" t="s">
        <v>22</v>
      </c>
      <c r="E350" t="s">
        <v>63</v>
      </c>
      <c r="F350">
        <v>4</v>
      </c>
      <c r="G350">
        <v>368.99</v>
      </c>
      <c r="H350" t="s">
        <v>64</v>
      </c>
      <c r="I350" t="s">
        <v>205</v>
      </c>
      <c r="J350" t="s">
        <v>94</v>
      </c>
      <c r="K350" t="s">
        <v>60</v>
      </c>
      <c r="L350" t="s">
        <v>39</v>
      </c>
      <c r="M350" t="s">
        <v>61</v>
      </c>
      <c r="N350">
        <v>1475.96</v>
      </c>
    </row>
    <row r="351" spans="1:14" x14ac:dyDescent="0.35">
      <c r="A351" s="2">
        <v>45476</v>
      </c>
      <c r="B351" t="s">
        <v>765</v>
      </c>
      <c r="C351" t="s">
        <v>21</v>
      </c>
      <c r="D351" t="s">
        <v>22</v>
      </c>
      <c r="E351" t="s">
        <v>83</v>
      </c>
      <c r="F351">
        <v>7</v>
      </c>
      <c r="G351">
        <v>140.38999999999999</v>
      </c>
      <c r="H351" t="s">
        <v>58</v>
      </c>
      <c r="I351" t="s">
        <v>766</v>
      </c>
      <c r="J351" t="s">
        <v>97</v>
      </c>
      <c r="K351" t="s">
        <v>60</v>
      </c>
      <c r="L351" t="s">
        <v>28</v>
      </c>
      <c r="M351" t="s">
        <v>67</v>
      </c>
      <c r="N351">
        <v>982.7299999999999</v>
      </c>
    </row>
    <row r="352" spans="1:14" x14ac:dyDescent="0.35">
      <c r="A352" s="2">
        <v>45835</v>
      </c>
      <c r="B352" t="s">
        <v>378</v>
      </c>
      <c r="C352" t="s">
        <v>41</v>
      </c>
      <c r="D352" t="s">
        <v>33</v>
      </c>
      <c r="E352" t="s">
        <v>23</v>
      </c>
      <c r="F352">
        <v>5</v>
      </c>
      <c r="G352">
        <v>93.66</v>
      </c>
      <c r="H352" t="s">
        <v>64</v>
      </c>
      <c r="I352" t="s">
        <v>1114</v>
      </c>
      <c r="J352" t="s">
        <v>94</v>
      </c>
      <c r="K352" t="s">
        <v>78</v>
      </c>
      <c r="L352" t="s">
        <v>66</v>
      </c>
      <c r="M352" t="s">
        <v>61</v>
      </c>
      <c r="N352">
        <v>468.3</v>
      </c>
    </row>
    <row r="353" spans="1:14" x14ac:dyDescent="0.35">
      <c r="A353" s="2">
        <v>45762</v>
      </c>
      <c r="B353" t="s">
        <v>1043</v>
      </c>
      <c r="C353" t="s">
        <v>81</v>
      </c>
      <c r="D353" t="s">
        <v>33</v>
      </c>
      <c r="E353" t="s">
        <v>63</v>
      </c>
      <c r="F353">
        <v>8</v>
      </c>
      <c r="G353">
        <v>357.36</v>
      </c>
      <c r="H353" t="s">
        <v>44</v>
      </c>
      <c r="I353" t="s">
        <v>1044</v>
      </c>
      <c r="J353" t="s">
        <v>37</v>
      </c>
      <c r="K353" t="s">
        <v>78</v>
      </c>
      <c r="L353" t="s">
        <v>28</v>
      </c>
      <c r="M353" t="s">
        <v>49</v>
      </c>
      <c r="N353">
        <v>2858.88</v>
      </c>
    </row>
    <row r="354" spans="1:14" x14ac:dyDescent="0.35">
      <c r="A354" s="2">
        <v>45293</v>
      </c>
      <c r="B354" t="s">
        <v>569</v>
      </c>
      <c r="C354" t="s">
        <v>81</v>
      </c>
      <c r="D354" t="s">
        <v>33</v>
      </c>
      <c r="E354" t="s">
        <v>92</v>
      </c>
      <c r="F354">
        <v>9</v>
      </c>
      <c r="G354">
        <v>350.46</v>
      </c>
      <c r="H354" t="s">
        <v>64</v>
      </c>
      <c r="I354" t="s">
        <v>570</v>
      </c>
      <c r="J354" t="s">
        <v>26</v>
      </c>
      <c r="K354" t="s">
        <v>78</v>
      </c>
      <c r="L354" t="s">
        <v>39</v>
      </c>
      <c r="M354" t="s">
        <v>49</v>
      </c>
      <c r="N354">
        <v>3154.14</v>
      </c>
    </row>
    <row r="355" spans="1:14" x14ac:dyDescent="0.35">
      <c r="A355" s="2">
        <v>45432</v>
      </c>
      <c r="B355" t="s">
        <v>719</v>
      </c>
      <c r="C355" t="s">
        <v>47</v>
      </c>
      <c r="D355" t="s">
        <v>22</v>
      </c>
      <c r="E355" t="s">
        <v>92</v>
      </c>
      <c r="F355">
        <v>10</v>
      </c>
      <c r="G355">
        <v>214.18</v>
      </c>
      <c r="H355" t="s">
        <v>64</v>
      </c>
      <c r="I355" t="s">
        <v>720</v>
      </c>
      <c r="J355" t="s">
        <v>37</v>
      </c>
      <c r="K355" t="s">
        <v>60</v>
      </c>
      <c r="L355" t="s">
        <v>66</v>
      </c>
      <c r="M355" t="s">
        <v>29</v>
      </c>
      <c r="N355">
        <v>2141.8000000000002</v>
      </c>
    </row>
    <row r="356" spans="1:14" x14ac:dyDescent="0.35">
      <c r="A356" s="2">
        <v>45563</v>
      </c>
      <c r="B356" t="s">
        <v>861</v>
      </c>
      <c r="C356" t="s">
        <v>71</v>
      </c>
      <c r="D356" t="s">
        <v>33</v>
      </c>
      <c r="E356" t="s">
        <v>43</v>
      </c>
      <c r="F356">
        <v>10</v>
      </c>
      <c r="G356">
        <v>302.89999999999998</v>
      </c>
      <c r="H356" t="s">
        <v>35</v>
      </c>
      <c r="I356" t="s">
        <v>862</v>
      </c>
      <c r="J356" t="s">
        <v>55</v>
      </c>
      <c r="K356" t="s">
        <v>60</v>
      </c>
      <c r="L356" t="s">
        <v>28</v>
      </c>
      <c r="M356" t="s">
        <v>79</v>
      </c>
      <c r="N356">
        <v>3029</v>
      </c>
    </row>
    <row r="357" spans="1:14" x14ac:dyDescent="0.35">
      <c r="A357" s="2">
        <v>45537</v>
      </c>
      <c r="B357" t="s">
        <v>164</v>
      </c>
      <c r="C357" t="s">
        <v>71</v>
      </c>
      <c r="D357" t="s">
        <v>33</v>
      </c>
      <c r="E357" t="s">
        <v>43</v>
      </c>
      <c r="F357">
        <v>2</v>
      </c>
      <c r="G357">
        <v>96.78</v>
      </c>
      <c r="H357" t="s">
        <v>44</v>
      </c>
      <c r="I357" t="s">
        <v>839</v>
      </c>
      <c r="J357" t="s">
        <v>97</v>
      </c>
      <c r="K357" t="s">
        <v>78</v>
      </c>
      <c r="L357" t="s">
        <v>28</v>
      </c>
      <c r="M357" t="s">
        <v>29</v>
      </c>
      <c r="N357">
        <v>193.56</v>
      </c>
    </row>
    <row r="358" spans="1:14" x14ac:dyDescent="0.35">
      <c r="A358" s="2">
        <v>45541</v>
      </c>
      <c r="B358" t="s">
        <v>573</v>
      </c>
      <c r="C358" t="s">
        <v>81</v>
      </c>
      <c r="D358" t="s">
        <v>52</v>
      </c>
      <c r="E358" t="s">
        <v>43</v>
      </c>
      <c r="F358">
        <v>9</v>
      </c>
      <c r="G358">
        <v>10.26</v>
      </c>
      <c r="H358" t="s">
        <v>35</v>
      </c>
      <c r="I358" t="s">
        <v>844</v>
      </c>
      <c r="J358" t="s">
        <v>97</v>
      </c>
      <c r="K358" t="s">
        <v>60</v>
      </c>
      <c r="L358" t="s">
        <v>66</v>
      </c>
      <c r="M358" t="s">
        <v>61</v>
      </c>
      <c r="N358">
        <v>92.34</v>
      </c>
    </row>
    <row r="359" spans="1:14" x14ac:dyDescent="0.35">
      <c r="A359" s="2">
        <v>45835</v>
      </c>
      <c r="B359" t="s">
        <v>961</v>
      </c>
      <c r="C359" t="s">
        <v>106</v>
      </c>
      <c r="D359" t="s">
        <v>52</v>
      </c>
      <c r="E359" t="s">
        <v>23</v>
      </c>
      <c r="F359">
        <v>4</v>
      </c>
      <c r="G359">
        <v>229.25</v>
      </c>
      <c r="H359" t="s">
        <v>24</v>
      </c>
      <c r="I359" t="s">
        <v>1113</v>
      </c>
      <c r="J359" t="s">
        <v>55</v>
      </c>
      <c r="K359" t="s">
        <v>60</v>
      </c>
      <c r="L359" t="s">
        <v>39</v>
      </c>
      <c r="M359" t="s">
        <v>61</v>
      </c>
      <c r="N359">
        <v>917</v>
      </c>
    </row>
    <row r="360" spans="1:14" x14ac:dyDescent="0.35">
      <c r="A360" s="2">
        <v>45800</v>
      </c>
      <c r="B360" t="s">
        <v>137</v>
      </c>
      <c r="C360" t="s">
        <v>71</v>
      </c>
      <c r="D360" t="s">
        <v>42</v>
      </c>
      <c r="E360" t="s">
        <v>23</v>
      </c>
      <c r="F360">
        <v>7</v>
      </c>
      <c r="G360">
        <v>255.33</v>
      </c>
      <c r="H360" t="s">
        <v>35</v>
      </c>
      <c r="I360" t="s">
        <v>1065</v>
      </c>
      <c r="J360" t="s">
        <v>97</v>
      </c>
      <c r="K360" t="s">
        <v>60</v>
      </c>
      <c r="L360" t="s">
        <v>28</v>
      </c>
      <c r="M360" t="s">
        <v>61</v>
      </c>
      <c r="N360">
        <v>1787.31</v>
      </c>
    </row>
    <row r="361" spans="1:14" x14ac:dyDescent="0.35">
      <c r="A361" s="2">
        <v>45129</v>
      </c>
      <c r="B361" t="s">
        <v>384</v>
      </c>
      <c r="C361" t="s">
        <v>51</v>
      </c>
      <c r="D361" t="s">
        <v>42</v>
      </c>
      <c r="E361" t="s">
        <v>34</v>
      </c>
      <c r="F361">
        <v>8</v>
      </c>
      <c r="G361">
        <v>213.22</v>
      </c>
      <c r="H361" t="s">
        <v>58</v>
      </c>
      <c r="I361" t="s">
        <v>385</v>
      </c>
      <c r="J361" t="s">
        <v>97</v>
      </c>
      <c r="K361" t="s">
        <v>78</v>
      </c>
      <c r="L361" t="s">
        <v>66</v>
      </c>
      <c r="M361" t="s">
        <v>79</v>
      </c>
      <c r="N361">
        <v>1705.76</v>
      </c>
    </row>
    <row r="362" spans="1:14" x14ac:dyDescent="0.35">
      <c r="A362" s="2">
        <v>45538</v>
      </c>
      <c r="B362" t="s">
        <v>299</v>
      </c>
      <c r="C362" t="s">
        <v>71</v>
      </c>
      <c r="D362" t="s">
        <v>33</v>
      </c>
      <c r="E362" t="s">
        <v>43</v>
      </c>
      <c r="F362">
        <v>8</v>
      </c>
      <c r="G362">
        <v>100.73</v>
      </c>
      <c r="H362" t="s">
        <v>35</v>
      </c>
      <c r="I362" t="s">
        <v>842</v>
      </c>
      <c r="J362" t="s">
        <v>55</v>
      </c>
      <c r="K362" t="s">
        <v>78</v>
      </c>
      <c r="L362" t="s">
        <v>28</v>
      </c>
      <c r="M362" t="s">
        <v>49</v>
      </c>
      <c r="N362">
        <v>805.84</v>
      </c>
    </row>
    <row r="363" spans="1:14" x14ac:dyDescent="0.35">
      <c r="A363" s="2">
        <v>45246</v>
      </c>
      <c r="B363" t="s">
        <v>516</v>
      </c>
      <c r="C363" t="s">
        <v>41</v>
      </c>
      <c r="D363" t="s">
        <v>42</v>
      </c>
      <c r="E363" t="s">
        <v>43</v>
      </c>
      <c r="F363">
        <v>7</v>
      </c>
      <c r="G363">
        <v>75.44</v>
      </c>
      <c r="H363" t="s">
        <v>35</v>
      </c>
      <c r="I363" t="s">
        <v>517</v>
      </c>
      <c r="J363" t="s">
        <v>26</v>
      </c>
      <c r="K363" t="s">
        <v>27</v>
      </c>
      <c r="L363" t="s">
        <v>28</v>
      </c>
      <c r="M363" t="s">
        <v>56</v>
      </c>
      <c r="N363">
        <v>528.07999999999993</v>
      </c>
    </row>
    <row r="364" spans="1:14" x14ac:dyDescent="0.35">
      <c r="A364" s="2">
        <v>45812</v>
      </c>
      <c r="B364" t="s">
        <v>1073</v>
      </c>
      <c r="C364" t="s">
        <v>89</v>
      </c>
      <c r="D364" t="s">
        <v>42</v>
      </c>
      <c r="E364" t="s">
        <v>63</v>
      </c>
      <c r="F364">
        <v>2</v>
      </c>
      <c r="G364">
        <v>125.58</v>
      </c>
      <c r="H364" t="s">
        <v>64</v>
      </c>
      <c r="I364" t="s">
        <v>1074</v>
      </c>
      <c r="J364" t="s">
        <v>55</v>
      </c>
      <c r="K364" t="s">
        <v>38</v>
      </c>
      <c r="L364" t="s">
        <v>28</v>
      </c>
      <c r="M364" t="s">
        <v>67</v>
      </c>
      <c r="N364">
        <v>251.16</v>
      </c>
    </row>
    <row r="365" spans="1:14" x14ac:dyDescent="0.35">
      <c r="A365" s="2">
        <v>45231</v>
      </c>
      <c r="B365" t="s">
        <v>495</v>
      </c>
      <c r="C365" t="s">
        <v>86</v>
      </c>
      <c r="D365" t="s">
        <v>52</v>
      </c>
      <c r="E365" t="s">
        <v>23</v>
      </c>
      <c r="F365">
        <v>1</v>
      </c>
      <c r="G365">
        <v>5.74</v>
      </c>
      <c r="H365" t="s">
        <v>64</v>
      </c>
      <c r="I365" t="s">
        <v>496</v>
      </c>
      <c r="J365" t="s">
        <v>97</v>
      </c>
      <c r="K365" t="s">
        <v>78</v>
      </c>
      <c r="L365" t="s">
        <v>28</v>
      </c>
      <c r="M365" t="s">
        <v>67</v>
      </c>
      <c r="N365">
        <v>5.74</v>
      </c>
    </row>
    <row r="366" spans="1:14" x14ac:dyDescent="0.35">
      <c r="A366" s="2">
        <v>45726</v>
      </c>
      <c r="B366" t="s">
        <v>886</v>
      </c>
      <c r="C366" t="s">
        <v>21</v>
      </c>
      <c r="D366" t="s">
        <v>52</v>
      </c>
      <c r="E366" t="s">
        <v>83</v>
      </c>
      <c r="F366">
        <v>8</v>
      </c>
      <c r="G366">
        <v>202.46</v>
      </c>
      <c r="H366" t="s">
        <v>44</v>
      </c>
      <c r="I366" t="s">
        <v>1017</v>
      </c>
      <c r="J366" t="s">
        <v>94</v>
      </c>
      <c r="K366" t="s">
        <v>38</v>
      </c>
      <c r="L366" t="s">
        <v>66</v>
      </c>
      <c r="M366" t="s">
        <v>29</v>
      </c>
      <c r="N366">
        <v>1619.68</v>
      </c>
    </row>
    <row r="367" spans="1:14" x14ac:dyDescent="0.35">
      <c r="A367" s="2">
        <v>45389</v>
      </c>
      <c r="B367" t="s">
        <v>679</v>
      </c>
      <c r="C367" t="s">
        <v>41</v>
      </c>
      <c r="D367" t="s">
        <v>42</v>
      </c>
      <c r="E367" t="s">
        <v>83</v>
      </c>
      <c r="F367">
        <v>6</v>
      </c>
      <c r="G367">
        <v>127.19</v>
      </c>
      <c r="H367" t="s">
        <v>58</v>
      </c>
      <c r="I367" t="s">
        <v>680</v>
      </c>
      <c r="J367" t="s">
        <v>97</v>
      </c>
      <c r="K367" t="s">
        <v>78</v>
      </c>
      <c r="L367" t="s">
        <v>28</v>
      </c>
      <c r="M367" t="s">
        <v>101</v>
      </c>
      <c r="N367">
        <v>763.14</v>
      </c>
    </row>
    <row r="368" spans="1:14" x14ac:dyDescent="0.35">
      <c r="A368" s="2">
        <v>45470</v>
      </c>
      <c r="B368" t="s">
        <v>751</v>
      </c>
      <c r="C368" t="s">
        <v>106</v>
      </c>
      <c r="D368" t="s">
        <v>42</v>
      </c>
      <c r="E368" t="s">
        <v>43</v>
      </c>
      <c r="F368">
        <v>4</v>
      </c>
      <c r="G368">
        <v>390.36</v>
      </c>
      <c r="H368" t="s">
        <v>44</v>
      </c>
      <c r="I368" t="s">
        <v>752</v>
      </c>
      <c r="J368" t="s">
        <v>26</v>
      </c>
      <c r="K368" t="s">
        <v>27</v>
      </c>
      <c r="L368" t="s">
        <v>39</v>
      </c>
      <c r="M368" t="s">
        <v>56</v>
      </c>
      <c r="N368">
        <v>1561.44</v>
      </c>
    </row>
    <row r="369" spans="1:14" x14ac:dyDescent="0.35">
      <c r="A369" s="2">
        <v>45253</v>
      </c>
      <c r="B369" t="s">
        <v>520</v>
      </c>
      <c r="C369" t="s">
        <v>74</v>
      </c>
      <c r="D369" t="s">
        <v>33</v>
      </c>
      <c r="E369" t="s">
        <v>43</v>
      </c>
      <c r="F369">
        <v>9</v>
      </c>
      <c r="G369">
        <v>176.82</v>
      </c>
      <c r="H369" t="s">
        <v>58</v>
      </c>
      <c r="I369" t="s">
        <v>521</v>
      </c>
      <c r="J369" t="s">
        <v>26</v>
      </c>
      <c r="K369" t="s">
        <v>78</v>
      </c>
      <c r="L369" t="s">
        <v>28</v>
      </c>
      <c r="M369" t="s">
        <v>56</v>
      </c>
      <c r="N369">
        <v>1591.38</v>
      </c>
    </row>
    <row r="370" spans="1:14" x14ac:dyDescent="0.35">
      <c r="A370" s="2">
        <v>44945</v>
      </c>
      <c r="B370" t="s">
        <v>80</v>
      </c>
      <c r="C370" t="s">
        <v>81</v>
      </c>
      <c r="D370" t="s">
        <v>42</v>
      </c>
      <c r="E370" t="s">
        <v>63</v>
      </c>
      <c r="F370">
        <v>8</v>
      </c>
      <c r="G370">
        <v>115.67</v>
      </c>
      <c r="H370" t="s">
        <v>58</v>
      </c>
      <c r="I370" t="s">
        <v>82</v>
      </c>
      <c r="J370" t="s">
        <v>55</v>
      </c>
      <c r="K370" t="s">
        <v>60</v>
      </c>
      <c r="L370" t="s">
        <v>39</v>
      </c>
      <c r="M370" t="s">
        <v>56</v>
      </c>
      <c r="N370">
        <v>925.36</v>
      </c>
    </row>
    <row r="371" spans="1:14" x14ac:dyDescent="0.35">
      <c r="A371" s="2">
        <v>45650</v>
      </c>
      <c r="B371" t="s">
        <v>955</v>
      </c>
      <c r="C371" t="s">
        <v>21</v>
      </c>
      <c r="D371" t="s">
        <v>52</v>
      </c>
      <c r="E371" t="s">
        <v>53</v>
      </c>
      <c r="F371">
        <v>7</v>
      </c>
      <c r="G371">
        <v>120.13</v>
      </c>
      <c r="H371" t="s">
        <v>35</v>
      </c>
      <c r="I371" t="s">
        <v>956</v>
      </c>
      <c r="J371" t="s">
        <v>97</v>
      </c>
      <c r="K371" t="s">
        <v>27</v>
      </c>
      <c r="L371" t="s">
        <v>66</v>
      </c>
      <c r="M371" t="s">
        <v>49</v>
      </c>
      <c r="N371">
        <v>840.91</v>
      </c>
    </row>
    <row r="372" spans="1:14" x14ac:dyDescent="0.35">
      <c r="A372" s="2">
        <v>44991</v>
      </c>
      <c r="B372" t="s">
        <v>166</v>
      </c>
      <c r="C372" t="s">
        <v>71</v>
      </c>
      <c r="D372" t="s">
        <v>22</v>
      </c>
      <c r="E372" t="s">
        <v>43</v>
      </c>
      <c r="F372">
        <v>9</v>
      </c>
      <c r="G372">
        <v>378.43</v>
      </c>
      <c r="H372" t="s">
        <v>24</v>
      </c>
      <c r="I372" t="s">
        <v>167</v>
      </c>
      <c r="J372" t="s">
        <v>26</v>
      </c>
      <c r="K372" t="s">
        <v>38</v>
      </c>
      <c r="L372" t="s">
        <v>39</v>
      </c>
      <c r="M372" t="s">
        <v>29</v>
      </c>
      <c r="N372">
        <v>3405.87</v>
      </c>
    </row>
    <row r="373" spans="1:14" x14ac:dyDescent="0.35">
      <c r="A373" s="2">
        <v>45073</v>
      </c>
      <c r="B373" t="s">
        <v>309</v>
      </c>
      <c r="C373" t="s">
        <v>51</v>
      </c>
      <c r="D373" t="s">
        <v>52</v>
      </c>
      <c r="E373" t="s">
        <v>53</v>
      </c>
      <c r="F373">
        <v>9</v>
      </c>
      <c r="G373">
        <v>88.48</v>
      </c>
      <c r="H373" t="s">
        <v>24</v>
      </c>
      <c r="I373" t="s">
        <v>310</v>
      </c>
      <c r="J373" t="s">
        <v>37</v>
      </c>
      <c r="K373" t="s">
        <v>38</v>
      </c>
      <c r="L373" t="s">
        <v>39</v>
      </c>
      <c r="M373" t="s">
        <v>79</v>
      </c>
      <c r="N373">
        <v>796.32</v>
      </c>
    </row>
    <row r="374" spans="1:14" x14ac:dyDescent="0.35">
      <c r="A374" s="2">
        <v>45344</v>
      </c>
      <c r="B374" t="s">
        <v>627</v>
      </c>
      <c r="C374" t="s">
        <v>106</v>
      </c>
      <c r="D374" t="s">
        <v>22</v>
      </c>
      <c r="E374" t="s">
        <v>34</v>
      </c>
      <c r="F374">
        <v>9</v>
      </c>
      <c r="G374">
        <v>389.25</v>
      </c>
      <c r="H374" t="s">
        <v>64</v>
      </c>
      <c r="I374" t="s">
        <v>628</v>
      </c>
      <c r="J374" t="s">
        <v>26</v>
      </c>
      <c r="K374" t="s">
        <v>38</v>
      </c>
      <c r="L374" t="s">
        <v>39</v>
      </c>
      <c r="M374" t="s">
        <v>56</v>
      </c>
      <c r="N374">
        <v>3503.25</v>
      </c>
    </row>
    <row r="375" spans="1:14" x14ac:dyDescent="0.35">
      <c r="A375" s="2">
        <v>45495</v>
      </c>
      <c r="B375" t="s">
        <v>784</v>
      </c>
      <c r="C375" t="s">
        <v>51</v>
      </c>
      <c r="D375" t="s">
        <v>42</v>
      </c>
      <c r="E375" t="s">
        <v>83</v>
      </c>
      <c r="F375">
        <v>2</v>
      </c>
      <c r="G375">
        <v>161.43</v>
      </c>
      <c r="H375" t="s">
        <v>64</v>
      </c>
      <c r="I375" t="s">
        <v>785</v>
      </c>
      <c r="J375" t="s">
        <v>37</v>
      </c>
      <c r="K375" t="s">
        <v>38</v>
      </c>
      <c r="L375" t="s">
        <v>28</v>
      </c>
      <c r="M375" t="s">
        <v>29</v>
      </c>
      <c r="N375">
        <v>322.86</v>
      </c>
    </row>
    <row r="376" spans="1:14" x14ac:dyDescent="0.35">
      <c r="A376" s="2">
        <v>45161</v>
      </c>
      <c r="B376" t="s">
        <v>406</v>
      </c>
      <c r="C376" t="s">
        <v>21</v>
      </c>
      <c r="D376" t="s">
        <v>42</v>
      </c>
      <c r="E376" t="s">
        <v>63</v>
      </c>
      <c r="F376">
        <v>3</v>
      </c>
      <c r="G376">
        <v>301.23</v>
      </c>
      <c r="H376" t="s">
        <v>58</v>
      </c>
      <c r="I376" t="s">
        <v>407</v>
      </c>
      <c r="J376" t="s">
        <v>94</v>
      </c>
      <c r="K376" t="s">
        <v>38</v>
      </c>
      <c r="L376" t="s">
        <v>28</v>
      </c>
      <c r="M376" t="s">
        <v>67</v>
      </c>
      <c r="N376">
        <v>903.69</v>
      </c>
    </row>
    <row r="377" spans="1:14" x14ac:dyDescent="0.35">
      <c r="A377" s="2">
        <v>45672</v>
      </c>
      <c r="B377" t="s">
        <v>342</v>
      </c>
      <c r="C377" t="s">
        <v>51</v>
      </c>
      <c r="D377" t="s">
        <v>33</v>
      </c>
      <c r="E377" t="s">
        <v>23</v>
      </c>
      <c r="F377">
        <v>8</v>
      </c>
      <c r="G377">
        <v>358.91</v>
      </c>
      <c r="H377" t="s">
        <v>58</v>
      </c>
      <c r="I377" t="s">
        <v>979</v>
      </c>
      <c r="J377" t="s">
        <v>37</v>
      </c>
      <c r="K377" t="s">
        <v>78</v>
      </c>
      <c r="L377" t="s">
        <v>28</v>
      </c>
      <c r="M377" t="s">
        <v>67</v>
      </c>
      <c r="N377">
        <v>2871.28</v>
      </c>
    </row>
    <row r="378" spans="1:14" x14ac:dyDescent="0.35">
      <c r="A378" s="2">
        <v>45822</v>
      </c>
      <c r="B378" t="s">
        <v>1094</v>
      </c>
      <c r="C378" t="s">
        <v>74</v>
      </c>
      <c r="D378" t="s">
        <v>52</v>
      </c>
      <c r="E378" t="s">
        <v>63</v>
      </c>
      <c r="F378">
        <v>7</v>
      </c>
      <c r="G378">
        <v>240.58</v>
      </c>
      <c r="H378" t="s">
        <v>24</v>
      </c>
      <c r="I378" t="s">
        <v>1095</v>
      </c>
      <c r="J378" t="s">
        <v>26</v>
      </c>
      <c r="K378" t="s">
        <v>78</v>
      </c>
      <c r="L378" t="s">
        <v>66</v>
      </c>
      <c r="M378" t="s">
        <v>79</v>
      </c>
      <c r="N378">
        <v>1684.06</v>
      </c>
    </row>
    <row r="379" spans="1:14" x14ac:dyDescent="0.35">
      <c r="A379" s="2">
        <v>45062</v>
      </c>
      <c r="B379" t="s">
        <v>291</v>
      </c>
      <c r="C379" t="s">
        <v>89</v>
      </c>
      <c r="D379" t="s">
        <v>52</v>
      </c>
      <c r="E379" t="s">
        <v>83</v>
      </c>
      <c r="F379">
        <v>6</v>
      </c>
      <c r="G379">
        <v>312.2</v>
      </c>
      <c r="H379" t="s">
        <v>24</v>
      </c>
      <c r="I379" t="s">
        <v>292</v>
      </c>
      <c r="J379" t="s">
        <v>26</v>
      </c>
      <c r="K379" t="s">
        <v>60</v>
      </c>
      <c r="L379" t="s">
        <v>66</v>
      </c>
      <c r="M379" t="s">
        <v>49</v>
      </c>
      <c r="N379">
        <v>1873.2</v>
      </c>
    </row>
    <row r="380" spans="1:14" x14ac:dyDescent="0.35">
      <c r="A380" s="2">
        <v>45195</v>
      </c>
      <c r="B380" t="s">
        <v>450</v>
      </c>
      <c r="C380" t="s">
        <v>106</v>
      </c>
      <c r="D380" t="s">
        <v>33</v>
      </c>
      <c r="E380" t="s">
        <v>53</v>
      </c>
      <c r="F380">
        <v>4</v>
      </c>
      <c r="G380">
        <v>86.31</v>
      </c>
      <c r="H380" t="s">
        <v>24</v>
      </c>
      <c r="I380" t="s">
        <v>451</v>
      </c>
      <c r="J380" t="s">
        <v>55</v>
      </c>
      <c r="K380" t="s">
        <v>38</v>
      </c>
      <c r="L380" t="s">
        <v>39</v>
      </c>
      <c r="M380" t="s">
        <v>49</v>
      </c>
      <c r="N380">
        <v>345.24</v>
      </c>
    </row>
    <row r="381" spans="1:14" x14ac:dyDescent="0.35">
      <c r="A381" s="2">
        <v>45189</v>
      </c>
      <c r="B381" t="s">
        <v>443</v>
      </c>
      <c r="C381" t="s">
        <v>21</v>
      </c>
      <c r="D381" t="s">
        <v>22</v>
      </c>
      <c r="E381" t="s">
        <v>23</v>
      </c>
      <c r="F381">
        <v>5</v>
      </c>
      <c r="G381">
        <v>97.19</v>
      </c>
      <c r="H381" t="s">
        <v>35</v>
      </c>
      <c r="I381" t="s">
        <v>444</v>
      </c>
      <c r="J381" t="s">
        <v>37</v>
      </c>
      <c r="K381" t="s">
        <v>60</v>
      </c>
      <c r="L381" t="s">
        <v>39</v>
      </c>
      <c r="M381" t="s">
        <v>67</v>
      </c>
      <c r="N381">
        <v>485.95</v>
      </c>
    </row>
    <row r="382" spans="1:14" x14ac:dyDescent="0.35">
      <c r="A382" s="2">
        <v>44984</v>
      </c>
      <c r="B382" t="s">
        <v>149</v>
      </c>
      <c r="C382" t="s">
        <v>21</v>
      </c>
      <c r="D382" t="s">
        <v>42</v>
      </c>
      <c r="E382" t="s">
        <v>53</v>
      </c>
      <c r="F382">
        <v>9</v>
      </c>
      <c r="G382">
        <v>349.94</v>
      </c>
      <c r="H382" t="s">
        <v>58</v>
      </c>
      <c r="I382" t="s">
        <v>150</v>
      </c>
      <c r="J382" t="s">
        <v>94</v>
      </c>
      <c r="K382" t="s">
        <v>27</v>
      </c>
      <c r="L382" t="s">
        <v>39</v>
      </c>
      <c r="M382" t="s">
        <v>29</v>
      </c>
      <c r="N382">
        <v>3149.46</v>
      </c>
    </row>
    <row r="383" spans="1:14" x14ac:dyDescent="0.35">
      <c r="A383" s="2">
        <v>45620</v>
      </c>
      <c r="B383" t="s">
        <v>928</v>
      </c>
      <c r="C383" t="s">
        <v>89</v>
      </c>
      <c r="D383" t="s">
        <v>33</v>
      </c>
      <c r="E383" t="s">
        <v>43</v>
      </c>
      <c r="F383">
        <v>10</v>
      </c>
      <c r="G383">
        <v>213.13</v>
      </c>
      <c r="H383" t="s">
        <v>64</v>
      </c>
      <c r="I383" t="s">
        <v>929</v>
      </c>
      <c r="J383" t="s">
        <v>26</v>
      </c>
      <c r="K383" t="s">
        <v>27</v>
      </c>
      <c r="L383" t="s">
        <v>39</v>
      </c>
      <c r="M383" t="s">
        <v>101</v>
      </c>
      <c r="N383">
        <v>2131.3000000000002</v>
      </c>
    </row>
    <row r="384" spans="1:14" x14ac:dyDescent="0.35">
      <c r="A384" s="2">
        <v>45615</v>
      </c>
      <c r="B384" t="s">
        <v>673</v>
      </c>
      <c r="C384" t="s">
        <v>81</v>
      </c>
      <c r="D384" t="s">
        <v>22</v>
      </c>
      <c r="E384" t="s">
        <v>34</v>
      </c>
      <c r="F384">
        <v>8</v>
      </c>
      <c r="G384">
        <v>132.93</v>
      </c>
      <c r="H384" t="s">
        <v>24</v>
      </c>
      <c r="I384" t="s">
        <v>920</v>
      </c>
      <c r="J384" t="s">
        <v>97</v>
      </c>
      <c r="K384" t="s">
        <v>27</v>
      </c>
      <c r="L384" t="s">
        <v>28</v>
      </c>
      <c r="M384" t="s">
        <v>49</v>
      </c>
      <c r="N384">
        <v>1063.44</v>
      </c>
    </row>
    <row r="385" spans="1:14" x14ac:dyDescent="0.35">
      <c r="A385" s="2">
        <v>45025</v>
      </c>
      <c r="B385" t="s">
        <v>232</v>
      </c>
      <c r="C385" t="s">
        <v>47</v>
      </c>
      <c r="D385" t="s">
        <v>52</v>
      </c>
      <c r="E385" t="s">
        <v>23</v>
      </c>
      <c r="F385">
        <v>4</v>
      </c>
      <c r="G385">
        <v>224.48</v>
      </c>
      <c r="H385" t="s">
        <v>35</v>
      </c>
      <c r="I385" t="s">
        <v>233</v>
      </c>
      <c r="J385" t="s">
        <v>37</v>
      </c>
      <c r="K385" t="s">
        <v>78</v>
      </c>
      <c r="L385" t="s">
        <v>39</v>
      </c>
      <c r="M385" t="s">
        <v>101</v>
      </c>
      <c r="N385">
        <v>897.92</v>
      </c>
    </row>
    <row r="386" spans="1:14" x14ac:dyDescent="0.35">
      <c r="A386" s="2">
        <v>45375</v>
      </c>
      <c r="B386" t="s">
        <v>667</v>
      </c>
      <c r="C386" t="s">
        <v>41</v>
      </c>
      <c r="D386" t="s">
        <v>33</v>
      </c>
      <c r="E386" t="s">
        <v>34</v>
      </c>
      <c r="F386">
        <v>3</v>
      </c>
      <c r="G386">
        <v>11.02</v>
      </c>
      <c r="H386" t="s">
        <v>64</v>
      </c>
      <c r="I386" t="s">
        <v>668</v>
      </c>
      <c r="J386" t="s">
        <v>26</v>
      </c>
      <c r="K386" t="s">
        <v>60</v>
      </c>
      <c r="L386" t="s">
        <v>66</v>
      </c>
      <c r="M386" t="s">
        <v>101</v>
      </c>
      <c r="N386">
        <v>33.06</v>
      </c>
    </row>
    <row r="387" spans="1:14" x14ac:dyDescent="0.35">
      <c r="A387" s="2">
        <v>45358</v>
      </c>
      <c r="B387" t="s">
        <v>642</v>
      </c>
      <c r="C387" t="s">
        <v>47</v>
      </c>
      <c r="D387" t="s">
        <v>22</v>
      </c>
      <c r="E387" t="s">
        <v>23</v>
      </c>
      <c r="F387">
        <v>2</v>
      </c>
      <c r="G387">
        <v>281.98</v>
      </c>
      <c r="H387" t="s">
        <v>58</v>
      </c>
      <c r="I387" t="s">
        <v>643</v>
      </c>
      <c r="J387" t="s">
        <v>97</v>
      </c>
      <c r="K387" t="s">
        <v>78</v>
      </c>
      <c r="L387" t="s">
        <v>39</v>
      </c>
      <c r="M387" t="s">
        <v>56</v>
      </c>
      <c r="N387">
        <v>563.96</v>
      </c>
    </row>
    <row r="388" spans="1:14" x14ac:dyDescent="0.35">
      <c r="A388" s="2">
        <v>44999</v>
      </c>
      <c r="B388" t="s">
        <v>180</v>
      </c>
      <c r="C388" t="s">
        <v>89</v>
      </c>
      <c r="D388" t="s">
        <v>22</v>
      </c>
      <c r="E388" t="s">
        <v>43</v>
      </c>
      <c r="F388">
        <v>9</v>
      </c>
      <c r="G388">
        <v>168.59</v>
      </c>
      <c r="H388" t="s">
        <v>35</v>
      </c>
      <c r="I388" t="s">
        <v>181</v>
      </c>
      <c r="J388" t="s">
        <v>94</v>
      </c>
      <c r="K388" t="s">
        <v>27</v>
      </c>
      <c r="L388" t="s">
        <v>39</v>
      </c>
      <c r="M388" t="s">
        <v>49</v>
      </c>
      <c r="N388">
        <v>1517.31</v>
      </c>
    </row>
    <row r="389" spans="1:14" x14ac:dyDescent="0.35">
      <c r="A389" s="2">
        <v>44929</v>
      </c>
      <c r="B389" t="s">
        <v>46</v>
      </c>
      <c r="C389" t="s">
        <v>47</v>
      </c>
      <c r="D389" t="s">
        <v>42</v>
      </c>
      <c r="E389" t="s">
        <v>34</v>
      </c>
      <c r="F389">
        <v>9</v>
      </c>
      <c r="G389">
        <v>141.71</v>
      </c>
      <c r="H389" t="s">
        <v>44</v>
      </c>
      <c r="I389" t="s">
        <v>48</v>
      </c>
      <c r="J389" t="s">
        <v>37</v>
      </c>
      <c r="K389" t="s">
        <v>38</v>
      </c>
      <c r="L389" t="s">
        <v>39</v>
      </c>
      <c r="M389" t="s">
        <v>49</v>
      </c>
      <c r="N389">
        <v>1275.3900000000001</v>
      </c>
    </row>
    <row r="390" spans="1:14" x14ac:dyDescent="0.35">
      <c r="A390" s="2">
        <v>45821</v>
      </c>
      <c r="B390" t="s">
        <v>1090</v>
      </c>
      <c r="C390" t="s">
        <v>106</v>
      </c>
      <c r="D390" t="s">
        <v>52</v>
      </c>
      <c r="E390" t="s">
        <v>23</v>
      </c>
      <c r="F390">
        <v>8</v>
      </c>
      <c r="G390">
        <v>385.41</v>
      </c>
      <c r="H390" t="s">
        <v>24</v>
      </c>
      <c r="I390" t="s">
        <v>1091</v>
      </c>
      <c r="J390" t="s">
        <v>26</v>
      </c>
      <c r="K390" t="s">
        <v>27</v>
      </c>
      <c r="L390" t="s">
        <v>28</v>
      </c>
      <c r="M390" t="s">
        <v>61</v>
      </c>
      <c r="N390">
        <v>3083.28</v>
      </c>
    </row>
    <row r="391" spans="1:14" x14ac:dyDescent="0.35">
      <c r="A391" s="2">
        <v>45561</v>
      </c>
      <c r="B391" t="s">
        <v>857</v>
      </c>
      <c r="C391" t="s">
        <v>86</v>
      </c>
      <c r="D391" t="s">
        <v>42</v>
      </c>
      <c r="E391" t="s">
        <v>83</v>
      </c>
      <c r="F391">
        <v>2</v>
      </c>
      <c r="G391">
        <v>281.75</v>
      </c>
      <c r="H391" t="s">
        <v>44</v>
      </c>
      <c r="I391" t="s">
        <v>858</v>
      </c>
      <c r="J391" t="s">
        <v>37</v>
      </c>
      <c r="K391" t="s">
        <v>60</v>
      </c>
      <c r="L391" t="s">
        <v>28</v>
      </c>
      <c r="M391" t="s">
        <v>56</v>
      </c>
      <c r="N391">
        <v>563.5</v>
      </c>
    </row>
    <row r="392" spans="1:14" x14ac:dyDescent="0.35">
      <c r="A392" s="2">
        <v>45271</v>
      </c>
      <c r="B392" t="s">
        <v>545</v>
      </c>
      <c r="C392" t="s">
        <v>41</v>
      </c>
      <c r="D392" t="s">
        <v>33</v>
      </c>
      <c r="E392" t="s">
        <v>53</v>
      </c>
      <c r="F392">
        <v>9</v>
      </c>
      <c r="G392">
        <v>324.72000000000003</v>
      </c>
      <c r="H392" t="s">
        <v>24</v>
      </c>
      <c r="I392" t="s">
        <v>546</v>
      </c>
      <c r="J392" t="s">
        <v>97</v>
      </c>
      <c r="K392" t="s">
        <v>38</v>
      </c>
      <c r="L392" t="s">
        <v>39</v>
      </c>
      <c r="M392" t="s">
        <v>29</v>
      </c>
      <c r="N392">
        <v>2922.48</v>
      </c>
    </row>
    <row r="393" spans="1:14" x14ac:dyDescent="0.35">
      <c r="A393" s="2">
        <v>45416</v>
      </c>
      <c r="B393" t="s">
        <v>695</v>
      </c>
      <c r="C393" t="s">
        <v>47</v>
      </c>
      <c r="D393" t="s">
        <v>52</v>
      </c>
      <c r="E393" t="s">
        <v>23</v>
      </c>
      <c r="F393">
        <v>3</v>
      </c>
      <c r="G393">
        <v>297.17</v>
      </c>
      <c r="H393" t="s">
        <v>24</v>
      </c>
      <c r="I393" t="s">
        <v>696</v>
      </c>
      <c r="J393" t="s">
        <v>94</v>
      </c>
      <c r="K393" t="s">
        <v>27</v>
      </c>
      <c r="L393" t="s">
        <v>66</v>
      </c>
      <c r="M393" t="s">
        <v>79</v>
      </c>
      <c r="N393">
        <v>891.51</v>
      </c>
    </row>
    <row r="394" spans="1:14" x14ac:dyDescent="0.35">
      <c r="A394" s="2">
        <v>45483</v>
      </c>
      <c r="B394" t="s">
        <v>524</v>
      </c>
      <c r="C394" t="s">
        <v>86</v>
      </c>
      <c r="D394" t="s">
        <v>52</v>
      </c>
      <c r="E394" t="s">
        <v>92</v>
      </c>
      <c r="F394">
        <v>9</v>
      </c>
      <c r="G394">
        <v>352.23</v>
      </c>
      <c r="H394" t="s">
        <v>35</v>
      </c>
      <c r="I394" t="s">
        <v>773</v>
      </c>
      <c r="J394" t="s">
        <v>26</v>
      </c>
      <c r="K394" t="s">
        <v>78</v>
      </c>
      <c r="L394" t="s">
        <v>28</v>
      </c>
      <c r="M394" t="s">
        <v>67</v>
      </c>
      <c r="N394">
        <v>3170.07</v>
      </c>
    </row>
    <row r="395" spans="1:14" x14ac:dyDescent="0.35">
      <c r="A395" s="2">
        <v>44957</v>
      </c>
      <c r="B395" t="s">
        <v>110</v>
      </c>
      <c r="C395" t="s">
        <v>71</v>
      </c>
      <c r="D395" t="s">
        <v>22</v>
      </c>
      <c r="E395" t="s">
        <v>23</v>
      </c>
      <c r="F395">
        <v>6</v>
      </c>
      <c r="G395">
        <v>355.87</v>
      </c>
      <c r="H395" t="s">
        <v>35</v>
      </c>
      <c r="I395" t="s">
        <v>111</v>
      </c>
      <c r="J395" t="s">
        <v>94</v>
      </c>
      <c r="K395" t="s">
        <v>27</v>
      </c>
      <c r="L395" t="s">
        <v>28</v>
      </c>
      <c r="M395" t="s">
        <v>49</v>
      </c>
      <c r="N395">
        <v>2135.2199999999998</v>
      </c>
    </row>
    <row r="396" spans="1:14" x14ac:dyDescent="0.35">
      <c r="A396" s="2">
        <v>45405</v>
      </c>
      <c r="B396" t="s">
        <v>687</v>
      </c>
      <c r="C396" t="s">
        <v>21</v>
      </c>
      <c r="D396" t="s">
        <v>33</v>
      </c>
      <c r="E396" t="s">
        <v>53</v>
      </c>
      <c r="F396">
        <v>4</v>
      </c>
      <c r="G396">
        <v>328.63</v>
      </c>
      <c r="H396" t="s">
        <v>35</v>
      </c>
      <c r="I396" t="s">
        <v>688</v>
      </c>
      <c r="J396" t="s">
        <v>94</v>
      </c>
      <c r="K396" t="s">
        <v>27</v>
      </c>
      <c r="L396" t="s">
        <v>39</v>
      </c>
      <c r="M396" t="s">
        <v>49</v>
      </c>
      <c r="N396">
        <v>1314.52</v>
      </c>
    </row>
    <row r="397" spans="1:14" x14ac:dyDescent="0.35">
      <c r="A397" s="2">
        <v>45813</v>
      </c>
      <c r="B397" t="s">
        <v>1075</v>
      </c>
      <c r="C397" t="s">
        <v>51</v>
      </c>
      <c r="D397" t="s">
        <v>42</v>
      </c>
      <c r="E397" t="s">
        <v>34</v>
      </c>
      <c r="F397">
        <v>3</v>
      </c>
      <c r="G397">
        <v>339.04</v>
      </c>
      <c r="H397" t="s">
        <v>64</v>
      </c>
      <c r="I397" t="s">
        <v>1076</v>
      </c>
      <c r="J397" t="s">
        <v>55</v>
      </c>
      <c r="K397" t="s">
        <v>38</v>
      </c>
      <c r="L397" t="s">
        <v>39</v>
      </c>
      <c r="M397" t="s">
        <v>56</v>
      </c>
      <c r="N397">
        <v>1017.12</v>
      </c>
    </row>
    <row r="398" spans="1:14" x14ac:dyDescent="0.35">
      <c r="A398" s="2">
        <v>44958</v>
      </c>
      <c r="B398" t="s">
        <v>119</v>
      </c>
      <c r="C398" t="s">
        <v>47</v>
      </c>
      <c r="D398" t="s">
        <v>22</v>
      </c>
      <c r="E398" t="s">
        <v>34</v>
      </c>
      <c r="F398">
        <v>3</v>
      </c>
      <c r="G398">
        <v>331.33</v>
      </c>
      <c r="H398" t="s">
        <v>58</v>
      </c>
      <c r="I398" t="s">
        <v>120</v>
      </c>
      <c r="J398" t="s">
        <v>94</v>
      </c>
      <c r="K398" t="s">
        <v>60</v>
      </c>
      <c r="L398" t="s">
        <v>66</v>
      </c>
      <c r="M398" t="s">
        <v>67</v>
      </c>
      <c r="N398">
        <v>993.99</v>
      </c>
    </row>
    <row r="399" spans="1:14" x14ac:dyDescent="0.35">
      <c r="A399" s="2">
        <v>44998</v>
      </c>
      <c r="B399" t="s">
        <v>176</v>
      </c>
      <c r="C399" t="s">
        <v>47</v>
      </c>
      <c r="D399" t="s">
        <v>22</v>
      </c>
      <c r="E399" t="s">
        <v>92</v>
      </c>
      <c r="F399">
        <v>6</v>
      </c>
      <c r="G399">
        <v>176.35</v>
      </c>
      <c r="H399" t="s">
        <v>35</v>
      </c>
      <c r="I399" t="s">
        <v>177</v>
      </c>
      <c r="J399" t="s">
        <v>55</v>
      </c>
      <c r="K399" t="s">
        <v>78</v>
      </c>
      <c r="L399" t="s">
        <v>28</v>
      </c>
      <c r="M399" t="s">
        <v>29</v>
      </c>
      <c r="N399">
        <v>1058.0999999999999</v>
      </c>
    </row>
    <row r="400" spans="1:14" x14ac:dyDescent="0.35">
      <c r="A400" s="2">
        <v>45263</v>
      </c>
      <c r="B400" t="s">
        <v>532</v>
      </c>
      <c r="C400" t="s">
        <v>86</v>
      </c>
      <c r="D400" t="s">
        <v>42</v>
      </c>
      <c r="E400" t="s">
        <v>83</v>
      </c>
      <c r="F400">
        <v>8</v>
      </c>
      <c r="G400">
        <v>40.49</v>
      </c>
      <c r="H400" t="s">
        <v>64</v>
      </c>
      <c r="I400" t="s">
        <v>533</v>
      </c>
      <c r="J400" t="s">
        <v>37</v>
      </c>
      <c r="K400" t="s">
        <v>27</v>
      </c>
      <c r="L400" t="s">
        <v>28</v>
      </c>
      <c r="M400" t="s">
        <v>101</v>
      </c>
      <c r="N400">
        <v>323.92</v>
      </c>
    </row>
    <row r="401" spans="1:14" x14ac:dyDescent="0.35">
      <c r="A401" s="2">
        <v>45820</v>
      </c>
      <c r="B401" t="s">
        <v>661</v>
      </c>
      <c r="C401" t="s">
        <v>86</v>
      </c>
      <c r="D401" t="s">
        <v>22</v>
      </c>
      <c r="E401" t="s">
        <v>34</v>
      </c>
      <c r="F401">
        <v>6</v>
      </c>
      <c r="G401">
        <v>206.01</v>
      </c>
      <c r="H401" t="s">
        <v>24</v>
      </c>
      <c r="I401" t="s">
        <v>1083</v>
      </c>
      <c r="J401" t="s">
        <v>97</v>
      </c>
      <c r="K401" t="s">
        <v>60</v>
      </c>
      <c r="L401" t="s">
        <v>39</v>
      </c>
      <c r="M401" t="s">
        <v>56</v>
      </c>
      <c r="N401">
        <v>1236.06</v>
      </c>
    </row>
    <row r="402" spans="1:14" x14ac:dyDescent="0.35">
      <c r="A402" s="2">
        <v>45269</v>
      </c>
      <c r="B402" t="s">
        <v>542</v>
      </c>
      <c r="C402" t="s">
        <v>41</v>
      </c>
      <c r="D402" t="s">
        <v>22</v>
      </c>
      <c r="E402" t="s">
        <v>34</v>
      </c>
      <c r="F402">
        <v>2</v>
      </c>
      <c r="G402">
        <v>297.08</v>
      </c>
      <c r="H402" t="s">
        <v>44</v>
      </c>
      <c r="I402" t="s">
        <v>543</v>
      </c>
      <c r="J402" t="s">
        <v>26</v>
      </c>
      <c r="K402" t="s">
        <v>60</v>
      </c>
      <c r="L402" t="s">
        <v>66</v>
      </c>
      <c r="M402" t="s">
        <v>79</v>
      </c>
      <c r="N402">
        <v>594.16</v>
      </c>
    </row>
    <row r="403" spans="1:14" x14ac:dyDescent="0.35">
      <c r="A403" s="2">
        <v>45158</v>
      </c>
      <c r="B403" t="s">
        <v>402</v>
      </c>
      <c r="C403" t="s">
        <v>41</v>
      </c>
      <c r="D403" t="s">
        <v>42</v>
      </c>
      <c r="E403" t="s">
        <v>92</v>
      </c>
      <c r="F403">
        <v>10</v>
      </c>
      <c r="G403">
        <v>323.91000000000003</v>
      </c>
      <c r="H403" t="s">
        <v>35</v>
      </c>
      <c r="I403" t="s">
        <v>403</v>
      </c>
      <c r="J403" t="s">
        <v>97</v>
      </c>
      <c r="K403" t="s">
        <v>38</v>
      </c>
      <c r="L403" t="s">
        <v>39</v>
      </c>
      <c r="M403" t="s">
        <v>101</v>
      </c>
      <c r="N403">
        <v>3239.1</v>
      </c>
    </row>
    <row r="404" spans="1:14" x14ac:dyDescent="0.35">
      <c r="A404" s="2">
        <v>45084</v>
      </c>
      <c r="B404" t="s">
        <v>326</v>
      </c>
      <c r="C404" t="s">
        <v>81</v>
      </c>
      <c r="D404" t="s">
        <v>33</v>
      </c>
      <c r="E404" t="s">
        <v>43</v>
      </c>
      <c r="F404">
        <v>3</v>
      </c>
      <c r="G404">
        <v>116.67</v>
      </c>
      <c r="H404" t="s">
        <v>24</v>
      </c>
      <c r="I404" t="s">
        <v>327</v>
      </c>
      <c r="J404" t="s">
        <v>55</v>
      </c>
      <c r="K404" t="s">
        <v>60</v>
      </c>
      <c r="L404" t="s">
        <v>28</v>
      </c>
      <c r="M404" t="s">
        <v>67</v>
      </c>
      <c r="N404">
        <v>350.01</v>
      </c>
    </row>
    <row r="405" spans="1:14" x14ac:dyDescent="0.35">
      <c r="A405" s="2">
        <v>45219</v>
      </c>
      <c r="B405" t="s">
        <v>479</v>
      </c>
      <c r="C405" t="s">
        <v>41</v>
      </c>
      <c r="D405" t="s">
        <v>22</v>
      </c>
      <c r="E405" t="s">
        <v>63</v>
      </c>
      <c r="F405">
        <v>5</v>
      </c>
      <c r="G405">
        <v>161.87</v>
      </c>
      <c r="H405" t="s">
        <v>44</v>
      </c>
      <c r="I405" t="s">
        <v>480</v>
      </c>
      <c r="J405" t="s">
        <v>55</v>
      </c>
      <c r="K405" t="s">
        <v>78</v>
      </c>
      <c r="L405" t="s">
        <v>28</v>
      </c>
      <c r="M405" t="s">
        <v>61</v>
      </c>
      <c r="N405">
        <v>809.35</v>
      </c>
    </row>
    <row r="406" spans="1:14" x14ac:dyDescent="0.35">
      <c r="A406" s="2">
        <v>45657</v>
      </c>
      <c r="B406" t="s">
        <v>193</v>
      </c>
      <c r="C406" t="s">
        <v>74</v>
      </c>
      <c r="D406" t="s">
        <v>42</v>
      </c>
      <c r="E406" t="s">
        <v>53</v>
      </c>
      <c r="F406">
        <v>4</v>
      </c>
      <c r="G406">
        <v>163.44999999999999</v>
      </c>
      <c r="H406" t="s">
        <v>64</v>
      </c>
      <c r="I406" t="s">
        <v>965</v>
      </c>
      <c r="J406" t="s">
        <v>37</v>
      </c>
      <c r="K406" t="s">
        <v>60</v>
      </c>
      <c r="L406" t="s">
        <v>28</v>
      </c>
      <c r="M406" t="s">
        <v>49</v>
      </c>
      <c r="N406">
        <v>653.79999999999995</v>
      </c>
    </row>
    <row r="407" spans="1:14" x14ac:dyDescent="0.35">
      <c r="A407" s="2">
        <v>45137</v>
      </c>
      <c r="B407" t="s">
        <v>388</v>
      </c>
      <c r="C407" t="s">
        <v>51</v>
      </c>
      <c r="D407" t="s">
        <v>33</v>
      </c>
      <c r="E407" t="s">
        <v>83</v>
      </c>
      <c r="F407">
        <v>7</v>
      </c>
      <c r="G407">
        <v>77.63</v>
      </c>
      <c r="H407" t="s">
        <v>44</v>
      </c>
      <c r="I407" t="s">
        <v>389</v>
      </c>
      <c r="J407" t="s">
        <v>55</v>
      </c>
      <c r="K407" t="s">
        <v>60</v>
      </c>
      <c r="L407" t="s">
        <v>28</v>
      </c>
      <c r="M407" t="s">
        <v>101</v>
      </c>
      <c r="N407">
        <v>543.41</v>
      </c>
    </row>
    <row r="408" spans="1:14" x14ac:dyDescent="0.35">
      <c r="A408" s="2">
        <v>45340</v>
      </c>
      <c r="B408" t="s">
        <v>618</v>
      </c>
      <c r="C408" t="s">
        <v>74</v>
      </c>
      <c r="D408" t="s">
        <v>22</v>
      </c>
      <c r="E408" t="s">
        <v>43</v>
      </c>
      <c r="F408">
        <v>6</v>
      </c>
      <c r="G408">
        <v>310.32</v>
      </c>
      <c r="H408" t="s">
        <v>44</v>
      </c>
      <c r="I408" t="s">
        <v>619</v>
      </c>
      <c r="J408" t="s">
        <v>26</v>
      </c>
      <c r="K408" t="s">
        <v>78</v>
      </c>
      <c r="L408" t="s">
        <v>39</v>
      </c>
      <c r="M408" t="s">
        <v>101</v>
      </c>
      <c r="N408">
        <v>1861.92</v>
      </c>
    </row>
    <row r="409" spans="1:14" x14ac:dyDescent="0.35">
      <c r="A409" s="2">
        <v>45086</v>
      </c>
      <c r="B409" t="s">
        <v>328</v>
      </c>
      <c r="C409" t="s">
        <v>74</v>
      </c>
      <c r="D409" t="s">
        <v>52</v>
      </c>
      <c r="E409" t="s">
        <v>43</v>
      </c>
      <c r="F409">
        <v>6</v>
      </c>
      <c r="G409">
        <v>297</v>
      </c>
      <c r="H409" t="s">
        <v>64</v>
      </c>
      <c r="I409" t="s">
        <v>329</v>
      </c>
      <c r="J409" t="s">
        <v>55</v>
      </c>
      <c r="K409" t="s">
        <v>27</v>
      </c>
      <c r="L409" t="s">
        <v>39</v>
      </c>
      <c r="M409" t="s">
        <v>61</v>
      </c>
      <c r="N409">
        <v>1782</v>
      </c>
    </row>
    <row r="410" spans="1:14" x14ac:dyDescent="0.35">
      <c r="A410" s="2">
        <v>45021</v>
      </c>
      <c r="B410" t="s">
        <v>222</v>
      </c>
      <c r="C410" t="s">
        <v>106</v>
      </c>
      <c r="D410" t="s">
        <v>52</v>
      </c>
      <c r="E410" t="s">
        <v>43</v>
      </c>
      <c r="F410">
        <v>3</v>
      </c>
      <c r="G410">
        <v>297.72000000000003</v>
      </c>
      <c r="H410" t="s">
        <v>24</v>
      </c>
      <c r="I410" t="s">
        <v>223</v>
      </c>
      <c r="J410" t="s">
        <v>26</v>
      </c>
      <c r="K410" t="s">
        <v>38</v>
      </c>
      <c r="L410" t="s">
        <v>28</v>
      </c>
      <c r="M410" t="s">
        <v>67</v>
      </c>
      <c r="N410">
        <v>893.16000000000008</v>
      </c>
    </row>
    <row r="411" spans="1:14" x14ac:dyDescent="0.35">
      <c r="A411" s="2">
        <v>45038</v>
      </c>
      <c r="B411" t="s">
        <v>254</v>
      </c>
      <c r="C411" t="s">
        <v>86</v>
      </c>
      <c r="D411" t="s">
        <v>52</v>
      </c>
      <c r="E411" t="s">
        <v>34</v>
      </c>
      <c r="F411">
        <v>5</v>
      </c>
      <c r="G411">
        <v>375.22</v>
      </c>
      <c r="H411" t="s">
        <v>24</v>
      </c>
      <c r="I411" t="s">
        <v>255</v>
      </c>
      <c r="J411" t="s">
        <v>37</v>
      </c>
      <c r="K411" t="s">
        <v>78</v>
      </c>
      <c r="L411" t="s">
        <v>66</v>
      </c>
      <c r="M411" t="s">
        <v>79</v>
      </c>
      <c r="N411">
        <v>1876.1</v>
      </c>
    </row>
    <row r="412" spans="1:14" x14ac:dyDescent="0.35">
      <c r="A412" s="2">
        <v>45244</v>
      </c>
      <c r="B412" t="s">
        <v>187</v>
      </c>
      <c r="C412" t="s">
        <v>71</v>
      </c>
      <c r="D412" t="s">
        <v>52</v>
      </c>
      <c r="E412" t="s">
        <v>53</v>
      </c>
      <c r="F412">
        <v>3</v>
      </c>
      <c r="G412">
        <v>294.73</v>
      </c>
      <c r="H412" t="s">
        <v>64</v>
      </c>
      <c r="I412" t="s">
        <v>513</v>
      </c>
      <c r="J412" t="s">
        <v>55</v>
      </c>
      <c r="K412" t="s">
        <v>27</v>
      </c>
      <c r="L412" t="s">
        <v>28</v>
      </c>
      <c r="M412" t="s">
        <v>49</v>
      </c>
      <c r="N412">
        <v>884.19</v>
      </c>
    </row>
    <row r="413" spans="1:14" x14ac:dyDescent="0.35">
      <c r="A413" s="2">
        <v>45565</v>
      </c>
      <c r="B413" t="s">
        <v>865</v>
      </c>
      <c r="C413" t="s">
        <v>106</v>
      </c>
      <c r="D413" t="s">
        <v>22</v>
      </c>
      <c r="E413" t="s">
        <v>92</v>
      </c>
      <c r="F413">
        <v>9</v>
      </c>
      <c r="G413">
        <v>20.98</v>
      </c>
      <c r="H413" t="s">
        <v>64</v>
      </c>
      <c r="I413" t="s">
        <v>866</v>
      </c>
      <c r="J413" t="s">
        <v>97</v>
      </c>
      <c r="K413" t="s">
        <v>78</v>
      </c>
      <c r="L413" t="s">
        <v>39</v>
      </c>
      <c r="M413" t="s">
        <v>29</v>
      </c>
      <c r="N413">
        <v>188.82</v>
      </c>
    </row>
    <row r="414" spans="1:14" x14ac:dyDescent="0.35">
      <c r="A414" s="2">
        <v>45621</v>
      </c>
      <c r="B414" t="s">
        <v>930</v>
      </c>
      <c r="C414" t="s">
        <v>21</v>
      </c>
      <c r="D414" t="s">
        <v>42</v>
      </c>
      <c r="E414" t="s">
        <v>34</v>
      </c>
      <c r="F414">
        <v>2</v>
      </c>
      <c r="G414">
        <v>316.64999999999998</v>
      </c>
      <c r="H414" t="s">
        <v>44</v>
      </c>
      <c r="I414" t="s">
        <v>931</v>
      </c>
      <c r="J414" t="s">
        <v>37</v>
      </c>
      <c r="K414" t="s">
        <v>78</v>
      </c>
      <c r="L414" t="s">
        <v>39</v>
      </c>
      <c r="M414" t="s">
        <v>29</v>
      </c>
      <c r="N414">
        <v>633.29999999999995</v>
      </c>
    </row>
    <row r="415" spans="1:14" x14ac:dyDescent="0.35">
      <c r="A415" s="2">
        <v>45295</v>
      </c>
      <c r="B415" t="s">
        <v>573</v>
      </c>
      <c r="C415" t="s">
        <v>89</v>
      </c>
      <c r="D415" t="s">
        <v>33</v>
      </c>
      <c r="E415" t="s">
        <v>43</v>
      </c>
      <c r="F415">
        <v>2</v>
      </c>
      <c r="G415">
        <v>391.28</v>
      </c>
      <c r="H415" t="s">
        <v>44</v>
      </c>
      <c r="I415" t="s">
        <v>574</v>
      </c>
      <c r="J415" t="s">
        <v>26</v>
      </c>
      <c r="K415" t="s">
        <v>27</v>
      </c>
      <c r="L415" t="s">
        <v>66</v>
      </c>
      <c r="M415" t="s">
        <v>56</v>
      </c>
      <c r="N415">
        <v>782.56</v>
      </c>
    </row>
    <row r="416" spans="1:14" x14ac:dyDescent="0.35">
      <c r="A416" s="2">
        <v>45082</v>
      </c>
      <c r="B416" t="s">
        <v>324</v>
      </c>
      <c r="C416" t="s">
        <v>74</v>
      </c>
      <c r="D416" t="s">
        <v>33</v>
      </c>
      <c r="E416" t="s">
        <v>34</v>
      </c>
      <c r="F416">
        <v>3</v>
      </c>
      <c r="G416">
        <v>150.87</v>
      </c>
      <c r="H416" t="s">
        <v>24</v>
      </c>
      <c r="I416" t="s">
        <v>325</v>
      </c>
      <c r="J416" t="s">
        <v>97</v>
      </c>
      <c r="K416" t="s">
        <v>38</v>
      </c>
      <c r="L416" t="s">
        <v>39</v>
      </c>
      <c r="M416" t="s">
        <v>29</v>
      </c>
      <c r="N416">
        <v>452.61</v>
      </c>
    </row>
    <row r="417" spans="1:14" x14ac:dyDescent="0.35">
      <c r="A417" s="2">
        <v>45047</v>
      </c>
      <c r="B417" t="s">
        <v>265</v>
      </c>
      <c r="C417" t="s">
        <v>86</v>
      </c>
      <c r="D417" t="s">
        <v>33</v>
      </c>
      <c r="E417" t="s">
        <v>43</v>
      </c>
      <c r="F417">
        <v>4</v>
      </c>
      <c r="G417">
        <v>62.96</v>
      </c>
      <c r="H417" t="s">
        <v>64</v>
      </c>
      <c r="I417" t="s">
        <v>266</v>
      </c>
      <c r="J417" t="s">
        <v>94</v>
      </c>
      <c r="K417" t="s">
        <v>60</v>
      </c>
      <c r="L417" t="s">
        <v>66</v>
      </c>
      <c r="M417" t="s">
        <v>29</v>
      </c>
      <c r="N417">
        <v>251.84</v>
      </c>
    </row>
    <row r="418" spans="1:14" x14ac:dyDescent="0.35">
      <c r="A418" s="2">
        <v>45367</v>
      </c>
      <c r="B418" t="s">
        <v>653</v>
      </c>
      <c r="C418" t="s">
        <v>89</v>
      </c>
      <c r="D418" t="s">
        <v>22</v>
      </c>
      <c r="E418" t="s">
        <v>43</v>
      </c>
      <c r="F418">
        <v>10</v>
      </c>
      <c r="G418">
        <v>312.14</v>
      </c>
      <c r="H418" t="s">
        <v>44</v>
      </c>
      <c r="I418" t="s">
        <v>654</v>
      </c>
      <c r="J418" t="s">
        <v>26</v>
      </c>
      <c r="K418" t="s">
        <v>78</v>
      </c>
      <c r="L418" t="s">
        <v>39</v>
      </c>
      <c r="M418" t="s">
        <v>79</v>
      </c>
      <c r="N418">
        <v>3121.4</v>
      </c>
    </row>
    <row r="419" spans="1:14" x14ac:dyDescent="0.35">
      <c r="A419" s="2">
        <v>45616</v>
      </c>
      <c r="B419" t="s">
        <v>921</v>
      </c>
      <c r="C419" t="s">
        <v>106</v>
      </c>
      <c r="D419" t="s">
        <v>52</v>
      </c>
      <c r="E419" t="s">
        <v>83</v>
      </c>
      <c r="F419">
        <v>5</v>
      </c>
      <c r="G419">
        <v>241.05</v>
      </c>
      <c r="H419" t="s">
        <v>64</v>
      </c>
      <c r="I419" t="s">
        <v>922</v>
      </c>
      <c r="J419" t="s">
        <v>37</v>
      </c>
      <c r="K419" t="s">
        <v>27</v>
      </c>
      <c r="L419" t="s">
        <v>39</v>
      </c>
      <c r="M419" t="s">
        <v>67</v>
      </c>
      <c r="N419">
        <v>1205.25</v>
      </c>
    </row>
    <row r="420" spans="1:14" x14ac:dyDescent="0.35">
      <c r="A420" s="2">
        <v>45004</v>
      </c>
      <c r="B420" t="s">
        <v>189</v>
      </c>
      <c r="C420" t="s">
        <v>47</v>
      </c>
      <c r="D420" t="s">
        <v>52</v>
      </c>
      <c r="E420" t="s">
        <v>43</v>
      </c>
      <c r="F420">
        <v>6</v>
      </c>
      <c r="G420">
        <v>222.47</v>
      </c>
      <c r="H420" t="s">
        <v>58</v>
      </c>
      <c r="I420" t="s">
        <v>190</v>
      </c>
      <c r="J420" t="s">
        <v>94</v>
      </c>
      <c r="K420" t="s">
        <v>38</v>
      </c>
      <c r="L420" t="s">
        <v>39</v>
      </c>
      <c r="M420" t="s">
        <v>101</v>
      </c>
      <c r="N420">
        <v>1334.82</v>
      </c>
    </row>
    <row r="421" spans="1:14" x14ac:dyDescent="0.35">
      <c r="A421" s="2">
        <v>45003</v>
      </c>
      <c r="B421" t="s">
        <v>187</v>
      </c>
      <c r="C421" t="s">
        <v>51</v>
      </c>
      <c r="D421" t="s">
        <v>52</v>
      </c>
      <c r="E421" t="s">
        <v>34</v>
      </c>
      <c r="F421">
        <v>7</v>
      </c>
      <c r="G421">
        <v>267.88</v>
      </c>
      <c r="H421" t="s">
        <v>44</v>
      </c>
      <c r="I421" t="s">
        <v>188</v>
      </c>
      <c r="J421" t="s">
        <v>55</v>
      </c>
      <c r="K421" t="s">
        <v>78</v>
      </c>
      <c r="L421" t="s">
        <v>28</v>
      </c>
      <c r="M421" t="s">
        <v>79</v>
      </c>
      <c r="N421">
        <v>1875.16</v>
      </c>
    </row>
    <row r="422" spans="1:14" x14ac:dyDescent="0.35">
      <c r="A422" s="2">
        <v>45455</v>
      </c>
      <c r="B422" t="s">
        <v>737</v>
      </c>
      <c r="C422" t="s">
        <v>51</v>
      </c>
      <c r="D422" t="s">
        <v>42</v>
      </c>
      <c r="E422" t="s">
        <v>92</v>
      </c>
      <c r="F422">
        <v>1</v>
      </c>
      <c r="G422">
        <v>128.69</v>
      </c>
      <c r="H422" t="s">
        <v>35</v>
      </c>
      <c r="I422" t="s">
        <v>738</v>
      </c>
      <c r="J422" t="s">
        <v>37</v>
      </c>
      <c r="K422" t="s">
        <v>60</v>
      </c>
      <c r="L422" t="s">
        <v>66</v>
      </c>
      <c r="M422" t="s">
        <v>67</v>
      </c>
      <c r="N422">
        <v>128.69</v>
      </c>
    </row>
    <row r="423" spans="1:14" x14ac:dyDescent="0.35">
      <c r="A423" s="2">
        <v>45391</v>
      </c>
      <c r="B423" t="s">
        <v>681</v>
      </c>
      <c r="C423" t="s">
        <v>71</v>
      </c>
      <c r="D423" t="s">
        <v>33</v>
      </c>
      <c r="E423" t="s">
        <v>43</v>
      </c>
      <c r="F423">
        <v>10</v>
      </c>
      <c r="G423">
        <v>129.76</v>
      </c>
      <c r="H423" t="s">
        <v>64</v>
      </c>
      <c r="I423" t="s">
        <v>682</v>
      </c>
      <c r="J423" t="s">
        <v>26</v>
      </c>
      <c r="K423" t="s">
        <v>78</v>
      </c>
      <c r="L423" t="s">
        <v>39</v>
      </c>
      <c r="M423" t="s">
        <v>49</v>
      </c>
      <c r="N423">
        <v>1297.5999999999999</v>
      </c>
    </row>
    <row r="424" spans="1:14" x14ac:dyDescent="0.35">
      <c r="A424" s="2">
        <v>45562</v>
      </c>
      <c r="B424" t="s">
        <v>859</v>
      </c>
      <c r="C424" t="s">
        <v>41</v>
      </c>
      <c r="D424" t="s">
        <v>42</v>
      </c>
      <c r="E424" t="s">
        <v>53</v>
      </c>
      <c r="F424">
        <v>8</v>
      </c>
      <c r="G424">
        <v>64.25</v>
      </c>
      <c r="H424" t="s">
        <v>58</v>
      </c>
      <c r="I424" t="s">
        <v>860</v>
      </c>
      <c r="J424" t="s">
        <v>26</v>
      </c>
      <c r="K424" t="s">
        <v>27</v>
      </c>
      <c r="L424" t="s">
        <v>39</v>
      </c>
      <c r="M424" t="s">
        <v>61</v>
      </c>
      <c r="N424">
        <v>514</v>
      </c>
    </row>
    <row r="425" spans="1:14" x14ac:dyDescent="0.35">
      <c r="A425" s="2">
        <v>45665</v>
      </c>
      <c r="B425" t="s">
        <v>969</v>
      </c>
      <c r="C425" t="s">
        <v>86</v>
      </c>
      <c r="D425" t="s">
        <v>33</v>
      </c>
      <c r="E425" t="s">
        <v>43</v>
      </c>
      <c r="F425">
        <v>1</v>
      </c>
      <c r="G425">
        <v>208.28</v>
      </c>
      <c r="H425" t="s">
        <v>64</v>
      </c>
      <c r="I425" t="s">
        <v>970</v>
      </c>
      <c r="J425" t="s">
        <v>55</v>
      </c>
      <c r="K425" t="s">
        <v>60</v>
      </c>
      <c r="L425" t="s">
        <v>66</v>
      </c>
      <c r="M425" t="s">
        <v>67</v>
      </c>
      <c r="N425">
        <v>208.28</v>
      </c>
    </row>
    <row r="426" spans="1:14" x14ac:dyDescent="0.35">
      <c r="A426" s="2">
        <v>45639</v>
      </c>
      <c r="B426" t="s">
        <v>743</v>
      </c>
      <c r="C426" t="s">
        <v>21</v>
      </c>
      <c r="D426" t="s">
        <v>42</v>
      </c>
      <c r="E426" t="s">
        <v>83</v>
      </c>
      <c r="F426">
        <v>5</v>
      </c>
      <c r="G426">
        <v>162.18</v>
      </c>
      <c r="H426" t="s">
        <v>35</v>
      </c>
      <c r="I426" t="s">
        <v>944</v>
      </c>
      <c r="J426" t="s">
        <v>55</v>
      </c>
      <c r="K426" t="s">
        <v>60</v>
      </c>
      <c r="L426" t="s">
        <v>39</v>
      </c>
      <c r="M426" t="s">
        <v>61</v>
      </c>
      <c r="N426">
        <v>810.90000000000009</v>
      </c>
    </row>
    <row r="427" spans="1:14" x14ac:dyDescent="0.35">
      <c r="A427" s="2">
        <v>45362</v>
      </c>
      <c r="B427" t="s">
        <v>468</v>
      </c>
      <c r="C427" t="s">
        <v>47</v>
      </c>
      <c r="D427" t="s">
        <v>42</v>
      </c>
      <c r="E427" t="s">
        <v>34</v>
      </c>
      <c r="F427">
        <v>10</v>
      </c>
      <c r="G427">
        <v>98.09</v>
      </c>
      <c r="H427" t="s">
        <v>35</v>
      </c>
      <c r="I427" t="s">
        <v>650</v>
      </c>
      <c r="J427" t="s">
        <v>94</v>
      </c>
      <c r="K427" t="s">
        <v>78</v>
      </c>
      <c r="L427" t="s">
        <v>66</v>
      </c>
      <c r="M427" t="s">
        <v>29</v>
      </c>
      <c r="N427">
        <v>980.90000000000009</v>
      </c>
    </row>
    <row r="428" spans="1:14" x14ac:dyDescent="0.35">
      <c r="A428" s="2">
        <v>45347</v>
      </c>
      <c r="B428" t="s">
        <v>629</v>
      </c>
      <c r="C428" t="s">
        <v>81</v>
      </c>
      <c r="D428" t="s">
        <v>42</v>
      </c>
      <c r="E428" t="s">
        <v>83</v>
      </c>
      <c r="F428">
        <v>4</v>
      </c>
      <c r="G428">
        <v>181.04</v>
      </c>
      <c r="H428" t="s">
        <v>35</v>
      </c>
      <c r="I428" t="s">
        <v>630</v>
      </c>
      <c r="J428" t="s">
        <v>26</v>
      </c>
      <c r="K428" t="s">
        <v>38</v>
      </c>
      <c r="L428" t="s">
        <v>28</v>
      </c>
      <c r="M428" t="s">
        <v>101</v>
      </c>
      <c r="N428">
        <v>724.16</v>
      </c>
    </row>
    <row r="429" spans="1:14" x14ac:dyDescent="0.35">
      <c r="A429" s="2">
        <v>45288</v>
      </c>
      <c r="B429" t="s">
        <v>439</v>
      </c>
      <c r="C429" t="s">
        <v>106</v>
      </c>
      <c r="D429" t="s">
        <v>33</v>
      </c>
      <c r="E429" t="s">
        <v>92</v>
      </c>
      <c r="F429">
        <v>1</v>
      </c>
      <c r="G429">
        <v>202.72</v>
      </c>
      <c r="H429" t="s">
        <v>24</v>
      </c>
      <c r="I429" t="s">
        <v>561</v>
      </c>
      <c r="J429" t="s">
        <v>26</v>
      </c>
      <c r="K429" t="s">
        <v>38</v>
      </c>
      <c r="L429" t="s">
        <v>28</v>
      </c>
      <c r="M429" t="s">
        <v>56</v>
      </c>
      <c r="N429">
        <v>202.72</v>
      </c>
    </row>
    <row r="430" spans="1:14" x14ac:dyDescent="0.35">
      <c r="A430" s="2">
        <v>44955</v>
      </c>
      <c r="B430" t="s">
        <v>99</v>
      </c>
      <c r="C430" t="s">
        <v>71</v>
      </c>
      <c r="D430" t="s">
        <v>52</v>
      </c>
      <c r="E430" t="s">
        <v>23</v>
      </c>
      <c r="F430">
        <v>1</v>
      </c>
      <c r="G430">
        <v>169.14</v>
      </c>
      <c r="H430" t="s">
        <v>35</v>
      </c>
      <c r="I430" t="s">
        <v>100</v>
      </c>
      <c r="J430" t="s">
        <v>55</v>
      </c>
      <c r="K430" t="s">
        <v>78</v>
      </c>
      <c r="L430" t="s">
        <v>28</v>
      </c>
      <c r="M430" t="s">
        <v>101</v>
      </c>
      <c r="N430">
        <v>169.14</v>
      </c>
    </row>
    <row r="431" spans="1:14" x14ac:dyDescent="0.35">
      <c r="A431" s="2">
        <v>45797</v>
      </c>
      <c r="B431" t="s">
        <v>1036</v>
      </c>
      <c r="C431" t="s">
        <v>41</v>
      </c>
      <c r="D431" t="s">
        <v>42</v>
      </c>
      <c r="E431" t="s">
        <v>53</v>
      </c>
      <c r="F431">
        <v>10</v>
      </c>
      <c r="G431">
        <v>204</v>
      </c>
      <c r="H431" t="s">
        <v>35</v>
      </c>
      <c r="I431" t="s">
        <v>1064</v>
      </c>
      <c r="J431" t="s">
        <v>37</v>
      </c>
      <c r="K431" t="s">
        <v>78</v>
      </c>
      <c r="L431" t="s">
        <v>39</v>
      </c>
      <c r="M431" t="s">
        <v>49</v>
      </c>
      <c r="N431">
        <v>2040</v>
      </c>
    </row>
    <row r="432" spans="1:14" x14ac:dyDescent="0.35">
      <c r="A432" s="2">
        <v>45055</v>
      </c>
      <c r="B432" t="s">
        <v>279</v>
      </c>
      <c r="C432" t="s">
        <v>106</v>
      </c>
      <c r="D432" t="s">
        <v>33</v>
      </c>
      <c r="E432" t="s">
        <v>34</v>
      </c>
      <c r="F432">
        <v>6</v>
      </c>
      <c r="G432">
        <v>96.24</v>
      </c>
      <c r="H432" t="s">
        <v>64</v>
      </c>
      <c r="I432" t="s">
        <v>280</v>
      </c>
      <c r="J432" t="s">
        <v>37</v>
      </c>
      <c r="K432" t="s">
        <v>38</v>
      </c>
      <c r="L432" t="s">
        <v>28</v>
      </c>
      <c r="M432" t="s">
        <v>49</v>
      </c>
      <c r="N432">
        <v>577.43999999999994</v>
      </c>
    </row>
    <row r="433" spans="1:14" x14ac:dyDescent="0.35">
      <c r="A433" s="2">
        <v>45260</v>
      </c>
      <c r="B433" t="s">
        <v>479</v>
      </c>
      <c r="C433" t="s">
        <v>81</v>
      </c>
      <c r="D433" t="s">
        <v>22</v>
      </c>
      <c r="E433" t="s">
        <v>23</v>
      </c>
      <c r="F433">
        <v>5</v>
      </c>
      <c r="G433">
        <v>202.76</v>
      </c>
      <c r="H433" t="s">
        <v>64</v>
      </c>
      <c r="I433" t="s">
        <v>526</v>
      </c>
      <c r="J433" t="s">
        <v>55</v>
      </c>
      <c r="K433" t="s">
        <v>78</v>
      </c>
      <c r="L433" t="s">
        <v>28</v>
      </c>
      <c r="M433" t="s">
        <v>56</v>
      </c>
      <c r="N433">
        <v>1013.8</v>
      </c>
    </row>
    <row r="434" spans="1:14" x14ac:dyDescent="0.35">
      <c r="A434" s="2">
        <v>45627</v>
      </c>
      <c r="B434" t="s">
        <v>315</v>
      </c>
      <c r="C434" t="s">
        <v>81</v>
      </c>
      <c r="D434" t="s">
        <v>52</v>
      </c>
      <c r="E434" t="s">
        <v>63</v>
      </c>
      <c r="F434">
        <v>8</v>
      </c>
      <c r="G434">
        <v>234.01</v>
      </c>
      <c r="H434" t="s">
        <v>64</v>
      </c>
      <c r="I434" t="s">
        <v>933</v>
      </c>
      <c r="J434" t="s">
        <v>55</v>
      </c>
      <c r="K434" t="s">
        <v>38</v>
      </c>
      <c r="L434" t="s">
        <v>66</v>
      </c>
      <c r="M434" t="s">
        <v>101</v>
      </c>
      <c r="N434">
        <v>1872.08</v>
      </c>
    </row>
    <row r="435" spans="1:14" x14ac:dyDescent="0.35">
      <c r="A435" s="2">
        <v>44955</v>
      </c>
      <c r="B435" t="s">
        <v>104</v>
      </c>
      <c r="C435" t="s">
        <v>21</v>
      </c>
      <c r="D435" t="s">
        <v>42</v>
      </c>
      <c r="E435" t="s">
        <v>53</v>
      </c>
      <c r="F435">
        <v>8</v>
      </c>
      <c r="G435">
        <v>165.02</v>
      </c>
      <c r="H435" t="s">
        <v>58</v>
      </c>
      <c r="I435" t="s">
        <v>105</v>
      </c>
      <c r="J435" t="s">
        <v>97</v>
      </c>
      <c r="K435" t="s">
        <v>78</v>
      </c>
      <c r="L435" t="s">
        <v>28</v>
      </c>
      <c r="M435" t="s">
        <v>101</v>
      </c>
      <c r="N435">
        <v>1320.16</v>
      </c>
    </row>
    <row r="436" spans="1:14" x14ac:dyDescent="0.35">
      <c r="A436" s="2">
        <v>45592</v>
      </c>
      <c r="B436" t="s">
        <v>114</v>
      </c>
      <c r="C436" t="s">
        <v>47</v>
      </c>
      <c r="D436" t="s">
        <v>33</v>
      </c>
      <c r="E436" t="s">
        <v>23</v>
      </c>
      <c r="F436">
        <v>4</v>
      </c>
      <c r="G436">
        <v>383.7</v>
      </c>
      <c r="H436" t="s">
        <v>24</v>
      </c>
      <c r="I436" t="s">
        <v>888</v>
      </c>
      <c r="J436" t="s">
        <v>55</v>
      </c>
      <c r="K436" t="s">
        <v>60</v>
      </c>
      <c r="L436" t="s">
        <v>39</v>
      </c>
      <c r="M436" t="s">
        <v>101</v>
      </c>
      <c r="N436">
        <v>1534.8</v>
      </c>
    </row>
    <row r="437" spans="1:14" x14ac:dyDescent="0.35">
      <c r="A437" s="2">
        <v>45308</v>
      </c>
      <c r="B437" t="s">
        <v>283</v>
      </c>
      <c r="C437" t="s">
        <v>74</v>
      </c>
      <c r="D437" t="s">
        <v>22</v>
      </c>
      <c r="E437" t="s">
        <v>63</v>
      </c>
      <c r="F437">
        <v>6</v>
      </c>
      <c r="G437">
        <v>206.16</v>
      </c>
      <c r="H437" t="s">
        <v>44</v>
      </c>
      <c r="I437" t="s">
        <v>584</v>
      </c>
      <c r="J437" t="s">
        <v>37</v>
      </c>
      <c r="K437" t="s">
        <v>38</v>
      </c>
      <c r="L437" t="s">
        <v>39</v>
      </c>
      <c r="M437" t="s">
        <v>67</v>
      </c>
      <c r="N437">
        <v>1236.96</v>
      </c>
    </row>
    <row r="438" spans="1:14" x14ac:dyDescent="0.35">
      <c r="A438" s="2">
        <v>45279</v>
      </c>
      <c r="B438" t="s">
        <v>396</v>
      </c>
      <c r="C438" t="s">
        <v>74</v>
      </c>
      <c r="D438" t="s">
        <v>33</v>
      </c>
      <c r="E438" t="s">
        <v>53</v>
      </c>
      <c r="F438">
        <v>5</v>
      </c>
      <c r="G438">
        <v>79.63</v>
      </c>
      <c r="H438" t="s">
        <v>44</v>
      </c>
      <c r="I438" t="s">
        <v>549</v>
      </c>
      <c r="J438" t="s">
        <v>26</v>
      </c>
      <c r="K438" t="s">
        <v>27</v>
      </c>
      <c r="L438" t="s">
        <v>66</v>
      </c>
      <c r="M438" t="s">
        <v>49</v>
      </c>
      <c r="N438">
        <v>398.15</v>
      </c>
    </row>
    <row r="439" spans="1:14" x14ac:dyDescent="0.35">
      <c r="A439" s="2">
        <v>45011</v>
      </c>
      <c r="B439" t="s">
        <v>208</v>
      </c>
      <c r="C439" t="s">
        <v>51</v>
      </c>
      <c r="D439" t="s">
        <v>33</v>
      </c>
      <c r="E439" t="s">
        <v>43</v>
      </c>
      <c r="F439">
        <v>3</v>
      </c>
      <c r="G439">
        <v>256.69</v>
      </c>
      <c r="H439" t="s">
        <v>24</v>
      </c>
      <c r="I439" t="s">
        <v>209</v>
      </c>
      <c r="J439" t="s">
        <v>97</v>
      </c>
      <c r="K439" t="s">
        <v>27</v>
      </c>
      <c r="L439" t="s">
        <v>39</v>
      </c>
      <c r="M439" t="s">
        <v>101</v>
      </c>
      <c r="N439">
        <v>770.06999999999994</v>
      </c>
    </row>
    <row r="440" spans="1:14" x14ac:dyDescent="0.35">
      <c r="A440" s="2">
        <v>45516</v>
      </c>
      <c r="B440" t="s">
        <v>202</v>
      </c>
      <c r="C440" t="s">
        <v>41</v>
      </c>
      <c r="D440" t="s">
        <v>42</v>
      </c>
      <c r="E440" t="s">
        <v>63</v>
      </c>
      <c r="F440">
        <v>10</v>
      </c>
      <c r="G440">
        <v>124.56</v>
      </c>
      <c r="H440" t="s">
        <v>44</v>
      </c>
      <c r="I440" t="s">
        <v>823</v>
      </c>
      <c r="J440" t="s">
        <v>55</v>
      </c>
      <c r="K440" t="s">
        <v>38</v>
      </c>
      <c r="L440" t="s">
        <v>66</v>
      </c>
      <c r="M440" t="s">
        <v>29</v>
      </c>
      <c r="N440">
        <v>1245.5999999999999</v>
      </c>
    </row>
    <row r="441" spans="1:14" x14ac:dyDescent="0.35">
      <c r="A441" s="2">
        <v>45204</v>
      </c>
      <c r="B441" t="s">
        <v>57</v>
      </c>
      <c r="C441" t="s">
        <v>51</v>
      </c>
      <c r="D441" t="s">
        <v>52</v>
      </c>
      <c r="E441" t="s">
        <v>23</v>
      </c>
      <c r="F441">
        <v>5</v>
      </c>
      <c r="G441">
        <v>143.01</v>
      </c>
      <c r="H441" t="s">
        <v>44</v>
      </c>
      <c r="I441" t="s">
        <v>456</v>
      </c>
      <c r="J441" t="s">
        <v>94</v>
      </c>
      <c r="K441" t="s">
        <v>27</v>
      </c>
      <c r="L441" t="s">
        <v>28</v>
      </c>
      <c r="M441" t="s">
        <v>56</v>
      </c>
      <c r="N441">
        <v>715.05</v>
      </c>
    </row>
    <row r="442" spans="1:14" x14ac:dyDescent="0.35">
      <c r="A442" s="2">
        <v>45430</v>
      </c>
      <c r="B442" t="s">
        <v>717</v>
      </c>
      <c r="C442" t="s">
        <v>106</v>
      </c>
      <c r="D442" t="s">
        <v>42</v>
      </c>
      <c r="E442" t="s">
        <v>92</v>
      </c>
      <c r="F442">
        <v>4</v>
      </c>
      <c r="G442">
        <v>163.57</v>
      </c>
      <c r="H442" t="s">
        <v>35</v>
      </c>
      <c r="I442" t="s">
        <v>718</v>
      </c>
      <c r="J442" t="s">
        <v>97</v>
      </c>
      <c r="K442" t="s">
        <v>78</v>
      </c>
      <c r="L442" t="s">
        <v>39</v>
      </c>
      <c r="M442" t="s">
        <v>79</v>
      </c>
      <c r="N442">
        <v>654.28</v>
      </c>
    </row>
    <row r="443" spans="1:14" x14ac:dyDescent="0.35">
      <c r="A443" s="2">
        <v>45164</v>
      </c>
      <c r="B443" t="s">
        <v>348</v>
      </c>
      <c r="C443" t="s">
        <v>47</v>
      </c>
      <c r="D443" t="s">
        <v>52</v>
      </c>
      <c r="E443" t="s">
        <v>23</v>
      </c>
      <c r="F443">
        <v>2</v>
      </c>
      <c r="G443">
        <v>91.33</v>
      </c>
      <c r="H443" t="s">
        <v>44</v>
      </c>
      <c r="I443" t="s">
        <v>411</v>
      </c>
      <c r="J443" t="s">
        <v>55</v>
      </c>
      <c r="K443" t="s">
        <v>38</v>
      </c>
      <c r="L443" t="s">
        <v>28</v>
      </c>
      <c r="M443" t="s">
        <v>79</v>
      </c>
      <c r="N443">
        <v>182.66</v>
      </c>
    </row>
    <row r="444" spans="1:14" x14ac:dyDescent="0.35">
      <c r="A444" s="2">
        <v>45828</v>
      </c>
      <c r="B444" t="s">
        <v>1107</v>
      </c>
      <c r="C444" t="s">
        <v>89</v>
      </c>
      <c r="D444" t="s">
        <v>42</v>
      </c>
      <c r="E444" t="s">
        <v>23</v>
      </c>
      <c r="F444">
        <v>2</v>
      </c>
      <c r="G444">
        <v>299.58999999999997</v>
      </c>
      <c r="H444" t="s">
        <v>58</v>
      </c>
      <c r="I444" t="s">
        <v>1108</v>
      </c>
      <c r="J444" t="s">
        <v>94</v>
      </c>
      <c r="K444" t="s">
        <v>38</v>
      </c>
      <c r="L444" t="s">
        <v>39</v>
      </c>
      <c r="M444" t="s">
        <v>61</v>
      </c>
      <c r="N444">
        <v>599.17999999999995</v>
      </c>
    </row>
    <row r="445" spans="1:14" x14ac:dyDescent="0.35">
      <c r="A445" s="2">
        <v>45354</v>
      </c>
      <c r="B445" t="s">
        <v>638</v>
      </c>
      <c r="C445" t="s">
        <v>21</v>
      </c>
      <c r="D445" t="s">
        <v>22</v>
      </c>
      <c r="E445" t="s">
        <v>63</v>
      </c>
      <c r="F445">
        <v>2</v>
      </c>
      <c r="G445">
        <v>161.44</v>
      </c>
      <c r="H445" t="s">
        <v>44</v>
      </c>
      <c r="I445" t="s">
        <v>639</v>
      </c>
      <c r="J445" t="s">
        <v>26</v>
      </c>
      <c r="K445" t="s">
        <v>78</v>
      </c>
      <c r="L445" t="s">
        <v>39</v>
      </c>
      <c r="M445" t="s">
        <v>101</v>
      </c>
      <c r="N445">
        <v>322.88</v>
      </c>
    </row>
    <row r="446" spans="1:14" x14ac:dyDescent="0.35">
      <c r="A446" s="2">
        <v>45095</v>
      </c>
      <c r="B446" t="s">
        <v>346</v>
      </c>
      <c r="C446" t="s">
        <v>51</v>
      </c>
      <c r="D446" t="s">
        <v>42</v>
      </c>
      <c r="E446" t="s">
        <v>92</v>
      </c>
      <c r="F446">
        <v>8</v>
      </c>
      <c r="G446">
        <v>213.15</v>
      </c>
      <c r="H446" t="s">
        <v>24</v>
      </c>
      <c r="I446" t="s">
        <v>347</v>
      </c>
      <c r="J446" t="s">
        <v>37</v>
      </c>
      <c r="K446" t="s">
        <v>27</v>
      </c>
      <c r="L446" t="s">
        <v>39</v>
      </c>
      <c r="M446" t="s">
        <v>101</v>
      </c>
      <c r="N446">
        <v>1705.2</v>
      </c>
    </row>
    <row r="447" spans="1:14" x14ac:dyDescent="0.35">
      <c r="A447" s="2">
        <v>45173</v>
      </c>
      <c r="B447" t="s">
        <v>425</v>
      </c>
      <c r="C447" t="s">
        <v>89</v>
      </c>
      <c r="D447" t="s">
        <v>33</v>
      </c>
      <c r="E447" t="s">
        <v>43</v>
      </c>
      <c r="F447">
        <v>7</v>
      </c>
      <c r="G447">
        <v>303.77999999999997</v>
      </c>
      <c r="H447" t="s">
        <v>24</v>
      </c>
      <c r="I447" t="s">
        <v>426</v>
      </c>
      <c r="J447" t="s">
        <v>26</v>
      </c>
      <c r="K447" t="s">
        <v>78</v>
      </c>
      <c r="L447" t="s">
        <v>66</v>
      </c>
      <c r="M447" t="s">
        <v>29</v>
      </c>
      <c r="N447">
        <v>2126.46</v>
      </c>
    </row>
    <row r="448" spans="1:14" x14ac:dyDescent="0.35">
      <c r="A448" s="2">
        <v>45107</v>
      </c>
      <c r="B448" t="s">
        <v>363</v>
      </c>
      <c r="C448" t="s">
        <v>81</v>
      </c>
      <c r="D448" t="s">
        <v>22</v>
      </c>
      <c r="E448" t="s">
        <v>34</v>
      </c>
      <c r="F448">
        <v>2</v>
      </c>
      <c r="G448">
        <v>300.92</v>
      </c>
      <c r="H448" t="s">
        <v>35</v>
      </c>
      <c r="I448" t="s">
        <v>364</v>
      </c>
      <c r="J448" t="s">
        <v>55</v>
      </c>
      <c r="K448" t="s">
        <v>27</v>
      </c>
      <c r="L448" t="s">
        <v>39</v>
      </c>
      <c r="M448" t="s">
        <v>61</v>
      </c>
      <c r="N448">
        <v>601.84</v>
      </c>
    </row>
    <row r="449" spans="1:14" x14ac:dyDescent="0.35">
      <c r="A449" s="2">
        <v>45497</v>
      </c>
      <c r="B449" t="s">
        <v>788</v>
      </c>
      <c r="C449" t="s">
        <v>89</v>
      </c>
      <c r="D449" t="s">
        <v>33</v>
      </c>
      <c r="E449" t="s">
        <v>34</v>
      </c>
      <c r="F449">
        <v>6</v>
      </c>
      <c r="G449">
        <v>164.75</v>
      </c>
      <c r="H449" t="s">
        <v>35</v>
      </c>
      <c r="I449" t="s">
        <v>789</v>
      </c>
      <c r="J449" t="s">
        <v>37</v>
      </c>
      <c r="K449" t="s">
        <v>60</v>
      </c>
      <c r="L449" t="s">
        <v>39</v>
      </c>
      <c r="M449" t="s">
        <v>67</v>
      </c>
      <c r="N449">
        <v>988.5</v>
      </c>
    </row>
    <row r="450" spans="1:14" x14ac:dyDescent="0.35">
      <c r="A450" s="2">
        <v>45501</v>
      </c>
      <c r="B450" t="s">
        <v>540</v>
      </c>
      <c r="C450" t="s">
        <v>74</v>
      </c>
      <c r="D450" t="s">
        <v>22</v>
      </c>
      <c r="E450" t="s">
        <v>63</v>
      </c>
      <c r="F450">
        <v>10</v>
      </c>
      <c r="G450">
        <v>302.72000000000003</v>
      </c>
      <c r="H450" t="s">
        <v>35</v>
      </c>
      <c r="I450" t="s">
        <v>799</v>
      </c>
      <c r="J450" t="s">
        <v>94</v>
      </c>
      <c r="K450" t="s">
        <v>78</v>
      </c>
      <c r="L450" t="s">
        <v>66</v>
      </c>
      <c r="M450" t="s">
        <v>101</v>
      </c>
      <c r="N450">
        <v>3027.2</v>
      </c>
    </row>
    <row r="451" spans="1:14" x14ac:dyDescent="0.35">
      <c r="A451" s="2">
        <v>45124</v>
      </c>
      <c r="B451" t="s">
        <v>378</v>
      </c>
      <c r="C451" t="s">
        <v>71</v>
      </c>
      <c r="D451" t="s">
        <v>42</v>
      </c>
      <c r="E451" t="s">
        <v>53</v>
      </c>
      <c r="F451">
        <v>3</v>
      </c>
      <c r="G451">
        <v>253.33</v>
      </c>
      <c r="H451" t="s">
        <v>35</v>
      </c>
      <c r="I451" t="s">
        <v>379</v>
      </c>
      <c r="J451" t="s">
        <v>55</v>
      </c>
      <c r="K451" t="s">
        <v>27</v>
      </c>
      <c r="L451" t="s">
        <v>66</v>
      </c>
      <c r="M451" t="s">
        <v>29</v>
      </c>
      <c r="N451">
        <v>759.99</v>
      </c>
    </row>
    <row r="452" spans="1:14" x14ac:dyDescent="0.35">
      <c r="A452" s="2">
        <v>45474</v>
      </c>
      <c r="B452" t="s">
        <v>757</v>
      </c>
      <c r="C452" t="s">
        <v>51</v>
      </c>
      <c r="D452" t="s">
        <v>52</v>
      </c>
      <c r="E452" t="s">
        <v>43</v>
      </c>
      <c r="F452">
        <v>1</v>
      </c>
      <c r="G452">
        <v>36.85</v>
      </c>
      <c r="H452" t="s">
        <v>35</v>
      </c>
      <c r="I452" t="s">
        <v>758</v>
      </c>
      <c r="J452" t="s">
        <v>37</v>
      </c>
      <c r="K452" t="s">
        <v>38</v>
      </c>
      <c r="L452" t="s">
        <v>39</v>
      </c>
      <c r="M452" t="s">
        <v>29</v>
      </c>
      <c r="N452">
        <v>36.85</v>
      </c>
    </row>
    <row r="453" spans="1:14" x14ac:dyDescent="0.35">
      <c r="A453" s="2">
        <v>45281</v>
      </c>
      <c r="B453" t="s">
        <v>556</v>
      </c>
      <c r="C453" t="s">
        <v>41</v>
      </c>
      <c r="D453" t="s">
        <v>33</v>
      </c>
      <c r="E453" t="s">
        <v>63</v>
      </c>
      <c r="F453">
        <v>2</v>
      </c>
      <c r="G453">
        <v>248.69</v>
      </c>
      <c r="H453" t="s">
        <v>35</v>
      </c>
      <c r="I453" t="s">
        <v>557</v>
      </c>
      <c r="J453" t="s">
        <v>55</v>
      </c>
      <c r="K453" t="s">
        <v>78</v>
      </c>
      <c r="L453" t="s">
        <v>28</v>
      </c>
      <c r="M453" t="s">
        <v>56</v>
      </c>
      <c r="N453">
        <v>497.38</v>
      </c>
    </row>
    <row r="454" spans="1:14" x14ac:dyDescent="0.35">
      <c r="A454" s="2">
        <v>45639</v>
      </c>
      <c r="B454" t="s">
        <v>946</v>
      </c>
      <c r="C454" t="s">
        <v>89</v>
      </c>
      <c r="D454" t="s">
        <v>52</v>
      </c>
      <c r="E454" t="s">
        <v>23</v>
      </c>
      <c r="F454">
        <v>8</v>
      </c>
      <c r="G454">
        <v>284.8</v>
      </c>
      <c r="H454" t="s">
        <v>35</v>
      </c>
      <c r="I454" t="s">
        <v>947</v>
      </c>
      <c r="J454" t="s">
        <v>94</v>
      </c>
      <c r="K454" t="s">
        <v>78</v>
      </c>
      <c r="L454" t="s">
        <v>39</v>
      </c>
      <c r="M454" t="s">
        <v>61</v>
      </c>
      <c r="N454">
        <v>2278.4</v>
      </c>
    </row>
    <row r="455" spans="1:14" x14ac:dyDescent="0.35">
      <c r="A455" s="2">
        <v>45686</v>
      </c>
      <c r="B455" t="s">
        <v>987</v>
      </c>
      <c r="C455" t="s">
        <v>47</v>
      </c>
      <c r="D455" t="s">
        <v>52</v>
      </c>
      <c r="E455" t="s">
        <v>23</v>
      </c>
      <c r="F455">
        <v>4</v>
      </c>
      <c r="G455">
        <v>42.51</v>
      </c>
      <c r="H455" t="s">
        <v>24</v>
      </c>
      <c r="I455" t="s">
        <v>988</v>
      </c>
      <c r="J455" t="s">
        <v>26</v>
      </c>
      <c r="K455" t="s">
        <v>78</v>
      </c>
      <c r="L455" t="s">
        <v>28</v>
      </c>
      <c r="M455" t="s">
        <v>67</v>
      </c>
      <c r="N455">
        <v>170.04</v>
      </c>
    </row>
    <row r="456" spans="1:14" x14ac:dyDescent="0.35">
      <c r="A456" s="2">
        <v>45075</v>
      </c>
      <c r="B456" t="s">
        <v>315</v>
      </c>
      <c r="C456" t="s">
        <v>41</v>
      </c>
      <c r="D456" t="s">
        <v>33</v>
      </c>
      <c r="E456" t="s">
        <v>23</v>
      </c>
      <c r="F456">
        <v>9</v>
      </c>
      <c r="G456">
        <v>343.44</v>
      </c>
      <c r="H456" t="s">
        <v>35</v>
      </c>
      <c r="I456" t="s">
        <v>316</v>
      </c>
      <c r="J456" t="s">
        <v>94</v>
      </c>
      <c r="K456" t="s">
        <v>78</v>
      </c>
      <c r="L456" t="s">
        <v>66</v>
      </c>
      <c r="M456" t="s">
        <v>29</v>
      </c>
      <c r="N456">
        <v>3090.96</v>
      </c>
    </row>
    <row r="457" spans="1:14" x14ac:dyDescent="0.35">
      <c r="A457" s="2">
        <v>45720</v>
      </c>
      <c r="B457" t="s">
        <v>99</v>
      </c>
      <c r="C457" t="s">
        <v>74</v>
      </c>
      <c r="D457" t="s">
        <v>33</v>
      </c>
      <c r="E457" t="s">
        <v>92</v>
      </c>
      <c r="F457">
        <v>3</v>
      </c>
      <c r="G457">
        <v>34.950000000000003</v>
      </c>
      <c r="H457" t="s">
        <v>35</v>
      </c>
      <c r="I457" t="s">
        <v>1012</v>
      </c>
      <c r="J457" t="s">
        <v>97</v>
      </c>
      <c r="K457" t="s">
        <v>27</v>
      </c>
      <c r="L457" t="s">
        <v>28</v>
      </c>
      <c r="M457" t="s">
        <v>49</v>
      </c>
      <c r="N457">
        <v>104.85</v>
      </c>
    </row>
    <row r="458" spans="1:14" x14ac:dyDescent="0.35">
      <c r="A458" s="2">
        <v>45211</v>
      </c>
      <c r="B458" t="s">
        <v>468</v>
      </c>
      <c r="C458" t="s">
        <v>47</v>
      </c>
      <c r="D458" t="s">
        <v>33</v>
      </c>
      <c r="E458" t="s">
        <v>63</v>
      </c>
      <c r="F458">
        <v>1</v>
      </c>
      <c r="G458">
        <v>248.33</v>
      </c>
      <c r="H458" t="s">
        <v>58</v>
      </c>
      <c r="I458" t="s">
        <v>469</v>
      </c>
      <c r="J458" t="s">
        <v>37</v>
      </c>
      <c r="K458" t="s">
        <v>38</v>
      </c>
      <c r="L458" t="s">
        <v>66</v>
      </c>
      <c r="M458" t="s">
        <v>56</v>
      </c>
      <c r="N458">
        <v>248.33</v>
      </c>
    </row>
    <row r="459" spans="1:14" x14ac:dyDescent="0.35">
      <c r="A459" s="2">
        <v>45010</v>
      </c>
      <c r="B459" t="s">
        <v>206</v>
      </c>
      <c r="C459" t="s">
        <v>74</v>
      </c>
      <c r="D459" t="s">
        <v>33</v>
      </c>
      <c r="E459" t="s">
        <v>53</v>
      </c>
      <c r="F459">
        <v>4</v>
      </c>
      <c r="G459">
        <v>117.81</v>
      </c>
      <c r="H459" t="s">
        <v>58</v>
      </c>
      <c r="I459" t="s">
        <v>207</v>
      </c>
      <c r="J459" t="s">
        <v>55</v>
      </c>
      <c r="K459" t="s">
        <v>78</v>
      </c>
      <c r="L459" t="s">
        <v>28</v>
      </c>
      <c r="M459" t="s">
        <v>79</v>
      </c>
      <c r="N459">
        <v>471.24</v>
      </c>
    </row>
    <row r="460" spans="1:14" x14ac:dyDescent="0.35">
      <c r="A460" s="2">
        <v>45076</v>
      </c>
      <c r="B460" t="s">
        <v>317</v>
      </c>
      <c r="C460" t="s">
        <v>41</v>
      </c>
      <c r="D460" t="s">
        <v>33</v>
      </c>
      <c r="E460" t="s">
        <v>63</v>
      </c>
      <c r="F460">
        <v>10</v>
      </c>
      <c r="G460">
        <v>37.61</v>
      </c>
      <c r="H460" t="s">
        <v>24</v>
      </c>
      <c r="I460" t="s">
        <v>318</v>
      </c>
      <c r="J460" t="s">
        <v>55</v>
      </c>
      <c r="K460" t="s">
        <v>38</v>
      </c>
      <c r="L460" t="s">
        <v>28</v>
      </c>
      <c r="M460" t="s">
        <v>49</v>
      </c>
      <c r="N460">
        <v>376.1</v>
      </c>
    </row>
    <row r="461" spans="1:14" x14ac:dyDescent="0.35">
      <c r="A461" s="2">
        <v>45753</v>
      </c>
      <c r="B461" t="s">
        <v>466</v>
      </c>
      <c r="C461" t="s">
        <v>86</v>
      </c>
      <c r="D461" t="s">
        <v>52</v>
      </c>
      <c r="E461" t="s">
        <v>34</v>
      </c>
      <c r="F461">
        <v>5</v>
      </c>
      <c r="G461">
        <v>290.02</v>
      </c>
      <c r="H461" t="s">
        <v>44</v>
      </c>
      <c r="I461" t="s">
        <v>1034</v>
      </c>
      <c r="J461" t="s">
        <v>94</v>
      </c>
      <c r="K461" t="s">
        <v>78</v>
      </c>
      <c r="L461" t="s">
        <v>39</v>
      </c>
      <c r="M461" t="s">
        <v>101</v>
      </c>
      <c r="N461">
        <v>1450.1</v>
      </c>
    </row>
    <row r="462" spans="1:14" x14ac:dyDescent="0.35">
      <c r="A462" s="2">
        <v>45184</v>
      </c>
      <c r="B462" t="s">
        <v>435</v>
      </c>
      <c r="C462" t="s">
        <v>21</v>
      </c>
      <c r="D462" t="s">
        <v>42</v>
      </c>
      <c r="E462" t="s">
        <v>53</v>
      </c>
      <c r="F462">
        <v>4</v>
      </c>
      <c r="G462">
        <v>370.9</v>
      </c>
      <c r="H462" t="s">
        <v>44</v>
      </c>
      <c r="I462" t="s">
        <v>436</v>
      </c>
      <c r="J462" t="s">
        <v>26</v>
      </c>
      <c r="K462" t="s">
        <v>38</v>
      </c>
      <c r="L462" t="s">
        <v>28</v>
      </c>
      <c r="M462" t="s">
        <v>61</v>
      </c>
      <c r="N462">
        <v>1483.6</v>
      </c>
    </row>
    <row r="463" spans="1:14" x14ac:dyDescent="0.35">
      <c r="A463" s="2">
        <v>44958</v>
      </c>
      <c r="B463" t="s">
        <v>116</v>
      </c>
      <c r="C463" t="s">
        <v>89</v>
      </c>
      <c r="D463" t="s">
        <v>22</v>
      </c>
      <c r="E463" t="s">
        <v>83</v>
      </c>
      <c r="F463">
        <v>8</v>
      </c>
      <c r="G463">
        <v>315.45999999999998</v>
      </c>
      <c r="H463" t="s">
        <v>35</v>
      </c>
      <c r="I463" t="s">
        <v>117</v>
      </c>
      <c r="J463" t="s">
        <v>55</v>
      </c>
      <c r="K463" t="s">
        <v>60</v>
      </c>
      <c r="L463" t="s">
        <v>66</v>
      </c>
      <c r="M463" t="s">
        <v>67</v>
      </c>
      <c r="N463">
        <v>2523.6799999999998</v>
      </c>
    </row>
    <row r="464" spans="1:14" x14ac:dyDescent="0.35">
      <c r="A464" s="2">
        <v>44937</v>
      </c>
      <c r="B464" t="s">
        <v>68</v>
      </c>
      <c r="C464" t="s">
        <v>51</v>
      </c>
      <c r="D464" t="s">
        <v>42</v>
      </c>
      <c r="E464" t="s">
        <v>43</v>
      </c>
      <c r="F464">
        <v>6</v>
      </c>
      <c r="G464">
        <v>237.91</v>
      </c>
      <c r="H464" t="s">
        <v>58</v>
      </c>
      <c r="I464" t="s">
        <v>69</v>
      </c>
      <c r="J464" t="s">
        <v>55</v>
      </c>
      <c r="K464" t="s">
        <v>60</v>
      </c>
      <c r="L464" t="s">
        <v>28</v>
      </c>
      <c r="M464" t="s">
        <v>67</v>
      </c>
      <c r="N464">
        <v>1427.46</v>
      </c>
    </row>
    <row r="465" spans="1:14" x14ac:dyDescent="0.35">
      <c r="A465" s="2">
        <v>45771</v>
      </c>
      <c r="B465" t="s">
        <v>360</v>
      </c>
      <c r="C465" t="s">
        <v>81</v>
      </c>
      <c r="D465" t="s">
        <v>33</v>
      </c>
      <c r="E465" t="s">
        <v>92</v>
      </c>
      <c r="F465">
        <v>10</v>
      </c>
      <c r="G465">
        <v>394.91</v>
      </c>
      <c r="H465" t="s">
        <v>64</v>
      </c>
      <c r="I465" t="s">
        <v>1046</v>
      </c>
      <c r="J465" t="s">
        <v>97</v>
      </c>
      <c r="K465" t="s">
        <v>38</v>
      </c>
      <c r="L465" t="s">
        <v>66</v>
      </c>
      <c r="M465" t="s">
        <v>56</v>
      </c>
      <c r="N465">
        <v>3949.1</v>
      </c>
    </row>
    <row r="466" spans="1:14" x14ac:dyDescent="0.35">
      <c r="A466" s="2">
        <v>44956</v>
      </c>
      <c r="B466" t="s">
        <v>85</v>
      </c>
      <c r="C466" t="s">
        <v>106</v>
      </c>
      <c r="D466" t="s">
        <v>22</v>
      </c>
      <c r="E466" t="s">
        <v>43</v>
      </c>
      <c r="F466">
        <v>1</v>
      </c>
      <c r="G466">
        <v>141.82</v>
      </c>
      <c r="H466" t="s">
        <v>44</v>
      </c>
      <c r="I466" t="s">
        <v>107</v>
      </c>
      <c r="J466" t="s">
        <v>97</v>
      </c>
      <c r="K466" t="s">
        <v>78</v>
      </c>
      <c r="L466" t="s">
        <v>39</v>
      </c>
      <c r="M466" t="s">
        <v>29</v>
      </c>
      <c r="N466">
        <v>141.82</v>
      </c>
    </row>
    <row r="467" spans="1:14" x14ac:dyDescent="0.35">
      <c r="A467" s="2">
        <v>45284</v>
      </c>
      <c r="B467" t="s">
        <v>558</v>
      </c>
      <c r="C467" t="s">
        <v>41</v>
      </c>
      <c r="D467" t="s">
        <v>52</v>
      </c>
      <c r="E467" t="s">
        <v>43</v>
      </c>
      <c r="F467">
        <v>4</v>
      </c>
      <c r="G467">
        <v>393.62</v>
      </c>
      <c r="H467" t="s">
        <v>58</v>
      </c>
      <c r="I467" t="s">
        <v>559</v>
      </c>
      <c r="J467" t="s">
        <v>26</v>
      </c>
      <c r="K467" t="s">
        <v>60</v>
      </c>
      <c r="L467" t="s">
        <v>39</v>
      </c>
      <c r="M467" t="s">
        <v>101</v>
      </c>
      <c r="N467">
        <v>1574.48</v>
      </c>
    </row>
    <row r="468" spans="1:14" x14ac:dyDescent="0.35">
      <c r="A468" s="2">
        <v>45165</v>
      </c>
      <c r="B468" t="s">
        <v>416</v>
      </c>
      <c r="C468" t="s">
        <v>86</v>
      </c>
      <c r="D468" t="s">
        <v>33</v>
      </c>
      <c r="E468" t="s">
        <v>92</v>
      </c>
      <c r="F468">
        <v>6</v>
      </c>
      <c r="G468">
        <v>80.44</v>
      </c>
      <c r="H468" t="s">
        <v>44</v>
      </c>
      <c r="I468" t="s">
        <v>417</v>
      </c>
      <c r="J468" t="s">
        <v>97</v>
      </c>
      <c r="K468" t="s">
        <v>27</v>
      </c>
      <c r="L468" t="s">
        <v>39</v>
      </c>
      <c r="M468" t="s">
        <v>101</v>
      </c>
      <c r="N468">
        <v>482.64</v>
      </c>
    </row>
    <row r="469" spans="1:14" x14ac:dyDescent="0.35">
      <c r="A469" s="2">
        <v>45024</v>
      </c>
      <c r="B469" t="s">
        <v>230</v>
      </c>
      <c r="C469" t="s">
        <v>74</v>
      </c>
      <c r="D469" t="s">
        <v>33</v>
      </c>
      <c r="E469" t="s">
        <v>83</v>
      </c>
      <c r="F469">
        <v>8</v>
      </c>
      <c r="G469">
        <v>357.27</v>
      </c>
      <c r="H469" t="s">
        <v>24</v>
      </c>
      <c r="I469" t="s">
        <v>231</v>
      </c>
      <c r="J469" t="s">
        <v>94</v>
      </c>
      <c r="K469" t="s">
        <v>60</v>
      </c>
      <c r="L469" t="s">
        <v>39</v>
      </c>
      <c r="M469" t="s">
        <v>79</v>
      </c>
      <c r="N469">
        <v>2858.16</v>
      </c>
    </row>
    <row r="470" spans="1:14" x14ac:dyDescent="0.35">
      <c r="A470" s="2">
        <v>45197</v>
      </c>
      <c r="B470" t="s">
        <v>452</v>
      </c>
      <c r="C470" t="s">
        <v>21</v>
      </c>
      <c r="D470" t="s">
        <v>42</v>
      </c>
      <c r="E470" t="s">
        <v>83</v>
      </c>
      <c r="F470">
        <v>9</v>
      </c>
      <c r="G470">
        <v>131.86000000000001</v>
      </c>
      <c r="H470" t="s">
        <v>58</v>
      </c>
      <c r="I470" t="s">
        <v>453</v>
      </c>
      <c r="J470" t="s">
        <v>26</v>
      </c>
      <c r="K470" t="s">
        <v>27</v>
      </c>
      <c r="L470" t="s">
        <v>28</v>
      </c>
      <c r="M470" t="s">
        <v>56</v>
      </c>
      <c r="N470">
        <v>1186.74</v>
      </c>
    </row>
    <row r="471" spans="1:14" x14ac:dyDescent="0.35">
      <c r="A471" s="2">
        <v>45029</v>
      </c>
      <c r="B471" t="s">
        <v>236</v>
      </c>
      <c r="C471" t="s">
        <v>81</v>
      </c>
      <c r="D471" t="s">
        <v>22</v>
      </c>
      <c r="E471" t="s">
        <v>43</v>
      </c>
      <c r="F471">
        <v>8</v>
      </c>
      <c r="G471">
        <v>376.61</v>
      </c>
      <c r="H471" t="s">
        <v>44</v>
      </c>
      <c r="I471" t="s">
        <v>237</v>
      </c>
      <c r="J471" t="s">
        <v>26</v>
      </c>
      <c r="K471" t="s">
        <v>38</v>
      </c>
      <c r="L471" t="s">
        <v>66</v>
      </c>
      <c r="M471" t="s">
        <v>56</v>
      </c>
      <c r="N471">
        <v>3012.88</v>
      </c>
    </row>
    <row r="472" spans="1:14" x14ac:dyDescent="0.35">
      <c r="A472" s="2">
        <v>45521</v>
      </c>
      <c r="B472" t="s">
        <v>827</v>
      </c>
      <c r="C472" t="s">
        <v>51</v>
      </c>
      <c r="D472" t="s">
        <v>22</v>
      </c>
      <c r="E472" t="s">
        <v>23</v>
      </c>
      <c r="F472">
        <v>3</v>
      </c>
      <c r="G472">
        <v>361.61</v>
      </c>
      <c r="H472" t="s">
        <v>24</v>
      </c>
      <c r="I472" t="s">
        <v>828</v>
      </c>
      <c r="J472" t="s">
        <v>55</v>
      </c>
      <c r="K472" t="s">
        <v>78</v>
      </c>
      <c r="L472" t="s">
        <v>39</v>
      </c>
      <c r="M472" t="s">
        <v>79</v>
      </c>
      <c r="N472">
        <v>1084.83</v>
      </c>
    </row>
    <row r="473" spans="1:14" x14ac:dyDescent="0.35">
      <c r="A473" s="2">
        <v>44987</v>
      </c>
      <c r="B473" t="s">
        <v>158</v>
      </c>
      <c r="C473" t="s">
        <v>51</v>
      </c>
      <c r="D473" t="s">
        <v>33</v>
      </c>
      <c r="E473" t="s">
        <v>92</v>
      </c>
      <c r="F473">
        <v>7</v>
      </c>
      <c r="G473">
        <v>219.3</v>
      </c>
      <c r="H473" t="s">
        <v>24</v>
      </c>
      <c r="I473" t="s">
        <v>159</v>
      </c>
      <c r="J473" t="s">
        <v>94</v>
      </c>
      <c r="K473" t="s">
        <v>78</v>
      </c>
      <c r="L473" t="s">
        <v>28</v>
      </c>
      <c r="M473" t="s">
        <v>56</v>
      </c>
      <c r="N473">
        <v>1535.1</v>
      </c>
    </row>
    <row r="474" spans="1:14" x14ac:dyDescent="0.35">
      <c r="A474" s="2">
        <v>45663</v>
      </c>
      <c r="B474" t="s">
        <v>778</v>
      </c>
      <c r="C474" t="s">
        <v>71</v>
      </c>
      <c r="D474" t="s">
        <v>33</v>
      </c>
      <c r="E474" t="s">
        <v>53</v>
      </c>
      <c r="F474">
        <v>4</v>
      </c>
      <c r="G474">
        <v>40.619999999999997</v>
      </c>
      <c r="H474" t="s">
        <v>35</v>
      </c>
      <c r="I474" t="s">
        <v>968</v>
      </c>
      <c r="J474" t="s">
        <v>97</v>
      </c>
      <c r="K474" t="s">
        <v>38</v>
      </c>
      <c r="L474" t="s">
        <v>39</v>
      </c>
      <c r="M474" t="s">
        <v>29</v>
      </c>
      <c r="N474">
        <v>162.47999999999999</v>
      </c>
    </row>
    <row r="475" spans="1:14" x14ac:dyDescent="0.35">
      <c r="A475" s="2">
        <v>45171</v>
      </c>
      <c r="B475" t="s">
        <v>418</v>
      </c>
      <c r="C475" t="s">
        <v>89</v>
      </c>
      <c r="D475" t="s">
        <v>22</v>
      </c>
      <c r="E475" t="s">
        <v>53</v>
      </c>
      <c r="F475">
        <v>1</v>
      </c>
      <c r="G475">
        <v>11.7</v>
      </c>
      <c r="H475" t="s">
        <v>64</v>
      </c>
      <c r="I475" t="s">
        <v>419</v>
      </c>
      <c r="J475" t="s">
        <v>26</v>
      </c>
      <c r="K475" t="s">
        <v>27</v>
      </c>
      <c r="L475" t="s">
        <v>28</v>
      </c>
      <c r="M475" t="s">
        <v>79</v>
      </c>
      <c r="N475">
        <v>11.7</v>
      </c>
    </row>
    <row r="476" spans="1:14" x14ac:dyDescent="0.35">
      <c r="A476" s="2">
        <v>44937</v>
      </c>
      <c r="B476" t="s">
        <v>62</v>
      </c>
      <c r="C476" t="s">
        <v>41</v>
      </c>
      <c r="D476" t="s">
        <v>42</v>
      </c>
      <c r="E476" t="s">
        <v>63</v>
      </c>
      <c r="F476">
        <v>10</v>
      </c>
      <c r="G476">
        <v>333.11</v>
      </c>
      <c r="H476" t="s">
        <v>64</v>
      </c>
      <c r="I476" t="s">
        <v>65</v>
      </c>
      <c r="J476" t="s">
        <v>55</v>
      </c>
      <c r="K476" t="s">
        <v>60</v>
      </c>
      <c r="L476" t="s">
        <v>66</v>
      </c>
      <c r="M476" t="s">
        <v>67</v>
      </c>
      <c r="N476">
        <v>3331.1</v>
      </c>
    </row>
    <row r="477" spans="1:14" x14ac:dyDescent="0.35">
      <c r="A477" s="2">
        <v>45780</v>
      </c>
      <c r="B477" t="s">
        <v>1057</v>
      </c>
      <c r="C477" t="s">
        <v>106</v>
      </c>
      <c r="D477" t="s">
        <v>33</v>
      </c>
      <c r="E477" t="s">
        <v>83</v>
      </c>
      <c r="F477">
        <v>7</v>
      </c>
      <c r="G477">
        <v>261.88</v>
      </c>
      <c r="H477" t="s">
        <v>64</v>
      </c>
      <c r="I477" t="s">
        <v>1058</v>
      </c>
      <c r="J477" t="s">
        <v>55</v>
      </c>
      <c r="K477" t="s">
        <v>27</v>
      </c>
      <c r="L477" t="s">
        <v>66</v>
      </c>
      <c r="M477" t="s">
        <v>79</v>
      </c>
      <c r="N477">
        <v>1833.16</v>
      </c>
    </row>
    <row r="478" spans="1:14" x14ac:dyDescent="0.35">
      <c r="A478" s="2">
        <v>45005</v>
      </c>
      <c r="B478" t="s">
        <v>191</v>
      </c>
      <c r="C478" t="s">
        <v>106</v>
      </c>
      <c r="D478" t="s">
        <v>22</v>
      </c>
      <c r="E478" t="s">
        <v>43</v>
      </c>
      <c r="F478">
        <v>8</v>
      </c>
      <c r="G478">
        <v>251.59</v>
      </c>
      <c r="H478" t="s">
        <v>44</v>
      </c>
      <c r="I478" t="s">
        <v>192</v>
      </c>
      <c r="J478" t="s">
        <v>55</v>
      </c>
      <c r="K478" t="s">
        <v>38</v>
      </c>
      <c r="L478" t="s">
        <v>39</v>
      </c>
      <c r="M478" t="s">
        <v>29</v>
      </c>
      <c r="N478">
        <v>2012.72</v>
      </c>
    </row>
    <row r="479" spans="1:14" x14ac:dyDescent="0.35">
      <c r="A479" s="2">
        <v>44928</v>
      </c>
      <c r="B479" t="s">
        <v>40</v>
      </c>
      <c r="C479" t="s">
        <v>41</v>
      </c>
      <c r="D479" t="s">
        <v>42</v>
      </c>
      <c r="E479" t="s">
        <v>43</v>
      </c>
      <c r="F479">
        <v>6</v>
      </c>
      <c r="G479">
        <v>72.37</v>
      </c>
      <c r="H479" t="s">
        <v>44</v>
      </c>
      <c r="I479" t="s">
        <v>45</v>
      </c>
      <c r="J479" t="s">
        <v>37</v>
      </c>
      <c r="K479" t="s">
        <v>38</v>
      </c>
      <c r="L479" t="s">
        <v>39</v>
      </c>
      <c r="M479" t="s">
        <v>29</v>
      </c>
      <c r="N479">
        <v>434.22</v>
      </c>
    </row>
    <row r="480" spans="1:14" x14ac:dyDescent="0.35">
      <c r="A480" s="2">
        <v>45035</v>
      </c>
      <c r="B480" t="s">
        <v>246</v>
      </c>
      <c r="C480" t="s">
        <v>89</v>
      </c>
      <c r="D480" t="s">
        <v>33</v>
      </c>
      <c r="E480" t="s">
        <v>63</v>
      </c>
      <c r="F480">
        <v>1</v>
      </c>
      <c r="G480">
        <v>90.99</v>
      </c>
      <c r="H480" t="s">
        <v>64</v>
      </c>
      <c r="I480" t="s">
        <v>247</v>
      </c>
      <c r="J480" t="s">
        <v>26</v>
      </c>
      <c r="K480" t="s">
        <v>27</v>
      </c>
      <c r="L480" t="s">
        <v>39</v>
      </c>
      <c r="M480" t="s">
        <v>67</v>
      </c>
      <c r="N480">
        <v>90.99</v>
      </c>
    </row>
    <row r="481" spans="1:14" x14ac:dyDescent="0.35">
      <c r="A481" s="2">
        <v>45239</v>
      </c>
      <c r="B481" t="s">
        <v>289</v>
      </c>
      <c r="C481" t="s">
        <v>106</v>
      </c>
      <c r="D481" t="s">
        <v>33</v>
      </c>
      <c r="E481" t="s">
        <v>53</v>
      </c>
      <c r="F481">
        <v>8</v>
      </c>
      <c r="G481">
        <v>24.19</v>
      </c>
      <c r="H481" t="s">
        <v>35</v>
      </c>
      <c r="I481" t="s">
        <v>506</v>
      </c>
      <c r="J481" t="s">
        <v>26</v>
      </c>
      <c r="K481" t="s">
        <v>60</v>
      </c>
      <c r="L481" t="s">
        <v>28</v>
      </c>
      <c r="M481" t="s">
        <v>56</v>
      </c>
      <c r="N481">
        <v>193.52</v>
      </c>
    </row>
    <row r="482" spans="1:14" x14ac:dyDescent="0.35">
      <c r="A482" s="2">
        <v>45426</v>
      </c>
      <c r="B482" t="s">
        <v>711</v>
      </c>
      <c r="C482" t="s">
        <v>47</v>
      </c>
      <c r="D482" t="s">
        <v>33</v>
      </c>
      <c r="E482" t="s">
        <v>92</v>
      </c>
      <c r="F482">
        <v>10</v>
      </c>
      <c r="G482">
        <v>252.39</v>
      </c>
      <c r="H482" t="s">
        <v>64</v>
      </c>
      <c r="I482" t="s">
        <v>712</v>
      </c>
      <c r="J482" t="s">
        <v>94</v>
      </c>
      <c r="K482" t="s">
        <v>27</v>
      </c>
      <c r="L482" t="s">
        <v>28</v>
      </c>
      <c r="M482" t="s">
        <v>49</v>
      </c>
      <c r="N482">
        <v>2523.9</v>
      </c>
    </row>
    <row r="483" spans="1:14" x14ac:dyDescent="0.35">
      <c r="A483" s="2">
        <v>45777</v>
      </c>
      <c r="B483" t="s">
        <v>1055</v>
      </c>
      <c r="C483" t="s">
        <v>106</v>
      </c>
      <c r="D483" t="s">
        <v>22</v>
      </c>
      <c r="E483" t="s">
        <v>23</v>
      </c>
      <c r="F483">
        <v>7</v>
      </c>
      <c r="G483">
        <v>227.57</v>
      </c>
      <c r="H483" t="s">
        <v>24</v>
      </c>
      <c r="I483" t="s">
        <v>1056</v>
      </c>
      <c r="J483" t="s">
        <v>37</v>
      </c>
      <c r="K483" t="s">
        <v>60</v>
      </c>
      <c r="L483" t="s">
        <v>39</v>
      </c>
      <c r="M483" t="s">
        <v>67</v>
      </c>
      <c r="N483">
        <v>1592.99</v>
      </c>
    </row>
    <row r="484" spans="1:14" x14ac:dyDescent="0.35">
      <c r="A484" s="2">
        <v>45580</v>
      </c>
      <c r="B484" t="s">
        <v>873</v>
      </c>
      <c r="C484" t="s">
        <v>81</v>
      </c>
      <c r="D484" t="s">
        <v>22</v>
      </c>
      <c r="E484" t="s">
        <v>23</v>
      </c>
      <c r="F484">
        <v>4</v>
      </c>
      <c r="G484">
        <v>201.54</v>
      </c>
      <c r="H484" t="s">
        <v>64</v>
      </c>
      <c r="I484" t="s">
        <v>874</v>
      </c>
      <c r="J484" t="s">
        <v>97</v>
      </c>
      <c r="K484" t="s">
        <v>38</v>
      </c>
      <c r="L484" t="s">
        <v>39</v>
      </c>
      <c r="M484" t="s">
        <v>49</v>
      </c>
      <c r="N484">
        <v>806.16</v>
      </c>
    </row>
    <row r="485" spans="1:14" x14ac:dyDescent="0.35">
      <c r="A485" s="2">
        <v>45490</v>
      </c>
      <c r="B485" t="s">
        <v>153</v>
      </c>
      <c r="C485" t="s">
        <v>41</v>
      </c>
      <c r="D485" t="s">
        <v>22</v>
      </c>
      <c r="E485" t="s">
        <v>83</v>
      </c>
      <c r="F485">
        <v>3</v>
      </c>
      <c r="G485">
        <v>295.11</v>
      </c>
      <c r="H485" t="s">
        <v>35</v>
      </c>
      <c r="I485" t="s">
        <v>777</v>
      </c>
      <c r="J485" t="s">
        <v>37</v>
      </c>
      <c r="K485" t="s">
        <v>38</v>
      </c>
      <c r="L485" t="s">
        <v>39</v>
      </c>
      <c r="M485" t="s">
        <v>67</v>
      </c>
      <c r="N485">
        <v>885.33</v>
      </c>
    </row>
    <row r="486" spans="1:14" x14ac:dyDescent="0.35">
      <c r="A486" s="2">
        <v>45691</v>
      </c>
      <c r="B486" t="s">
        <v>995</v>
      </c>
      <c r="C486" t="s">
        <v>21</v>
      </c>
      <c r="D486" t="s">
        <v>42</v>
      </c>
      <c r="E486" t="s">
        <v>53</v>
      </c>
      <c r="F486">
        <v>5</v>
      </c>
      <c r="G486">
        <v>63.15</v>
      </c>
      <c r="H486" t="s">
        <v>24</v>
      </c>
      <c r="I486" t="s">
        <v>996</v>
      </c>
      <c r="J486" t="s">
        <v>97</v>
      </c>
      <c r="K486" t="s">
        <v>78</v>
      </c>
      <c r="L486" t="s">
        <v>28</v>
      </c>
      <c r="M486" t="s">
        <v>29</v>
      </c>
      <c r="N486">
        <v>315.75</v>
      </c>
    </row>
    <row r="487" spans="1:14" x14ac:dyDescent="0.35">
      <c r="A487" s="2">
        <v>45072</v>
      </c>
      <c r="B487" t="s">
        <v>305</v>
      </c>
      <c r="C487" t="s">
        <v>106</v>
      </c>
      <c r="D487" t="s">
        <v>52</v>
      </c>
      <c r="E487" t="s">
        <v>83</v>
      </c>
      <c r="F487">
        <v>5</v>
      </c>
      <c r="G487">
        <v>271.45</v>
      </c>
      <c r="H487" t="s">
        <v>58</v>
      </c>
      <c r="I487" t="s">
        <v>306</v>
      </c>
      <c r="J487" t="s">
        <v>94</v>
      </c>
      <c r="K487" t="s">
        <v>78</v>
      </c>
      <c r="L487" t="s">
        <v>66</v>
      </c>
      <c r="M487" t="s">
        <v>61</v>
      </c>
      <c r="N487">
        <v>1357.25</v>
      </c>
    </row>
    <row r="488" spans="1:14" x14ac:dyDescent="0.35">
      <c r="A488" s="2">
        <v>45755</v>
      </c>
      <c r="B488" t="s">
        <v>386</v>
      </c>
      <c r="C488" t="s">
        <v>74</v>
      </c>
      <c r="D488" t="s">
        <v>22</v>
      </c>
      <c r="E488" t="s">
        <v>34</v>
      </c>
      <c r="F488">
        <v>8</v>
      </c>
      <c r="G488">
        <v>314.73</v>
      </c>
      <c r="H488" t="s">
        <v>64</v>
      </c>
      <c r="I488" t="s">
        <v>1035</v>
      </c>
      <c r="J488" t="s">
        <v>26</v>
      </c>
      <c r="K488" t="s">
        <v>27</v>
      </c>
      <c r="L488" t="s">
        <v>28</v>
      </c>
      <c r="M488" t="s">
        <v>49</v>
      </c>
      <c r="N488">
        <v>2517.84</v>
      </c>
    </row>
    <row r="489" spans="1:14" x14ac:dyDescent="0.35">
      <c r="A489" s="2">
        <v>45614</v>
      </c>
      <c r="B489" t="s">
        <v>918</v>
      </c>
      <c r="C489" t="s">
        <v>47</v>
      </c>
      <c r="D489" t="s">
        <v>52</v>
      </c>
      <c r="E489" t="s">
        <v>63</v>
      </c>
      <c r="F489">
        <v>10</v>
      </c>
      <c r="G489">
        <v>293.24</v>
      </c>
      <c r="H489" t="s">
        <v>64</v>
      </c>
      <c r="I489" t="s">
        <v>919</v>
      </c>
      <c r="J489" t="s">
        <v>26</v>
      </c>
      <c r="K489" t="s">
        <v>60</v>
      </c>
      <c r="L489" t="s">
        <v>28</v>
      </c>
      <c r="M489" t="s">
        <v>29</v>
      </c>
      <c r="N489">
        <v>2932.4</v>
      </c>
    </row>
    <row r="490" spans="1:14" x14ac:dyDescent="0.35">
      <c r="A490" s="2">
        <v>45751</v>
      </c>
      <c r="B490" t="s">
        <v>1029</v>
      </c>
      <c r="C490" t="s">
        <v>21</v>
      </c>
      <c r="D490" t="s">
        <v>33</v>
      </c>
      <c r="E490" t="s">
        <v>53</v>
      </c>
      <c r="F490">
        <v>3</v>
      </c>
      <c r="G490">
        <v>399.19</v>
      </c>
      <c r="H490" t="s">
        <v>44</v>
      </c>
      <c r="I490" t="s">
        <v>1030</v>
      </c>
      <c r="J490" t="s">
        <v>94</v>
      </c>
      <c r="K490" t="s">
        <v>78</v>
      </c>
      <c r="L490" t="s">
        <v>66</v>
      </c>
      <c r="M490" t="s">
        <v>61</v>
      </c>
      <c r="N490">
        <v>1197.57</v>
      </c>
    </row>
    <row r="491" spans="1:14" x14ac:dyDescent="0.35">
      <c r="A491" s="2">
        <v>45287</v>
      </c>
      <c r="B491" t="s">
        <v>448</v>
      </c>
      <c r="C491" t="s">
        <v>51</v>
      </c>
      <c r="D491" t="s">
        <v>52</v>
      </c>
      <c r="E491" t="s">
        <v>43</v>
      </c>
      <c r="F491">
        <v>10</v>
      </c>
      <c r="G491">
        <v>391.43</v>
      </c>
      <c r="H491" t="s">
        <v>35</v>
      </c>
      <c r="I491" t="s">
        <v>560</v>
      </c>
      <c r="J491" t="s">
        <v>97</v>
      </c>
      <c r="K491" t="s">
        <v>38</v>
      </c>
      <c r="L491" t="s">
        <v>66</v>
      </c>
      <c r="M491" t="s">
        <v>67</v>
      </c>
      <c r="N491">
        <v>3914.3</v>
      </c>
    </row>
    <row r="492" spans="1:14" x14ac:dyDescent="0.35">
      <c r="A492" s="2">
        <v>45075</v>
      </c>
      <c r="B492" t="s">
        <v>313</v>
      </c>
      <c r="C492" t="s">
        <v>21</v>
      </c>
      <c r="D492" t="s">
        <v>52</v>
      </c>
      <c r="E492" t="s">
        <v>92</v>
      </c>
      <c r="F492">
        <v>6</v>
      </c>
      <c r="G492">
        <v>137.44999999999999</v>
      </c>
      <c r="H492" t="s">
        <v>58</v>
      </c>
      <c r="I492" t="s">
        <v>314</v>
      </c>
      <c r="J492" t="s">
        <v>94</v>
      </c>
      <c r="K492" t="s">
        <v>78</v>
      </c>
      <c r="L492" t="s">
        <v>66</v>
      </c>
      <c r="M492" t="s">
        <v>29</v>
      </c>
      <c r="N492">
        <v>824.69999999999993</v>
      </c>
    </row>
    <row r="493" spans="1:14" x14ac:dyDescent="0.35">
      <c r="A493" s="2">
        <v>45051</v>
      </c>
      <c r="B493" t="s">
        <v>273</v>
      </c>
      <c r="C493" t="s">
        <v>86</v>
      </c>
      <c r="D493" t="s">
        <v>52</v>
      </c>
      <c r="E493" t="s">
        <v>53</v>
      </c>
      <c r="F493">
        <v>1</v>
      </c>
      <c r="G493">
        <v>132.06</v>
      </c>
      <c r="H493" t="s">
        <v>35</v>
      </c>
      <c r="I493" t="s">
        <v>274</v>
      </c>
      <c r="J493" t="s">
        <v>97</v>
      </c>
      <c r="K493" t="s">
        <v>38</v>
      </c>
      <c r="L493" t="s">
        <v>39</v>
      </c>
      <c r="M493" t="s">
        <v>61</v>
      </c>
      <c r="N493">
        <v>132.06</v>
      </c>
    </row>
    <row r="494" spans="1:14" x14ac:dyDescent="0.35">
      <c r="A494" s="2">
        <v>45619</v>
      </c>
      <c r="B494" t="s">
        <v>416</v>
      </c>
      <c r="C494" t="s">
        <v>106</v>
      </c>
      <c r="D494" t="s">
        <v>42</v>
      </c>
      <c r="E494" t="s">
        <v>34</v>
      </c>
      <c r="F494">
        <v>4</v>
      </c>
      <c r="G494">
        <v>82.18</v>
      </c>
      <c r="H494" t="s">
        <v>35</v>
      </c>
      <c r="I494" t="s">
        <v>927</v>
      </c>
      <c r="J494" t="s">
        <v>55</v>
      </c>
      <c r="K494" t="s">
        <v>60</v>
      </c>
      <c r="L494" t="s">
        <v>39</v>
      </c>
      <c r="M494" t="s">
        <v>79</v>
      </c>
      <c r="N494">
        <v>328.72</v>
      </c>
    </row>
    <row r="495" spans="1:14" x14ac:dyDescent="0.35">
      <c r="A495" s="2">
        <v>45815</v>
      </c>
      <c r="B495" t="s">
        <v>1078</v>
      </c>
      <c r="C495" t="s">
        <v>81</v>
      </c>
      <c r="D495" t="s">
        <v>22</v>
      </c>
      <c r="E495" t="s">
        <v>23</v>
      </c>
      <c r="F495">
        <v>10</v>
      </c>
      <c r="G495">
        <v>382.95</v>
      </c>
      <c r="H495" t="s">
        <v>24</v>
      </c>
      <c r="I495" t="s">
        <v>1079</v>
      </c>
      <c r="J495" t="s">
        <v>55</v>
      </c>
      <c r="K495" t="s">
        <v>38</v>
      </c>
      <c r="L495" t="s">
        <v>28</v>
      </c>
      <c r="M495" t="s">
        <v>79</v>
      </c>
      <c r="N495">
        <v>3829.5</v>
      </c>
    </row>
    <row r="496" spans="1:14" x14ac:dyDescent="0.35">
      <c r="A496" s="2">
        <v>45757</v>
      </c>
      <c r="B496" t="s">
        <v>1036</v>
      </c>
      <c r="C496" t="s">
        <v>89</v>
      </c>
      <c r="D496" t="s">
        <v>52</v>
      </c>
      <c r="E496" t="s">
        <v>43</v>
      </c>
      <c r="F496">
        <v>7</v>
      </c>
      <c r="G496">
        <v>373.69</v>
      </c>
      <c r="H496" t="s">
        <v>24</v>
      </c>
      <c r="I496" t="s">
        <v>1037</v>
      </c>
      <c r="J496" t="s">
        <v>55</v>
      </c>
      <c r="K496" t="s">
        <v>78</v>
      </c>
      <c r="L496" t="s">
        <v>39</v>
      </c>
      <c r="M496" t="s">
        <v>56</v>
      </c>
      <c r="N496">
        <v>2615.83</v>
      </c>
    </row>
    <row r="497" spans="1:14" x14ac:dyDescent="0.35">
      <c r="A497" s="2">
        <v>45007</v>
      </c>
      <c r="B497" t="s">
        <v>62</v>
      </c>
      <c r="C497" t="s">
        <v>74</v>
      </c>
      <c r="D497" t="s">
        <v>22</v>
      </c>
      <c r="E497" t="s">
        <v>92</v>
      </c>
      <c r="F497">
        <v>5</v>
      </c>
      <c r="G497">
        <v>394.28</v>
      </c>
      <c r="H497" t="s">
        <v>58</v>
      </c>
      <c r="I497" t="s">
        <v>197</v>
      </c>
      <c r="J497" t="s">
        <v>26</v>
      </c>
      <c r="K497" t="s">
        <v>27</v>
      </c>
      <c r="L497" t="s">
        <v>66</v>
      </c>
      <c r="M497" t="s">
        <v>67</v>
      </c>
      <c r="N497">
        <v>1971.4</v>
      </c>
    </row>
    <row r="498" spans="1:14" x14ac:dyDescent="0.35">
      <c r="A498" s="2">
        <v>44931</v>
      </c>
      <c r="B498" t="s">
        <v>50</v>
      </c>
      <c r="C498" t="s">
        <v>51</v>
      </c>
      <c r="D498" t="s">
        <v>52</v>
      </c>
      <c r="E498" t="s">
        <v>53</v>
      </c>
      <c r="F498">
        <v>4</v>
      </c>
      <c r="G498">
        <v>13.69</v>
      </c>
      <c r="H498" t="s">
        <v>44</v>
      </c>
      <c r="I498" t="s">
        <v>54</v>
      </c>
      <c r="J498" t="s">
        <v>55</v>
      </c>
      <c r="K498" t="s">
        <v>38</v>
      </c>
      <c r="L498" t="s">
        <v>28</v>
      </c>
      <c r="M498" t="s">
        <v>56</v>
      </c>
      <c r="N498">
        <v>54.76</v>
      </c>
    </row>
    <row r="499" spans="1:14" x14ac:dyDescent="0.35">
      <c r="A499" s="2">
        <v>45384</v>
      </c>
      <c r="B499" t="s">
        <v>673</v>
      </c>
      <c r="C499" t="s">
        <v>86</v>
      </c>
      <c r="D499" t="s">
        <v>22</v>
      </c>
      <c r="E499" t="s">
        <v>34</v>
      </c>
      <c r="F499">
        <v>9</v>
      </c>
      <c r="G499">
        <v>232.17</v>
      </c>
      <c r="H499" t="s">
        <v>35</v>
      </c>
      <c r="I499" t="s">
        <v>674</v>
      </c>
      <c r="J499" t="s">
        <v>97</v>
      </c>
      <c r="K499" t="s">
        <v>60</v>
      </c>
      <c r="L499" t="s">
        <v>28</v>
      </c>
      <c r="M499" t="s">
        <v>49</v>
      </c>
      <c r="N499">
        <v>2089.5300000000002</v>
      </c>
    </row>
    <row r="500" spans="1:14" x14ac:dyDescent="0.35">
      <c r="A500" s="2">
        <v>45589</v>
      </c>
      <c r="B500" t="s">
        <v>882</v>
      </c>
      <c r="C500" t="s">
        <v>106</v>
      </c>
      <c r="D500" t="s">
        <v>52</v>
      </c>
      <c r="E500" t="s">
        <v>43</v>
      </c>
      <c r="F500">
        <v>3</v>
      </c>
      <c r="G500">
        <v>218.33</v>
      </c>
      <c r="H500" t="s">
        <v>64</v>
      </c>
      <c r="I500" t="s">
        <v>883</v>
      </c>
      <c r="J500" t="s">
        <v>94</v>
      </c>
      <c r="K500" t="s">
        <v>60</v>
      </c>
      <c r="L500" t="s">
        <v>66</v>
      </c>
      <c r="M500" t="s">
        <v>56</v>
      </c>
      <c r="N500">
        <v>654.99</v>
      </c>
    </row>
    <row r="501" spans="1:14" x14ac:dyDescent="0.35">
      <c r="A501" s="2">
        <v>45306</v>
      </c>
      <c r="B501" t="s">
        <v>187</v>
      </c>
      <c r="C501" t="s">
        <v>106</v>
      </c>
      <c r="D501" t="s">
        <v>52</v>
      </c>
      <c r="E501" t="s">
        <v>34</v>
      </c>
      <c r="F501">
        <v>5</v>
      </c>
      <c r="G501">
        <v>236.66</v>
      </c>
      <c r="H501" t="s">
        <v>35</v>
      </c>
      <c r="I501" t="s">
        <v>583</v>
      </c>
      <c r="J501" t="s">
        <v>97</v>
      </c>
      <c r="K501" t="s">
        <v>38</v>
      </c>
      <c r="L501" t="s">
        <v>28</v>
      </c>
      <c r="M501" t="s">
        <v>29</v>
      </c>
      <c r="N501">
        <v>1183.3</v>
      </c>
    </row>
    <row r="502" spans="1:14" x14ac:dyDescent="0.35">
      <c r="A502" s="2">
        <v>45038</v>
      </c>
      <c r="B502" t="s">
        <v>256</v>
      </c>
      <c r="C502" t="s">
        <v>21</v>
      </c>
      <c r="D502" t="s">
        <v>22</v>
      </c>
      <c r="E502" t="s">
        <v>83</v>
      </c>
      <c r="F502">
        <v>1</v>
      </c>
      <c r="G502">
        <v>19.88</v>
      </c>
      <c r="H502" t="s">
        <v>58</v>
      </c>
      <c r="I502" t="s">
        <v>257</v>
      </c>
      <c r="J502" t="s">
        <v>97</v>
      </c>
      <c r="K502" t="s">
        <v>38</v>
      </c>
      <c r="L502" t="s">
        <v>28</v>
      </c>
      <c r="M502" t="s">
        <v>79</v>
      </c>
      <c r="N502">
        <v>19.88</v>
      </c>
    </row>
    <row r="503" spans="1:14" x14ac:dyDescent="0.35">
      <c r="A503" s="2">
        <v>45437</v>
      </c>
      <c r="B503" t="s">
        <v>378</v>
      </c>
      <c r="C503" t="s">
        <v>106</v>
      </c>
      <c r="D503" t="s">
        <v>33</v>
      </c>
      <c r="E503" t="s">
        <v>63</v>
      </c>
      <c r="F503">
        <v>5</v>
      </c>
      <c r="G503">
        <v>12.84</v>
      </c>
      <c r="H503" t="s">
        <v>64</v>
      </c>
      <c r="I503" t="s">
        <v>724</v>
      </c>
      <c r="J503" t="s">
        <v>37</v>
      </c>
      <c r="K503" t="s">
        <v>60</v>
      </c>
      <c r="L503" t="s">
        <v>66</v>
      </c>
      <c r="M503" t="s">
        <v>79</v>
      </c>
      <c r="N503">
        <v>64.2</v>
      </c>
    </row>
    <row r="504" spans="1:14" x14ac:dyDescent="0.35">
      <c r="A504" s="2">
        <v>44953</v>
      </c>
      <c r="B504" t="s">
        <v>70</v>
      </c>
      <c r="C504" t="s">
        <v>51</v>
      </c>
      <c r="D504" t="s">
        <v>42</v>
      </c>
      <c r="E504" t="s">
        <v>43</v>
      </c>
      <c r="F504">
        <v>9</v>
      </c>
      <c r="G504">
        <v>113.9</v>
      </c>
      <c r="H504" t="s">
        <v>58</v>
      </c>
      <c r="I504" t="s">
        <v>98</v>
      </c>
      <c r="J504" t="s">
        <v>26</v>
      </c>
      <c r="K504" t="s">
        <v>78</v>
      </c>
      <c r="L504" t="s">
        <v>28</v>
      </c>
      <c r="M504" t="s">
        <v>61</v>
      </c>
      <c r="N504">
        <v>1025.0999999999999</v>
      </c>
    </row>
    <row r="505" spans="1:14" x14ac:dyDescent="0.35">
      <c r="A505" s="2">
        <v>45721</v>
      </c>
      <c r="B505" t="s">
        <v>1014</v>
      </c>
      <c r="C505" t="s">
        <v>71</v>
      </c>
      <c r="D505" t="s">
        <v>33</v>
      </c>
      <c r="E505" t="s">
        <v>63</v>
      </c>
      <c r="F505">
        <v>10</v>
      </c>
      <c r="G505">
        <v>313.01</v>
      </c>
      <c r="H505" t="s">
        <v>58</v>
      </c>
      <c r="I505" t="s">
        <v>1015</v>
      </c>
      <c r="J505" t="s">
        <v>94</v>
      </c>
      <c r="K505" t="s">
        <v>60</v>
      </c>
      <c r="L505" t="s">
        <v>28</v>
      </c>
      <c r="M505" t="s">
        <v>67</v>
      </c>
      <c r="N505">
        <v>3130.1</v>
      </c>
    </row>
    <row r="506" spans="1:14" x14ac:dyDescent="0.35">
      <c r="A506" s="2">
        <v>45553</v>
      </c>
      <c r="B506" t="s">
        <v>850</v>
      </c>
      <c r="C506" t="s">
        <v>89</v>
      </c>
      <c r="D506" t="s">
        <v>42</v>
      </c>
      <c r="E506" t="s">
        <v>92</v>
      </c>
      <c r="F506">
        <v>3</v>
      </c>
      <c r="G506">
        <v>276.79000000000002</v>
      </c>
      <c r="H506" t="s">
        <v>58</v>
      </c>
      <c r="I506" t="s">
        <v>851</v>
      </c>
      <c r="J506" t="s">
        <v>26</v>
      </c>
      <c r="K506" t="s">
        <v>60</v>
      </c>
      <c r="L506" t="s">
        <v>66</v>
      </c>
      <c r="M506" t="s">
        <v>67</v>
      </c>
      <c r="N506">
        <v>830.37000000000012</v>
      </c>
    </row>
    <row r="507" spans="1:14" x14ac:dyDescent="0.35">
      <c r="A507" s="2">
        <v>45337</v>
      </c>
      <c r="B507" t="s">
        <v>610</v>
      </c>
      <c r="C507" t="s">
        <v>51</v>
      </c>
      <c r="D507" t="s">
        <v>42</v>
      </c>
      <c r="E507" t="s">
        <v>23</v>
      </c>
      <c r="F507">
        <v>4</v>
      </c>
      <c r="G507">
        <v>385.05</v>
      </c>
      <c r="H507" t="s">
        <v>64</v>
      </c>
      <c r="I507" t="s">
        <v>611</v>
      </c>
      <c r="J507" t="s">
        <v>94</v>
      </c>
      <c r="K507" t="s">
        <v>60</v>
      </c>
      <c r="L507" t="s">
        <v>66</v>
      </c>
      <c r="M507" t="s">
        <v>56</v>
      </c>
      <c r="N507">
        <v>1540.2</v>
      </c>
    </row>
    <row r="508" spans="1:14" x14ac:dyDescent="0.35">
      <c r="A508" s="2">
        <v>45069</v>
      </c>
      <c r="B508" t="s">
        <v>279</v>
      </c>
      <c r="C508" t="s">
        <v>89</v>
      </c>
      <c r="D508" t="s">
        <v>22</v>
      </c>
      <c r="E508" t="s">
        <v>63</v>
      </c>
      <c r="F508">
        <v>4</v>
      </c>
      <c r="G508">
        <v>56.43</v>
      </c>
      <c r="H508" t="s">
        <v>35</v>
      </c>
      <c r="I508" t="s">
        <v>301</v>
      </c>
      <c r="J508" t="s">
        <v>37</v>
      </c>
      <c r="K508" t="s">
        <v>38</v>
      </c>
      <c r="L508" t="s">
        <v>28</v>
      </c>
      <c r="M508" t="s">
        <v>49</v>
      </c>
      <c r="N508">
        <v>225.72</v>
      </c>
    </row>
    <row r="509" spans="1:14" x14ac:dyDescent="0.35">
      <c r="A509" s="2">
        <v>45472</v>
      </c>
      <c r="B509" t="s">
        <v>91</v>
      </c>
      <c r="C509" t="s">
        <v>71</v>
      </c>
      <c r="D509" t="s">
        <v>52</v>
      </c>
      <c r="E509" t="s">
        <v>63</v>
      </c>
      <c r="F509">
        <v>9</v>
      </c>
      <c r="G509">
        <v>127.4</v>
      </c>
      <c r="H509" t="s">
        <v>35</v>
      </c>
      <c r="I509" t="s">
        <v>756</v>
      </c>
      <c r="J509" t="s">
        <v>55</v>
      </c>
      <c r="K509" t="s">
        <v>27</v>
      </c>
      <c r="L509" t="s">
        <v>39</v>
      </c>
      <c r="M509" t="s">
        <v>79</v>
      </c>
      <c r="N509">
        <v>1146.5999999999999</v>
      </c>
    </row>
    <row r="510" spans="1:14" x14ac:dyDescent="0.35">
      <c r="A510" s="2">
        <v>45502</v>
      </c>
      <c r="B510" t="s">
        <v>433</v>
      </c>
      <c r="C510" t="s">
        <v>89</v>
      </c>
      <c r="D510" t="s">
        <v>52</v>
      </c>
      <c r="E510" t="s">
        <v>34</v>
      </c>
      <c r="F510">
        <v>2</v>
      </c>
      <c r="G510">
        <v>106.96</v>
      </c>
      <c r="H510" t="s">
        <v>58</v>
      </c>
      <c r="I510" t="s">
        <v>800</v>
      </c>
      <c r="J510" t="s">
        <v>94</v>
      </c>
      <c r="K510" t="s">
        <v>78</v>
      </c>
      <c r="L510" t="s">
        <v>66</v>
      </c>
      <c r="M510" t="s">
        <v>29</v>
      </c>
      <c r="N510">
        <v>213.92</v>
      </c>
    </row>
    <row r="511" spans="1:14" x14ac:dyDescent="0.35">
      <c r="A511" s="2">
        <v>45604</v>
      </c>
      <c r="B511" t="s">
        <v>910</v>
      </c>
      <c r="C511" t="s">
        <v>51</v>
      </c>
      <c r="D511" t="s">
        <v>33</v>
      </c>
      <c r="E511" t="s">
        <v>63</v>
      </c>
      <c r="F511">
        <v>5</v>
      </c>
      <c r="G511">
        <v>140.99</v>
      </c>
      <c r="H511" t="s">
        <v>58</v>
      </c>
      <c r="I511" t="s">
        <v>911</v>
      </c>
      <c r="J511" t="s">
        <v>94</v>
      </c>
      <c r="K511" t="s">
        <v>78</v>
      </c>
      <c r="L511" t="s">
        <v>28</v>
      </c>
      <c r="M511" t="s">
        <v>61</v>
      </c>
      <c r="N511">
        <v>704.95</v>
      </c>
    </row>
    <row r="512" spans="1:14" x14ac:dyDescent="0.35">
      <c r="A512" s="2">
        <v>45570</v>
      </c>
      <c r="B512" t="s">
        <v>867</v>
      </c>
      <c r="C512" t="s">
        <v>86</v>
      </c>
      <c r="D512" t="s">
        <v>22</v>
      </c>
      <c r="E512" t="s">
        <v>34</v>
      </c>
      <c r="F512">
        <v>3</v>
      </c>
      <c r="G512">
        <v>54.47</v>
      </c>
      <c r="H512" t="s">
        <v>44</v>
      </c>
      <c r="I512" t="s">
        <v>868</v>
      </c>
      <c r="J512" t="s">
        <v>37</v>
      </c>
      <c r="K512" t="s">
        <v>38</v>
      </c>
      <c r="L512" t="s">
        <v>28</v>
      </c>
      <c r="M512" t="s">
        <v>79</v>
      </c>
      <c r="N512">
        <v>163.41</v>
      </c>
    </row>
    <row r="513" spans="1:14" x14ac:dyDescent="0.35">
      <c r="A513" s="2">
        <v>45260</v>
      </c>
      <c r="B513" t="s">
        <v>524</v>
      </c>
      <c r="C513" t="s">
        <v>81</v>
      </c>
      <c r="D513" t="s">
        <v>52</v>
      </c>
      <c r="E513" t="s">
        <v>53</v>
      </c>
      <c r="F513">
        <v>7</v>
      </c>
      <c r="G513">
        <v>274.8</v>
      </c>
      <c r="H513" t="s">
        <v>58</v>
      </c>
      <c r="I513" t="s">
        <v>525</v>
      </c>
      <c r="J513" t="s">
        <v>37</v>
      </c>
      <c r="K513" t="s">
        <v>60</v>
      </c>
      <c r="L513" t="s">
        <v>28</v>
      </c>
      <c r="M513" t="s">
        <v>56</v>
      </c>
      <c r="N513">
        <v>1923.6</v>
      </c>
    </row>
    <row r="514" spans="1:14" x14ac:dyDescent="0.35">
      <c r="A514" s="2">
        <v>45444</v>
      </c>
      <c r="B514" t="s">
        <v>729</v>
      </c>
      <c r="C514" t="s">
        <v>106</v>
      </c>
      <c r="D514" t="s">
        <v>33</v>
      </c>
      <c r="E514" t="s">
        <v>34</v>
      </c>
      <c r="F514">
        <v>1</v>
      </c>
      <c r="G514">
        <v>87.7</v>
      </c>
      <c r="H514" t="s">
        <v>44</v>
      </c>
      <c r="I514" t="s">
        <v>730</v>
      </c>
      <c r="J514" t="s">
        <v>97</v>
      </c>
      <c r="K514" t="s">
        <v>60</v>
      </c>
      <c r="L514" t="s">
        <v>28</v>
      </c>
      <c r="M514" t="s">
        <v>79</v>
      </c>
      <c r="N514">
        <v>87.7</v>
      </c>
    </row>
    <row r="515" spans="1:14" x14ac:dyDescent="0.35">
      <c r="A515" s="2">
        <v>45328</v>
      </c>
      <c r="B515" t="s">
        <v>147</v>
      </c>
      <c r="C515" t="s">
        <v>51</v>
      </c>
      <c r="D515" t="s">
        <v>33</v>
      </c>
      <c r="E515" t="s">
        <v>23</v>
      </c>
      <c r="F515">
        <v>7</v>
      </c>
      <c r="G515">
        <v>141.83000000000001</v>
      </c>
      <c r="H515" t="s">
        <v>35</v>
      </c>
      <c r="I515" t="s">
        <v>600</v>
      </c>
      <c r="J515" t="s">
        <v>94</v>
      </c>
      <c r="K515" t="s">
        <v>27</v>
      </c>
      <c r="L515" t="s">
        <v>28</v>
      </c>
      <c r="M515" t="s">
        <v>49</v>
      </c>
      <c r="N515">
        <v>992.81000000000006</v>
      </c>
    </row>
    <row r="516" spans="1:14" x14ac:dyDescent="0.35">
      <c r="A516" s="2">
        <v>45602</v>
      </c>
      <c r="B516" t="s">
        <v>903</v>
      </c>
      <c r="C516" t="s">
        <v>71</v>
      </c>
      <c r="D516" t="s">
        <v>42</v>
      </c>
      <c r="E516" t="s">
        <v>43</v>
      </c>
      <c r="F516">
        <v>5</v>
      </c>
      <c r="G516">
        <v>185.4</v>
      </c>
      <c r="H516" t="s">
        <v>24</v>
      </c>
      <c r="I516" t="s">
        <v>904</v>
      </c>
      <c r="J516" t="s">
        <v>37</v>
      </c>
      <c r="K516" t="s">
        <v>78</v>
      </c>
      <c r="L516" t="s">
        <v>28</v>
      </c>
      <c r="M516" t="s">
        <v>67</v>
      </c>
      <c r="N516">
        <v>927</v>
      </c>
    </row>
    <row r="517" spans="1:14" x14ac:dyDescent="0.35">
      <c r="A517" s="2">
        <v>45600</v>
      </c>
      <c r="B517" t="s">
        <v>354</v>
      </c>
      <c r="C517" t="s">
        <v>86</v>
      </c>
      <c r="D517" t="s">
        <v>52</v>
      </c>
      <c r="E517" t="s">
        <v>92</v>
      </c>
      <c r="F517">
        <v>8</v>
      </c>
      <c r="G517">
        <v>285.94</v>
      </c>
      <c r="H517" t="s">
        <v>64</v>
      </c>
      <c r="I517" t="s">
        <v>899</v>
      </c>
      <c r="J517" t="s">
        <v>97</v>
      </c>
      <c r="K517" t="s">
        <v>38</v>
      </c>
      <c r="L517" t="s">
        <v>28</v>
      </c>
      <c r="M517" t="s">
        <v>29</v>
      </c>
      <c r="N517">
        <v>2287.52</v>
      </c>
    </row>
    <row r="518" spans="1:14" x14ac:dyDescent="0.35">
      <c r="A518" s="2">
        <v>45821</v>
      </c>
      <c r="B518" t="s">
        <v>1092</v>
      </c>
      <c r="C518" t="s">
        <v>21</v>
      </c>
      <c r="D518" t="s">
        <v>33</v>
      </c>
      <c r="E518" t="s">
        <v>34</v>
      </c>
      <c r="F518">
        <v>5</v>
      </c>
      <c r="G518">
        <v>254.62</v>
      </c>
      <c r="H518" t="s">
        <v>44</v>
      </c>
      <c r="I518" t="s">
        <v>1093</v>
      </c>
      <c r="J518" t="s">
        <v>97</v>
      </c>
      <c r="K518" t="s">
        <v>27</v>
      </c>
      <c r="L518" t="s">
        <v>28</v>
      </c>
      <c r="M518" t="s">
        <v>61</v>
      </c>
      <c r="N518">
        <v>1273.0999999999999</v>
      </c>
    </row>
    <row r="519" spans="1:14" x14ac:dyDescent="0.35">
      <c r="A519" s="2">
        <v>45098</v>
      </c>
      <c r="B519" t="s">
        <v>354</v>
      </c>
      <c r="C519" t="s">
        <v>21</v>
      </c>
      <c r="D519" t="s">
        <v>33</v>
      </c>
      <c r="E519" t="s">
        <v>53</v>
      </c>
      <c r="F519">
        <v>7</v>
      </c>
      <c r="G519">
        <v>269.37</v>
      </c>
      <c r="H519" t="s">
        <v>64</v>
      </c>
      <c r="I519" t="s">
        <v>355</v>
      </c>
      <c r="J519" t="s">
        <v>26</v>
      </c>
      <c r="K519" t="s">
        <v>60</v>
      </c>
      <c r="L519" t="s">
        <v>28</v>
      </c>
      <c r="M519" t="s">
        <v>67</v>
      </c>
      <c r="N519">
        <v>1885.59</v>
      </c>
    </row>
    <row r="520" spans="1:14" x14ac:dyDescent="0.35">
      <c r="A520" s="2">
        <v>45279</v>
      </c>
      <c r="B520" t="s">
        <v>552</v>
      </c>
      <c r="C520" t="s">
        <v>51</v>
      </c>
      <c r="D520" t="s">
        <v>42</v>
      </c>
      <c r="E520" t="s">
        <v>43</v>
      </c>
      <c r="F520">
        <v>1</v>
      </c>
      <c r="G520">
        <v>318.93</v>
      </c>
      <c r="H520" t="s">
        <v>44</v>
      </c>
      <c r="I520" t="s">
        <v>553</v>
      </c>
      <c r="J520" t="s">
        <v>55</v>
      </c>
      <c r="K520" t="s">
        <v>78</v>
      </c>
      <c r="L520" t="s">
        <v>39</v>
      </c>
      <c r="M520" t="s">
        <v>49</v>
      </c>
      <c r="N520">
        <v>318.93</v>
      </c>
    </row>
    <row r="521" spans="1:14" x14ac:dyDescent="0.35">
      <c r="A521" s="2">
        <v>44947</v>
      </c>
      <c r="B521" t="s">
        <v>85</v>
      </c>
      <c r="C521" t="s">
        <v>86</v>
      </c>
      <c r="D521" t="s">
        <v>33</v>
      </c>
      <c r="E521" t="s">
        <v>43</v>
      </c>
      <c r="F521">
        <v>2</v>
      </c>
      <c r="G521">
        <v>329.82</v>
      </c>
      <c r="H521" t="s">
        <v>35</v>
      </c>
      <c r="I521" t="s">
        <v>87</v>
      </c>
      <c r="J521" t="s">
        <v>26</v>
      </c>
      <c r="K521" t="s">
        <v>27</v>
      </c>
      <c r="L521" t="s">
        <v>39</v>
      </c>
      <c r="M521" t="s">
        <v>79</v>
      </c>
      <c r="N521">
        <v>659.64</v>
      </c>
    </row>
    <row r="522" spans="1:14" x14ac:dyDescent="0.35">
      <c r="A522" s="2">
        <v>45049</v>
      </c>
      <c r="B522" t="s">
        <v>153</v>
      </c>
      <c r="C522" t="s">
        <v>106</v>
      </c>
      <c r="D522" t="s">
        <v>33</v>
      </c>
      <c r="E522" t="s">
        <v>53</v>
      </c>
      <c r="F522">
        <v>8</v>
      </c>
      <c r="G522">
        <v>359.55</v>
      </c>
      <c r="H522" t="s">
        <v>64</v>
      </c>
      <c r="I522" t="s">
        <v>270</v>
      </c>
      <c r="J522" t="s">
        <v>94</v>
      </c>
      <c r="K522" t="s">
        <v>27</v>
      </c>
      <c r="L522" t="s">
        <v>39</v>
      </c>
      <c r="M522" t="s">
        <v>67</v>
      </c>
      <c r="N522">
        <v>2876.4</v>
      </c>
    </row>
    <row r="523" spans="1:14" x14ac:dyDescent="0.35">
      <c r="A523" s="2">
        <v>45385</v>
      </c>
      <c r="B523" t="s">
        <v>675</v>
      </c>
      <c r="C523" t="s">
        <v>89</v>
      </c>
      <c r="D523" t="s">
        <v>42</v>
      </c>
      <c r="E523" t="s">
        <v>34</v>
      </c>
      <c r="F523">
        <v>5</v>
      </c>
      <c r="G523">
        <v>366.17</v>
      </c>
      <c r="H523" t="s">
        <v>64</v>
      </c>
      <c r="I523" t="s">
        <v>676</v>
      </c>
      <c r="J523" t="s">
        <v>97</v>
      </c>
      <c r="K523" t="s">
        <v>78</v>
      </c>
      <c r="L523" t="s">
        <v>66</v>
      </c>
      <c r="M523" t="s">
        <v>67</v>
      </c>
      <c r="N523">
        <v>1830.85</v>
      </c>
    </row>
    <row r="524" spans="1:14" x14ac:dyDescent="0.35">
      <c r="A524" s="2">
        <v>45613</v>
      </c>
      <c r="B524" t="s">
        <v>906</v>
      </c>
      <c r="C524" t="s">
        <v>81</v>
      </c>
      <c r="D524" t="s">
        <v>52</v>
      </c>
      <c r="E524" t="s">
        <v>43</v>
      </c>
      <c r="F524">
        <v>9</v>
      </c>
      <c r="G524">
        <v>303.77999999999997</v>
      </c>
      <c r="H524" t="s">
        <v>58</v>
      </c>
      <c r="I524" t="s">
        <v>917</v>
      </c>
      <c r="J524" t="s">
        <v>94</v>
      </c>
      <c r="K524" t="s">
        <v>60</v>
      </c>
      <c r="L524" t="s">
        <v>66</v>
      </c>
      <c r="M524" t="s">
        <v>101</v>
      </c>
      <c r="N524">
        <v>2734.02</v>
      </c>
    </row>
    <row r="525" spans="1:14" x14ac:dyDescent="0.35">
      <c r="A525" s="2">
        <v>45206</v>
      </c>
      <c r="B525" t="s">
        <v>461</v>
      </c>
      <c r="C525" t="s">
        <v>86</v>
      </c>
      <c r="D525" t="s">
        <v>52</v>
      </c>
      <c r="E525" t="s">
        <v>53</v>
      </c>
      <c r="F525">
        <v>2</v>
      </c>
      <c r="G525">
        <v>124.07</v>
      </c>
      <c r="H525" t="s">
        <v>35</v>
      </c>
      <c r="I525" t="s">
        <v>462</v>
      </c>
      <c r="J525" t="s">
        <v>97</v>
      </c>
      <c r="K525" t="s">
        <v>27</v>
      </c>
      <c r="L525" t="s">
        <v>39</v>
      </c>
      <c r="M525" t="s">
        <v>79</v>
      </c>
      <c r="N525">
        <v>248.14</v>
      </c>
    </row>
    <row r="526" spans="1:14" x14ac:dyDescent="0.35">
      <c r="A526" s="2">
        <v>45059</v>
      </c>
      <c r="B526" t="s">
        <v>283</v>
      </c>
      <c r="C526" t="s">
        <v>81</v>
      </c>
      <c r="D526" t="s">
        <v>52</v>
      </c>
      <c r="E526" t="s">
        <v>63</v>
      </c>
      <c r="F526">
        <v>6</v>
      </c>
      <c r="G526">
        <v>301.10000000000002</v>
      </c>
      <c r="H526" t="s">
        <v>35</v>
      </c>
      <c r="I526" t="s">
        <v>284</v>
      </c>
      <c r="J526" t="s">
        <v>97</v>
      </c>
      <c r="K526" t="s">
        <v>38</v>
      </c>
      <c r="L526" t="s">
        <v>39</v>
      </c>
      <c r="M526" t="s">
        <v>79</v>
      </c>
      <c r="N526">
        <v>1806.6</v>
      </c>
    </row>
    <row r="527" spans="1:14" x14ac:dyDescent="0.35">
      <c r="A527" s="2">
        <v>45479</v>
      </c>
      <c r="B527" t="s">
        <v>770</v>
      </c>
      <c r="C527" t="s">
        <v>51</v>
      </c>
      <c r="D527" t="s">
        <v>33</v>
      </c>
      <c r="E527" t="s">
        <v>53</v>
      </c>
      <c r="F527">
        <v>4</v>
      </c>
      <c r="G527">
        <v>92.68</v>
      </c>
      <c r="H527" t="s">
        <v>44</v>
      </c>
      <c r="I527" t="s">
        <v>771</v>
      </c>
      <c r="J527" t="s">
        <v>55</v>
      </c>
      <c r="K527" t="s">
        <v>27</v>
      </c>
      <c r="L527" t="s">
        <v>39</v>
      </c>
      <c r="M527" t="s">
        <v>79</v>
      </c>
      <c r="N527">
        <v>370.72</v>
      </c>
    </row>
    <row r="528" spans="1:14" x14ac:dyDescent="0.35">
      <c r="A528" s="2">
        <v>45458</v>
      </c>
      <c r="B528" t="s">
        <v>740</v>
      </c>
      <c r="C528" t="s">
        <v>71</v>
      </c>
      <c r="D528" t="s">
        <v>52</v>
      </c>
      <c r="E528" t="s">
        <v>23</v>
      </c>
      <c r="F528">
        <v>3</v>
      </c>
      <c r="G528">
        <v>212.07</v>
      </c>
      <c r="H528" t="s">
        <v>24</v>
      </c>
      <c r="I528" t="s">
        <v>741</v>
      </c>
      <c r="J528" t="s">
        <v>37</v>
      </c>
      <c r="K528" t="s">
        <v>38</v>
      </c>
      <c r="L528" t="s">
        <v>28</v>
      </c>
      <c r="M528" t="s">
        <v>79</v>
      </c>
      <c r="N528">
        <v>636.21</v>
      </c>
    </row>
    <row r="529" spans="1:14" x14ac:dyDescent="0.35">
      <c r="A529" s="2">
        <v>45522</v>
      </c>
      <c r="B529" t="s">
        <v>810</v>
      </c>
      <c r="C529" t="s">
        <v>86</v>
      </c>
      <c r="D529" t="s">
        <v>52</v>
      </c>
      <c r="E529" t="s">
        <v>63</v>
      </c>
      <c r="F529">
        <v>4</v>
      </c>
      <c r="G529">
        <v>363.77</v>
      </c>
      <c r="H529" t="s">
        <v>58</v>
      </c>
      <c r="I529" t="s">
        <v>829</v>
      </c>
      <c r="J529" t="s">
        <v>55</v>
      </c>
      <c r="K529" t="s">
        <v>27</v>
      </c>
      <c r="L529" t="s">
        <v>28</v>
      </c>
      <c r="M529" t="s">
        <v>101</v>
      </c>
      <c r="N529">
        <v>1455.08</v>
      </c>
    </row>
    <row r="530" spans="1:14" x14ac:dyDescent="0.35">
      <c r="A530" s="2">
        <v>45498</v>
      </c>
      <c r="B530" t="s">
        <v>644</v>
      </c>
      <c r="C530" t="s">
        <v>106</v>
      </c>
      <c r="D530" t="s">
        <v>22</v>
      </c>
      <c r="E530" t="s">
        <v>34</v>
      </c>
      <c r="F530">
        <v>3</v>
      </c>
      <c r="G530">
        <v>202.35</v>
      </c>
      <c r="H530" t="s">
        <v>24</v>
      </c>
      <c r="I530" t="s">
        <v>790</v>
      </c>
      <c r="J530" t="s">
        <v>55</v>
      </c>
      <c r="K530" t="s">
        <v>27</v>
      </c>
      <c r="L530" t="s">
        <v>28</v>
      </c>
      <c r="M530" t="s">
        <v>56</v>
      </c>
      <c r="N530">
        <v>607.04999999999995</v>
      </c>
    </row>
    <row r="531" spans="1:14" x14ac:dyDescent="0.35">
      <c r="A531" s="2">
        <v>45808</v>
      </c>
      <c r="B531" t="s">
        <v>520</v>
      </c>
      <c r="C531" t="s">
        <v>74</v>
      </c>
      <c r="D531" t="s">
        <v>52</v>
      </c>
      <c r="E531" t="s">
        <v>34</v>
      </c>
      <c r="F531">
        <v>8</v>
      </c>
      <c r="G531">
        <v>24.61</v>
      </c>
      <c r="H531" t="s">
        <v>44</v>
      </c>
      <c r="I531" t="s">
        <v>1071</v>
      </c>
      <c r="J531" t="s">
        <v>97</v>
      </c>
      <c r="K531" t="s">
        <v>27</v>
      </c>
      <c r="L531" t="s">
        <v>28</v>
      </c>
      <c r="M531" t="s">
        <v>79</v>
      </c>
      <c r="N531">
        <v>196.88</v>
      </c>
    </row>
    <row r="532" spans="1:14" x14ac:dyDescent="0.35">
      <c r="A532" s="2">
        <v>45273</v>
      </c>
      <c r="B532" t="s">
        <v>547</v>
      </c>
      <c r="C532" t="s">
        <v>21</v>
      </c>
      <c r="D532" t="s">
        <v>22</v>
      </c>
      <c r="E532" t="s">
        <v>43</v>
      </c>
      <c r="F532">
        <v>5</v>
      </c>
      <c r="G532">
        <v>290.39999999999998</v>
      </c>
      <c r="H532" t="s">
        <v>58</v>
      </c>
      <c r="I532" t="s">
        <v>548</v>
      </c>
      <c r="J532" t="s">
        <v>55</v>
      </c>
      <c r="K532" t="s">
        <v>38</v>
      </c>
      <c r="L532" t="s">
        <v>39</v>
      </c>
      <c r="M532" t="s">
        <v>67</v>
      </c>
      <c r="N532">
        <v>1452</v>
      </c>
    </row>
    <row r="533" spans="1:14" x14ac:dyDescent="0.35">
      <c r="A533" s="2">
        <v>45022</v>
      </c>
      <c r="B533" t="s">
        <v>226</v>
      </c>
      <c r="C533" t="s">
        <v>74</v>
      </c>
      <c r="D533" t="s">
        <v>22</v>
      </c>
      <c r="E533" t="s">
        <v>83</v>
      </c>
      <c r="F533">
        <v>6</v>
      </c>
      <c r="G533">
        <v>167.17</v>
      </c>
      <c r="H533" t="s">
        <v>35</v>
      </c>
      <c r="I533" t="s">
        <v>227</v>
      </c>
      <c r="J533" t="s">
        <v>55</v>
      </c>
      <c r="K533" t="s">
        <v>60</v>
      </c>
      <c r="L533" t="s">
        <v>28</v>
      </c>
      <c r="M533" t="s">
        <v>56</v>
      </c>
      <c r="N533">
        <v>1003.02</v>
      </c>
    </row>
    <row r="534" spans="1:14" x14ac:dyDescent="0.35">
      <c r="A534" s="2">
        <v>45288</v>
      </c>
      <c r="B534" t="s">
        <v>562</v>
      </c>
      <c r="C534" t="s">
        <v>47</v>
      </c>
      <c r="D534" t="s">
        <v>52</v>
      </c>
      <c r="E534" t="s">
        <v>43</v>
      </c>
      <c r="F534">
        <v>10</v>
      </c>
      <c r="G534">
        <v>203.5</v>
      </c>
      <c r="H534" t="s">
        <v>35</v>
      </c>
      <c r="I534" t="s">
        <v>563</v>
      </c>
      <c r="J534" t="s">
        <v>37</v>
      </c>
      <c r="K534" t="s">
        <v>78</v>
      </c>
      <c r="L534" t="s">
        <v>28</v>
      </c>
      <c r="M534" t="s">
        <v>56</v>
      </c>
      <c r="N534">
        <v>2035</v>
      </c>
    </row>
    <row r="535" spans="1:14" x14ac:dyDescent="0.35">
      <c r="A535" s="2">
        <v>45164</v>
      </c>
      <c r="B535" t="s">
        <v>412</v>
      </c>
      <c r="C535" t="s">
        <v>21</v>
      </c>
      <c r="D535" t="s">
        <v>42</v>
      </c>
      <c r="E535" t="s">
        <v>63</v>
      </c>
      <c r="F535">
        <v>6</v>
      </c>
      <c r="G535">
        <v>32.590000000000003</v>
      </c>
      <c r="H535" t="s">
        <v>64</v>
      </c>
      <c r="I535" t="s">
        <v>413</v>
      </c>
      <c r="J535" t="s">
        <v>94</v>
      </c>
      <c r="K535" t="s">
        <v>27</v>
      </c>
      <c r="L535" t="s">
        <v>39</v>
      </c>
      <c r="M535" t="s">
        <v>79</v>
      </c>
      <c r="N535">
        <v>195.54</v>
      </c>
    </row>
    <row r="536" spans="1:14" x14ac:dyDescent="0.35">
      <c r="A536" s="2">
        <v>45640</v>
      </c>
      <c r="B536" t="s">
        <v>443</v>
      </c>
      <c r="C536" t="s">
        <v>51</v>
      </c>
      <c r="D536" t="s">
        <v>22</v>
      </c>
      <c r="E536" t="s">
        <v>34</v>
      </c>
      <c r="F536">
        <v>10</v>
      </c>
      <c r="G536">
        <v>106.79</v>
      </c>
      <c r="H536" t="s">
        <v>35</v>
      </c>
      <c r="I536" t="s">
        <v>948</v>
      </c>
      <c r="J536" t="s">
        <v>26</v>
      </c>
      <c r="K536" t="s">
        <v>78</v>
      </c>
      <c r="L536" t="s">
        <v>39</v>
      </c>
      <c r="M536" t="s">
        <v>79</v>
      </c>
      <c r="N536">
        <v>1067.9000000000001</v>
      </c>
    </row>
    <row r="537" spans="1:14" x14ac:dyDescent="0.35">
      <c r="A537" s="2">
        <v>45698</v>
      </c>
      <c r="B537" t="s">
        <v>218</v>
      </c>
      <c r="C537" t="s">
        <v>86</v>
      </c>
      <c r="D537" t="s">
        <v>33</v>
      </c>
      <c r="E537" t="s">
        <v>34</v>
      </c>
      <c r="F537">
        <v>6</v>
      </c>
      <c r="G537">
        <v>61.68</v>
      </c>
      <c r="H537" t="s">
        <v>44</v>
      </c>
      <c r="I537" t="s">
        <v>1001</v>
      </c>
      <c r="J537" t="s">
        <v>37</v>
      </c>
      <c r="K537" t="s">
        <v>27</v>
      </c>
      <c r="L537" t="s">
        <v>28</v>
      </c>
      <c r="M537" t="s">
        <v>29</v>
      </c>
      <c r="N537">
        <v>370.08</v>
      </c>
    </row>
    <row r="538" spans="1:14" x14ac:dyDescent="0.35">
      <c r="A538" s="2">
        <v>45231</v>
      </c>
      <c r="B538" t="s">
        <v>490</v>
      </c>
      <c r="C538" t="s">
        <v>51</v>
      </c>
      <c r="D538" t="s">
        <v>22</v>
      </c>
      <c r="E538" t="s">
        <v>63</v>
      </c>
      <c r="F538">
        <v>2</v>
      </c>
      <c r="G538">
        <v>299.49</v>
      </c>
      <c r="H538" t="s">
        <v>58</v>
      </c>
      <c r="I538" t="s">
        <v>491</v>
      </c>
      <c r="J538" t="s">
        <v>94</v>
      </c>
      <c r="K538" t="s">
        <v>27</v>
      </c>
      <c r="L538" t="s">
        <v>66</v>
      </c>
      <c r="M538" t="s">
        <v>67</v>
      </c>
      <c r="N538">
        <v>598.98</v>
      </c>
    </row>
    <row r="539" spans="1:14" x14ac:dyDescent="0.35">
      <c r="A539" s="2">
        <v>45804</v>
      </c>
      <c r="B539" t="s">
        <v>1068</v>
      </c>
      <c r="C539" t="s">
        <v>81</v>
      </c>
      <c r="D539" t="s">
        <v>52</v>
      </c>
      <c r="E539" t="s">
        <v>63</v>
      </c>
      <c r="F539">
        <v>1</v>
      </c>
      <c r="G539">
        <v>397.26</v>
      </c>
      <c r="H539" t="s">
        <v>44</v>
      </c>
      <c r="I539" t="s">
        <v>1069</v>
      </c>
      <c r="J539" t="s">
        <v>97</v>
      </c>
      <c r="K539" t="s">
        <v>60</v>
      </c>
      <c r="L539" t="s">
        <v>39</v>
      </c>
      <c r="M539" t="s">
        <v>49</v>
      </c>
      <c r="N539">
        <v>397.26</v>
      </c>
    </row>
    <row r="540" spans="1:14" x14ac:dyDescent="0.35">
      <c r="A540" s="2">
        <v>45348</v>
      </c>
      <c r="B540" t="s">
        <v>632</v>
      </c>
      <c r="C540" t="s">
        <v>89</v>
      </c>
      <c r="D540" t="s">
        <v>52</v>
      </c>
      <c r="E540" t="s">
        <v>63</v>
      </c>
      <c r="F540">
        <v>3</v>
      </c>
      <c r="G540">
        <v>235.19</v>
      </c>
      <c r="H540" t="s">
        <v>35</v>
      </c>
      <c r="I540" t="s">
        <v>633</v>
      </c>
      <c r="J540" t="s">
        <v>97</v>
      </c>
      <c r="K540" t="s">
        <v>27</v>
      </c>
      <c r="L540" t="s">
        <v>39</v>
      </c>
      <c r="M540" t="s">
        <v>29</v>
      </c>
      <c r="N540">
        <v>705.56999999999994</v>
      </c>
    </row>
    <row r="541" spans="1:14" x14ac:dyDescent="0.35">
      <c r="A541" s="2">
        <v>45342</v>
      </c>
      <c r="B541" t="s">
        <v>416</v>
      </c>
      <c r="C541" t="s">
        <v>47</v>
      </c>
      <c r="D541" t="s">
        <v>42</v>
      </c>
      <c r="E541" t="s">
        <v>53</v>
      </c>
      <c r="F541">
        <v>8</v>
      </c>
      <c r="G541">
        <v>327.76</v>
      </c>
      <c r="H541" t="s">
        <v>24</v>
      </c>
      <c r="I541" t="s">
        <v>623</v>
      </c>
      <c r="J541" t="s">
        <v>94</v>
      </c>
      <c r="K541" t="s">
        <v>27</v>
      </c>
      <c r="L541" t="s">
        <v>39</v>
      </c>
      <c r="M541" t="s">
        <v>49</v>
      </c>
      <c r="N541">
        <v>2622.08</v>
      </c>
    </row>
    <row r="542" spans="1:14" x14ac:dyDescent="0.35">
      <c r="A542" s="2">
        <v>45678</v>
      </c>
      <c r="B542" t="s">
        <v>319</v>
      </c>
      <c r="C542" t="s">
        <v>89</v>
      </c>
      <c r="D542" t="s">
        <v>42</v>
      </c>
      <c r="E542" t="s">
        <v>53</v>
      </c>
      <c r="F542">
        <v>1</v>
      </c>
      <c r="G542">
        <v>148.44</v>
      </c>
      <c r="H542" t="s">
        <v>64</v>
      </c>
      <c r="I542" t="s">
        <v>981</v>
      </c>
      <c r="J542" t="s">
        <v>97</v>
      </c>
      <c r="K542" t="s">
        <v>78</v>
      </c>
      <c r="L542" t="s">
        <v>28</v>
      </c>
      <c r="M542" t="s">
        <v>49</v>
      </c>
      <c r="N542">
        <v>148.44</v>
      </c>
    </row>
    <row r="543" spans="1:14" x14ac:dyDescent="0.35">
      <c r="A543" s="2">
        <v>45331</v>
      </c>
      <c r="B543" t="s">
        <v>147</v>
      </c>
      <c r="C543" t="s">
        <v>21</v>
      </c>
      <c r="D543" t="s">
        <v>22</v>
      </c>
      <c r="E543" t="s">
        <v>34</v>
      </c>
      <c r="F543">
        <v>3</v>
      </c>
      <c r="G543">
        <v>9.0500000000000007</v>
      </c>
      <c r="H543" t="s">
        <v>35</v>
      </c>
      <c r="I543" t="s">
        <v>601</v>
      </c>
      <c r="J543" t="s">
        <v>26</v>
      </c>
      <c r="K543" t="s">
        <v>60</v>
      </c>
      <c r="L543" t="s">
        <v>28</v>
      </c>
      <c r="M543" t="s">
        <v>61</v>
      </c>
      <c r="N543">
        <v>27.15</v>
      </c>
    </row>
    <row r="544" spans="1:14" x14ac:dyDescent="0.35">
      <c r="A544" s="2">
        <v>44982</v>
      </c>
      <c r="B544" t="s">
        <v>145</v>
      </c>
      <c r="C544" t="s">
        <v>81</v>
      </c>
      <c r="D544" t="s">
        <v>33</v>
      </c>
      <c r="E544" t="s">
        <v>83</v>
      </c>
      <c r="F544">
        <v>6</v>
      </c>
      <c r="G544">
        <v>308.27999999999997</v>
      </c>
      <c r="H544" t="s">
        <v>24</v>
      </c>
      <c r="I544" t="s">
        <v>146</v>
      </c>
      <c r="J544" t="s">
        <v>97</v>
      </c>
      <c r="K544" t="s">
        <v>60</v>
      </c>
      <c r="L544" t="s">
        <v>28</v>
      </c>
      <c r="M544" t="s">
        <v>79</v>
      </c>
      <c r="N544">
        <v>1849.68</v>
      </c>
    </row>
    <row r="545" spans="1:14" x14ac:dyDescent="0.35">
      <c r="A545" s="2">
        <v>44978</v>
      </c>
      <c r="B545" t="s">
        <v>137</v>
      </c>
      <c r="C545" t="s">
        <v>21</v>
      </c>
      <c r="D545" t="s">
        <v>22</v>
      </c>
      <c r="E545" t="s">
        <v>34</v>
      </c>
      <c r="F545">
        <v>10</v>
      </c>
      <c r="G545">
        <v>358.38</v>
      </c>
      <c r="H545" t="s">
        <v>24</v>
      </c>
      <c r="I545" t="s">
        <v>138</v>
      </c>
      <c r="J545" t="s">
        <v>94</v>
      </c>
      <c r="K545" t="s">
        <v>27</v>
      </c>
      <c r="L545" t="s">
        <v>28</v>
      </c>
      <c r="M545" t="s">
        <v>49</v>
      </c>
      <c r="N545">
        <v>3583.8</v>
      </c>
    </row>
    <row r="546" spans="1:14" x14ac:dyDescent="0.35">
      <c r="A546" s="2">
        <v>45481</v>
      </c>
      <c r="B546" t="s">
        <v>189</v>
      </c>
      <c r="C546" t="s">
        <v>21</v>
      </c>
      <c r="D546" t="s">
        <v>33</v>
      </c>
      <c r="E546" t="s">
        <v>53</v>
      </c>
      <c r="F546">
        <v>4</v>
      </c>
      <c r="G546">
        <v>268.16000000000003</v>
      </c>
      <c r="H546" t="s">
        <v>64</v>
      </c>
      <c r="I546" t="s">
        <v>772</v>
      </c>
      <c r="J546" t="s">
        <v>55</v>
      </c>
      <c r="K546" t="s">
        <v>27</v>
      </c>
      <c r="L546" t="s">
        <v>39</v>
      </c>
      <c r="M546" t="s">
        <v>29</v>
      </c>
      <c r="N546">
        <v>1072.6400000000001</v>
      </c>
    </row>
    <row r="547" spans="1:14" x14ac:dyDescent="0.35">
      <c r="A547" s="2">
        <v>45466</v>
      </c>
      <c r="B547" t="s">
        <v>558</v>
      </c>
      <c r="C547" t="s">
        <v>47</v>
      </c>
      <c r="D547" t="s">
        <v>52</v>
      </c>
      <c r="E547" t="s">
        <v>92</v>
      </c>
      <c r="F547">
        <v>4</v>
      </c>
      <c r="G547">
        <v>157.13</v>
      </c>
      <c r="H547" t="s">
        <v>35</v>
      </c>
      <c r="I547" t="s">
        <v>750</v>
      </c>
      <c r="J547" t="s">
        <v>55</v>
      </c>
      <c r="K547" t="s">
        <v>60</v>
      </c>
      <c r="L547" t="s">
        <v>39</v>
      </c>
      <c r="M547" t="s">
        <v>101</v>
      </c>
      <c r="N547">
        <v>628.52</v>
      </c>
    </row>
    <row r="548" spans="1:14" x14ac:dyDescent="0.35">
      <c r="A548" s="2">
        <v>45813</v>
      </c>
      <c r="B548" t="s">
        <v>350</v>
      </c>
      <c r="C548" t="s">
        <v>106</v>
      </c>
      <c r="D548" t="s">
        <v>22</v>
      </c>
      <c r="E548" t="s">
        <v>23</v>
      </c>
      <c r="F548">
        <v>6</v>
      </c>
      <c r="G548">
        <v>277.18</v>
      </c>
      <c r="H548" t="s">
        <v>58</v>
      </c>
      <c r="I548" t="s">
        <v>1077</v>
      </c>
      <c r="J548" t="s">
        <v>55</v>
      </c>
      <c r="K548" t="s">
        <v>38</v>
      </c>
      <c r="L548" t="s">
        <v>28</v>
      </c>
      <c r="M548" t="s">
        <v>56</v>
      </c>
      <c r="N548">
        <v>1663.08</v>
      </c>
    </row>
    <row r="549" spans="1:14" x14ac:dyDescent="0.35">
      <c r="A549" s="2">
        <v>45046</v>
      </c>
      <c r="B549" t="s">
        <v>263</v>
      </c>
      <c r="C549" t="s">
        <v>74</v>
      </c>
      <c r="D549" t="s">
        <v>42</v>
      </c>
      <c r="E549" t="s">
        <v>23</v>
      </c>
      <c r="F549">
        <v>7</v>
      </c>
      <c r="G549">
        <v>306.58</v>
      </c>
      <c r="H549" t="s">
        <v>58</v>
      </c>
      <c r="I549" t="s">
        <v>264</v>
      </c>
      <c r="J549" t="s">
        <v>37</v>
      </c>
      <c r="K549" t="s">
        <v>38</v>
      </c>
      <c r="L549" t="s">
        <v>39</v>
      </c>
      <c r="M549" t="s">
        <v>101</v>
      </c>
      <c r="N549">
        <v>2146.06</v>
      </c>
    </row>
    <row r="550" spans="1:14" x14ac:dyDescent="0.35">
      <c r="A550" s="2">
        <v>45672</v>
      </c>
      <c r="B550" t="s">
        <v>135</v>
      </c>
      <c r="C550" t="s">
        <v>81</v>
      </c>
      <c r="D550" t="s">
        <v>22</v>
      </c>
      <c r="E550" t="s">
        <v>53</v>
      </c>
      <c r="F550">
        <v>7</v>
      </c>
      <c r="G550">
        <v>147</v>
      </c>
      <c r="H550" t="s">
        <v>44</v>
      </c>
      <c r="I550" t="s">
        <v>978</v>
      </c>
      <c r="J550" t="s">
        <v>37</v>
      </c>
      <c r="K550" t="s">
        <v>27</v>
      </c>
      <c r="L550" t="s">
        <v>39</v>
      </c>
      <c r="M550" t="s">
        <v>67</v>
      </c>
      <c r="N550">
        <v>1029</v>
      </c>
    </row>
    <row r="551" spans="1:14" x14ac:dyDescent="0.35">
      <c r="A551" s="2">
        <v>45040</v>
      </c>
      <c r="B551" t="s">
        <v>127</v>
      </c>
      <c r="C551" t="s">
        <v>106</v>
      </c>
      <c r="D551" t="s">
        <v>42</v>
      </c>
      <c r="E551" t="s">
        <v>34</v>
      </c>
      <c r="F551">
        <v>2</v>
      </c>
      <c r="G551">
        <v>214.89</v>
      </c>
      <c r="H551" t="s">
        <v>58</v>
      </c>
      <c r="I551" t="s">
        <v>258</v>
      </c>
      <c r="J551" t="s">
        <v>26</v>
      </c>
      <c r="K551" t="s">
        <v>60</v>
      </c>
      <c r="L551" t="s">
        <v>39</v>
      </c>
      <c r="M551" t="s">
        <v>29</v>
      </c>
      <c r="N551">
        <v>429.78</v>
      </c>
    </row>
    <row r="552" spans="1:14" x14ac:dyDescent="0.35">
      <c r="A552" s="2">
        <v>45161</v>
      </c>
      <c r="B552" t="s">
        <v>404</v>
      </c>
      <c r="C552" t="s">
        <v>71</v>
      </c>
      <c r="D552" t="s">
        <v>42</v>
      </c>
      <c r="E552" t="s">
        <v>53</v>
      </c>
      <c r="F552">
        <v>7</v>
      </c>
      <c r="G552">
        <v>261.86</v>
      </c>
      <c r="H552" t="s">
        <v>64</v>
      </c>
      <c r="I552" t="s">
        <v>405</v>
      </c>
      <c r="J552" t="s">
        <v>55</v>
      </c>
      <c r="K552" t="s">
        <v>78</v>
      </c>
      <c r="L552" t="s">
        <v>28</v>
      </c>
      <c r="M552" t="s">
        <v>67</v>
      </c>
      <c r="N552">
        <v>1833.02</v>
      </c>
    </row>
    <row r="553" spans="1:14" x14ac:dyDescent="0.35">
      <c r="A553" s="2">
        <v>45435</v>
      </c>
      <c r="B553" t="s">
        <v>721</v>
      </c>
      <c r="C553" t="s">
        <v>74</v>
      </c>
      <c r="D553" t="s">
        <v>22</v>
      </c>
      <c r="E553" t="s">
        <v>53</v>
      </c>
      <c r="F553">
        <v>8</v>
      </c>
      <c r="G553">
        <v>46.17</v>
      </c>
      <c r="H553" t="s">
        <v>24</v>
      </c>
      <c r="I553" t="s">
        <v>722</v>
      </c>
      <c r="J553" t="s">
        <v>37</v>
      </c>
      <c r="K553" t="s">
        <v>27</v>
      </c>
      <c r="L553" t="s">
        <v>39</v>
      </c>
      <c r="M553" t="s">
        <v>56</v>
      </c>
      <c r="N553">
        <v>369.36</v>
      </c>
    </row>
    <row r="554" spans="1:14" x14ac:dyDescent="0.35">
      <c r="A554" s="2">
        <v>45772</v>
      </c>
      <c r="B554" t="s">
        <v>1047</v>
      </c>
      <c r="C554" t="s">
        <v>51</v>
      </c>
      <c r="D554" t="s">
        <v>22</v>
      </c>
      <c r="E554" t="s">
        <v>43</v>
      </c>
      <c r="F554">
        <v>10</v>
      </c>
      <c r="G554">
        <v>32.119999999999997</v>
      </c>
      <c r="H554" t="s">
        <v>44</v>
      </c>
      <c r="I554" t="s">
        <v>1048</v>
      </c>
      <c r="J554" t="s">
        <v>55</v>
      </c>
      <c r="K554" t="s">
        <v>78</v>
      </c>
      <c r="L554" t="s">
        <v>28</v>
      </c>
      <c r="M554" t="s">
        <v>61</v>
      </c>
      <c r="N554">
        <v>321.2</v>
      </c>
    </row>
    <row r="555" spans="1:14" x14ac:dyDescent="0.35">
      <c r="A555" s="2">
        <v>45008</v>
      </c>
      <c r="B555" t="s">
        <v>198</v>
      </c>
      <c r="C555" t="s">
        <v>41</v>
      </c>
      <c r="D555" t="s">
        <v>52</v>
      </c>
      <c r="E555" t="s">
        <v>43</v>
      </c>
      <c r="F555">
        <v>9</v>
      </c>
      <c r="G555">
        <v>323.48</v>
      </c>
      <c r="H555" t="s">
        <v>58</v>
      </c>
      <c r="I555" t="s">
        <v>199</v>
      </c>
      <c r="J555" t="s">
        <v>37</v>
      </c>
      <c r="K555" t="s">
        <v>78</v>
      </c>
      <c r="L555" t="s">
        <v>66</v>
      </c>
      <c r="M555" t="s">
        <v>56</v>
      </c>
      <c r="N555">
        <v>2911.32</v>
      </c>
    </row>
    <row r="556" spans="1:14" x14ac:dyDescent="0.35">
      <c r="A556" s="2">
        <v>45148</v>
      </c>
      <c r="B556" t="s">
        <v>396</v>
      </c>
      <c r="C556" t="s">
        <v>86</v>
      </c>
      <c r="D556" t="s">
        <v>42</v>
      </c>
      <c r="E556" t="s">
        <v>34</v>
      </c>
      <c r="F556">
        <v>9</v>
      </c>
      <c r="G556">
        <v>342.44</v>
      </c>
      <c r="H556" t="s">
        <v>58</v>
      </c>
      <c r="I556" t="s">
        <v>397</v>
      </c>
      <c r="J556" t="s">
        <v>55</v>
      </c>
      <c r="K556" t="s">
        <v>27</v>
      </c>
      <c r="L556" t="s">
        <v>66</v>
      </c>
      <c r="M556" t="s">
        <v>56</v>
      </c>
      <c r="N556">
        <v>3081.96</v>
      </c>
    </row>
    <row r="557" spans="1:14" x14ac:dyDescent="0.35">
      <c r="A557" s="2">
        <v>45801</v>
      </c>
      <c r="B557" t="s">
        <v>195</v>
      </c>
      <c r="C557" t="s">
        <v>89</v>
      </c>
      <c r="D557" t="s">
        <v>42</v>
      </c>
      <c r="E557" t="s">
        <v>34</v>
      </c>
      <c r="F557">
        <v>7</v>
      </c>
      <c r="G557">
        <v>387.3</v>
      </c>
      <c r="H557" t="s">
        <v>58</v>
      </c>
      <c r="I557" t="s">
        <v>1067</v>
      </c>
      <c r="J557" t="s">
        <v>26</v>
      </c>
      <c r="K557" t="s">
        <v>78</v>
      </c>
      <c r="L557" t="s">
        <v>39</v>
      </c>
      <c r="M557" t="s">
        <v>79</v>
      </c>
      <c r="N557">
        <v>2711.1</v>
      </c>
    </row>
    <row r="558" spans="1:14" x14ac:dyDescent="0.35">
      <c r="A558" s="2">
        <v>45828</v>
      </c>
      <c r="B558" t="s">
        <v>198</v>
      </c>
      <c r="C558" t="s">
        <v>86</v>
      </c>
      <c r="D558" t="s">
        <v>52</v>
      </c>
      <c r="E558" t="s">
        <v>23</v>
      </c>
      <c r="F558">
        <v>6</v>
      </c>
      <c r="G558">
        <v>390.14</v>
      </c>
      <c r="H558" t="s">
        <v>44</v>
      </c>
      <c r="I558" t="s">
        <v>1109</v>
      </c>
      <c r="J558" t="s">
        <v>26</v>
      </c>
      <c r="K558" t="s">
        <v>38</v>
      </c>
      <c r="L558" t="s">
        <v>66</v>
      </c>
      <c r="M558" t="s">
        <v>61</v>
      </c>
      <c r="N558">
        <v>2340.84</v>
      </c>
    </row>
    <row r="559" spans="1:14" x14ac:dyDescent="0.35">
      <c r="A559" s="2">
        <v>45280</v>
      </c>
      <c r="B559" t="s">
        <v>554</v>
      </c>
      <c r="C559" t="s">
        <v>41</v>
      </c>
      <c r="D559" t="s">
        <v>42</v>
      </c>
      <c r="E559" t="s">
        <v>53</v>
      </c>
      <c r="F559">
        <v>10</v>
      </c>
      <c r="G559">
        <v>269.86</v>
      </c>
      <c r="H559" t="s">
        <v>44</v>
      </c>
      <c r="I559" t="s">
        <v>555</v>
      </c>
      <c r="J559" t="s">
        <v>37</v>
      </c>
      <c r="K559" t="s">
        <v>78</v>
      </c>
      <c r="L559" t="s">
        <v>28</v>
      </c>
      <c r="M559" t="s">
        <v>67</v>
      </c>
      <c r="N559">
        <v>2698.6</v>
      </c>
    </row>
    <row r="560" spans="1:14" x14ac:dyDescent="0.35">
      <c r="A560" s="2">
        <v>45035</v>
      </c>
      <c r="B560" t="s">
        <v>248</v>
      </c>
      <c r="C560" t="s">
        <v>81</v>
      </c>
      <c r="D560" t="s">
        <v>22</v>
      </c>
      <c r="E560" t="s">
        <v>34</v>
      </c>
      <c r="F560">
        <v>2</v>
      </c>
      <c r="G560">
        <v>66.95</v>
      </c>
      <c r="H560" t="s">
        <v>58</v>
      </c>
      <c r="I560" t="s">
        <v>249</v>
      </c>
      <c r="J560" t="s">
        <v>26</v>
      </c>
      <c r="K560" t="s">
        <v>60</v>
      </c>
      <c r="L560" t="s">
        <v>66</v>
      </c>
      <c r="M560" t="s">
        <v>67</v>
      </c>
      <c r="N560">
        <v>133.9</v>
      </c>
    </row>
    <row r="561" spans="1:14" x14ac:dyDescent="0.35">
      <c r="A561" s="2">
        <v>45538</v>
      </c>
      <c r="B561" t="s">
        <v>840</v>
      </c>
      <c r="C561" t="s">
        <v>89</v>
      </c>
      <c r="D561" t="s">
        <v>22</v>
      </c>
      <c r="E561" t="s">
        <v>23</v>
      </c>
      <c r="F561">
        <v>5</v>
      </c>
      <c r="G561">
        <v>227.11</v>
      </c>
      <c r="H561" t="s">
        <v>58</v>
      </c>
      <c r="I561" t="s">
        <v>841</v>
      </c>
      <c r="J561" t="s">
        <v>94</v>
      </c>
      <c r="K561" t="s">
        <v>38</v>
      </c>
      <c r="L561" t="s">
        <v>28</v>
      </c>
      <c r="M561" t="s">
        <v>49</v>
      </c>
      <c r="N561">
        <v>1135.55</v>
      </c>
    </row>
    <row r="562" spans="1:14" x14ac:dyDescent="0.35">
      <c r="A562" s="2">
        <v>44928</v>
      </c>
      <c r="B562" t="s">
        <v>20</v>
      </c>
      <c r="C562" t="s">
        <v>21</v>
      </c>
      <c r="D562" t="s">
        <v>22</v>
      </c>
      <c r="E562" t="s">
        <v>23</v>
      </c>
      <c r="F562">
        <v>9</v>
      </c>
      <c r="G562">
        <v>244.52</v>
      </c>
      <c r="H562" t="s">
        <v>24</v>
      </c>
      <c r="I562" t="s">
        <v>25</v>
      </c>
      <c r="J562" t="s">
        <v>26</v>
      </c>
      <c r="K562" t="s">
        <v>27</v>
      </c>
      <c r="L562" t="s">
        <v>28</v>
      </c>
      <c r="M562" t="s">
        <v>29</v>
      </c>
      <c r="N562">
        <v>2200.6799999999998</v>
      </c>
    </row>
    <row r="563" spans="1:14" x14ac:dyDescent="0.35">
      <c r="A563" s="2">
        <v>45636</v>
      </c>
      <c r="B563" t="s">
        <v>847</v>
      </c>
      <c r="C563" t="s">
        <v>41</v>
      </c>
      <c r="D563" t="s">
        <v>52</v>
      </c>
      <c r="E563" t="s">
        <v>34</v>
      </c>
      <c r="F563">
        <v>1</v>
      </c>
      <c r="G563">
        <v>247.71</v>
      </c>
      <c r="H563" t="s">
        <v>35</v>
      </c>
      <c r="I563" t="s">
        <v>942</v>
      </c>
      <c r="J563" t="s">
        <v>97</v>
      </c>
      <c r="K563" t="s">
        <v>27</v>
      </c>
      <c r="L563" t="s">
        <v>66</v>
      </c>
      <c r="M563" t="s">
        <v>49</v>
      </c>
      <c r="N563">
        <v>247.71</v>
      </c>
    </row>
    <row r="564" spans="1:14" x14ac:dyDescent="0.35">
      <c r="A564" s="2">
        <v>44987</v>
      </c>
      <c r="B564" t="s">
        <v>153</v>
      </c>
      <c r="C564" t="s">
        <v>74</v>
      </c>
      <c r="D564" t="s">
        <v>22</v>
      </c>
      <c r="E564" t="s">
        <v>53</v>
      </c>
      <c r="F564">
        <v>1</v>
      </c>
      <c r="G564">
        <v>169.87</v>
      </c>
      <c r="H564" t="s">
        <v>58</v>
      </c>
      <c r="I564" t="s">
        <v>154</v>
      </c>
      <c r="J564" t="s">
        <v>37</v>
      </c>
      <c r="K564" t="s">
        <v>78</v>
      </c>
      <c r="L564" t="s">
        <v>39</v>
      </c>
      <c r="M564" t="s">
        <v>56</v>
      </c>
      <c r="N564">
        <v>169.87</v>
      </c>
    </row>
    <row r="565" spans="1:14" x14ac:dyDescent="0.35">
      <c r="A565" s="2">
        <v>45424</v>
      </c>
      <c r="B565" t="s">
        <v>708</v>
      </c>
      <c r="C565" t="s">
        <v>71</v>
      </c>
      <c r="D565" t="s">
        <v>22</v>
      </c>
      <c r="E565" t="s">
        <v>43</v>
      </c>
      <c r="F565">
        <v>8</v>
      </c>
      <c r="G565">
        <v>95.79</v>
      </c>
      <c r="H565" t="s">
        <v>64</v>
      </c>
      <c r="I565" t="s">
        <v>709</v>
      </c>
      <c r="J565" t="s">
        <v>37</v>
      </c>
      <c r="K565" t="s">
        <v>27</v>
      </c>
      <c r="L565" t="s">
        <v>28</v>
      </c>
      <c r="M565" t="s">
        <v>101</v>
      </c>
      <c r="N565">
        <v>766.32</v>
      </c>
    </row>
    <row r="566" spans="1:14" x14ac:dyDescent="0.35">
      <c r="A566" s="2">
        <v>45476</v>
      </c>
      <c r="B566" t="s">
        <v>763</v>
      </c>
      <c r="C566" t="s">
        <v>106</v>
      </c>
      <c r="D566" t="s">
        <v>22</v>
      </c>
      <c r="E566" t="s">
        <v>53</v>
      </c>
      <c r="F566">
        <v>5</v>
      </c>
      <c r="G566">
        <v>73</v>
      </c>
      <c r="H566" t="s">
        <v>35</v>
      </c>
      <c r="I566" t="s">
        <v>764</v>
      </c>
      <c r="J566" t="s">
        <v>97</v>
      </c>
      <c r="K566" t="s">
        <v>38</v>
      </c>
      <c r="L566" t="s">
        <v>66</v>
      </c>
      <c r="M566" t="s">
        <v>67</v>
      </c>
      <c r="N566">
        <v>365</v>
      </c>
    </row>
    <row r="567" spans="1:14" x14ac:dyDescent="0.35">
      <c r="A567" s="2">
        <v>45686</v>
      </c>
      <c r="B567" t="s">
        <v>989</v>
      </c>
      <c r="C567" t="s">
        <v>47</v>
      </c>
      <c r="D567" t="s">
        <v>33</v>
      </c>
      <c r="E567" t="s">
        <v>83</v>
      </c>
      <c r="F567">
        <v>3</v>
      </c>
      <c r="G567">
        <v>69.33</v>
      </c>
      <c r="H567" t="s">
        <v>24</v>
      </c>
      <c r="I567" t="s">
        <v>990</v>
      </c>
      <c r="J567" t="s">
        <v>26</v>
      </c>
      <c r="K567" t="s">
        <v>27</v>
      </c>
      <c r="L567" t="s">
        <v>66</v>
      </c>
      <c r="M567" t="s">
        <v>67</v>
      </c>
      <c r="N567">
        <v>207.99</v>
      </c>
    </row>
    <row r="568" spans="1:14" x14ac:dyDescent="0.35">
      <c r="A568" s="2">
        <v>45020</v>
      </c>
      <c r="B568" t="s">
        <v>218</v>
      </c>
      <c r="C568" t="s">
        <v>71</v>
      </c>
      <c r="D568" t="s">
        <v>33</v>
      </c>
      <c r="E568" t="s">
        <v>92</v>
      </c>
      <c r="F568">
        <v>3</v>
      </c>
      <c r="G568">
        <v>141.97999999999999</v>
      </c>
      <c r="H568" t="s">
        <v>24</v>
      </c>
      <c r="I568" t="s">
        <v>219</v>
      </c>
      <c r="J568" t="s">
        <v>94</v>
      </c>
      <c r="K568" t="s">
        <v>38</v>
      </c>
      <c r="L568" t="s">
        <v>28</v>
      </c>
      <c r="M568" t="s">
        <v>49</v>
      </c>
      <c r="N568">
        <v>425.93999999999988</v>
      </c>
    </row>
    <row r="569" spans="1:14" x14ac:dyDescent="0.35">
      <c r="A569" s="2">
        <v>45653</v>
      </c>
      <c r="B569" t="s">
        <v>182</v>
      </c>
      <c r="C569" t="s">
        <v>41</v>
      </c>
      <c r="D569" t="s">
        <v>33</v>
      </c>
      <c r="E569" t="s">
        <v>53</v>
      </c>
      <c r="F569">
        <v>6</v>
      </c>
      <c r="G569">
        <v>254.72</v>
      </c>
      <c r="H569" t="s">
        <v>35</v>
      </c>
      <c r="I569" t="s">
        <v>959</v>
      </c>
      <c r="J569" t="s">
        <v>97</v>
      </c>
      <c r="K569" t="s">
        <v>60</v>
      </c>
      <c r="L569" t="s">
        <v>66</v>
      </c>
      <c r="M569" t="s">
        <v>61</v>
      </c>
      <c r="N569">
        <v>1528.32</v>
      </c>
    </row>
    <row r="570" spans="1:14" x14ac:dyDescent="0.35">
      <c r="A570" s="2">
        <v>45191</v>
      </c>
      <c r="B570" t="s">
        <v>446</v>
      </c>
      <c r="C570" t="s">
        <v>74</v>
      </c>
      <c r="D570" t="s">
        <v>33</v>
      </c>
      <c r="E570" t="s">
        <v>23</v>
      </c>
      <c r="F570">
        <v>9</v>
      </c>
      <c r="G570">
        <v>166.32</v>
      </c>
      <c r="H570" t="s">
        <v>58</v>
      </c>
      <c r="I570" t="s">
        <v>447</v>
      </c>
      <c r="J570" t="s">
        <v>37</v>
      </c>
      <c r="K570" t="s">
        <v>78</v>
      </c>
      <c r="L570" t="s">
        <v>39</v>
      </c>
      <c r="M570" t="s">
        <v>61</v>
      </c>
      <c r="N570">
        <v>1496.88</v>
      </c>
    </row>
    <row r="571" spans="1:14" x14ac:dyDescent="0.35">
      <c r="A571" s="2">
        <v>45044</v>
      </c>
      <c r="B571" t="s">
        <v>261</v>
      </c>
      <c r="C571" t="s">
        <v>106</v>
      </c>
      <c r="D571" t="s">
        <v>52</v>
      </c>
      <c r="E571" t="s">
        <v>53</v>
      </c>
      <c r="F571">
        <v>5</v>
      </c>
      <c r="G571">
        <v>217.67</v>
      </c>
      <c r="H571" t="s">
        <v>64</v>
      </c>
      <c r="I571" t="s">
        <v>262</v>
      </c>
      <c r="J571" t="s">
        <v>55</v>
      </c>
      <c r="K571" t="s">
        <v>38</v>
      </c>
      <c r="L571" t="s">
        <v>39</v>
      </c>
      <c r="M571" t="s">
        <v>61</v>
      </c>
      <c r="N571">
        <v>1088.3499999999999</v>
      </c>
    </row>
    <row r="572" spans="1:14" x14ac:dyDescent="0.35">
      <c r="A572" s="2">
        <v>45078</v>
      </c>
      <c r="B572" t="s">
        <v>319</v>
      </c>
      <c r="C572" t="s">
        <v>51</v>
      </c>
      <c r="D572" t="s">
        <v>42</v>
      </c>
      <c r="E572" t="s">
        <v>53</v>
      </c>
      <c r="F572">
        <v>5</v>
      </c>
      <c r="G572">
        <v>197.52</v>
      </c>
      <c r="H572" t="s">
        <v>64</v>
      </c>
      <c r="I572" t="s">
        <v>320</v>
      </c>
      <c r="J572" t="s">
        <v>37</v>
      </c>
      <c r="K572" t="s">
        <v>38</v>
      </c>
      <c r="L572" t="s">
        <v>28</v>
      </c>
      <c r="M572" t="s">
        <v>56</v>
      </c>
      <c r="N572">
        <v>987.6</v>
      </c>
    </row>
    <row r="573" spans="1:14" x14ac:dyDescent="0.35">
      <c r="A573" s="2">
        <v>44974</v>
      </c>
      <c r="B573" t="s">
        <v>131</v>
      </c>
      <c r="C573" t="s">
        <v>21</v>
      </c>
      <c r="D573" t="s">
        <v>33</v>
      </c>
      <c r="E573" t="s">
        <v>23</v>
      </c>
      <c r="F573">
        <v>3</v>
      </c>
      <c r="G573">
        <v>336.99</v>
      </c>
      <c r="H573" t="s">
        <v>58</v>
      </c>
      <c r="I573" t="s">
        <v>132</v>
      </c>
      <c r="J573" t="s">
        <v>26</v>
      </c>
      <c r="K573" t="s">
        <v>60</v>
      </c>
      <c r="L573" t="s">
        <v>66</v>
      </c>
      <c r="M573" t="s">
        <v>61</v>
      </c>
      <c r="N573">
        <v>1010.97</v>
      </c>
    </row>
    <row r="574" spans="1:14" x14ac:dyDescent="0.35">
      <c r="A574" s="2">
        <v>45092</v>
      </c>
      <c r="B574" t="s">
        <v>336</v>
      </c>
      <c r="C574" t="s">
        <v>51</v>
      </c>
      <c r="D574" t="s">
        <v>22</v>
      </c>
      <c r="E574" t="s">
        <v>34</v>
      </c>
      <c r="F574">
        <v>8</v>
      </c>
      <c r="G574">
        <v>61.24</v>
      </c>
      <c r="H574" t="s">
        <v>35</v>
      </c>
      <c r="I574" t="s">
        <v>337</v>
      </c>
      <c r="J574" t="s">
        <v>26</v>
      </c>
      <c r="K574" t="s">
        <v>78</v>
      </c>
      <c r="L574" t="s">
        <v>39</v>
      </c>
      <c r="M574" t="s">
        <v>56</v>
      </c>
      <c r="N574">
        <v>489.92</v>
      </c>
    </row>
    <row r="575" spans="1:14" x14ac:dyDescent="0.35">
      <c r="A575" s="2">
        <v>45097</v>
      </c>
      <c r="B575" t="s">
        <v>352</v>
      </c>
      <c r="C575" t="s">
        <v>41</v>
      </c>
      <c r="D575" t="s">
        <v>22</v>
      </c>
      <c r="E575" t="s">
        <v>92</v>
      </c>
      <c r="F575">
        <v>7</v>
      </c>
      <c r="G575">
        <v>227.58</v>
      </c>
      <c r="H575" t="s">
        <v>35</v>
      </c>
      <c r="I575" t="s">
        <v>353</v>
      </c>
      <c r="J575" t="s">
        <v>97</v>
      </c>
      <c r="K575" t="s">
        <v>38</v>
      </c>
      <c r="L575" t="s">
        <v>39</v>
      </c>
      <c r="M575" t="s">
        <v>49</v>
      </c>
      <c r="N575">
        <v>1593.06</v>
      </c>
    </row>
    <row r="576" spans="1:14" x14ac:dyDescent="0.35">
      <c r="A576" s="2">
        <v>45593</v>
      </c>
      <c r="B576" t="s">
        <v>891</v>
      </c>
      <c r="C576" t="s">
        <v>86</v>
      </c>
      <c r="D576" t="s">
        <v>33</v>
      </c>
      <c r="E576" t="s">
        <v>63</v>
      </c>
      <c r="F576">
        <v>9</v>
      </c>
      <c r="G576">
        <v>326.93</v>
      </c>
      <c r="H576" t="s">
        <v>64</v>
      </c>
      <c r="I576" t="s">
        <v>892</v>
      </c>
      <c r="J576" t="s">
        <v>26</v>
      </c>
      <c r="K576" t="s">
        <v>78</v>
      </c>
      <c r="L576" t="s">
        <v>39</v>
      </c>
      <c r="M576" t="s">
        <v>29</v>
      </c>
      <c r="N576">
        <v>2942.37</v>
      </c>
    </row>
    <row r="577" spans="1:14" x14ac:dyDescent="0.35">
      <c r="A577" s="2">
        <v>45279</v>
      </c>
      <c r="B577" t="s">
        <v>550</v>
      </c>
      <c r="C577" t="s">
        <v>86</v>
      </c>
      <c r="D577" t="s">
        <v>42</v>
      </c>
      <c r="E577" t="s">
        <v>43</v>
      </c>
      <c r="F577">
        <v>10</v>
      </c>
      <c r="G577">
        <v>171.08</v>
      </c>
      <c r="H577" t="s">
        <v>44</v>
      </c>
      <c r="I577" t="s">
        <v>551</v>
      </c>
      <c r="J577" t="s">
        <v>97</v>
      </c>
      <c r="K577" t="s">
        <v>78</v>
      </c>
      <c r="L577" t="s">
        <v>39</v>
      </c>
      <c r="M577" t="s">
        <v>49</v>
      </c>
      <c r="N577">
        <v>1710.8</v>
      </c>
    </row>
    <row r="578" spans="1:14" x14ac:dyDescent="0.35">
      <c r="A578" s="2">
        <v>45780</v>
      </c>
      <c r="B578" t="s">
        <v>145</v>
      </c>
      <c r="C578" t="s">
        <v>81</v>
      </c>
      <c r="D578" t="s">
        <v>33</v>
      </c>
      <c r="E578" t="s">
        <v>53</v>
      </c>
      <c r="F578">
        <v>3</v>
      </c>
      <c r="G578">
        <v>384.42</v>
      </c>
      <c r="H578" t="s">
        <v>44</v>
      </c>
      <c r="I578" t="s">
        <v>1059</v>
      </c>
      <c r="J578" t="s">
        <v>55</v>
      </c>
      <c r="K578" t="s">
        <v>60</v>
      </c>
      <c r="L578" t="s">
        <v>28</v>
      </c>
      <c r="M578" t="s">
        <v>79</v>
      </c>
      <c r="N578">
        <v>1153.26</v>
      </c>
    </row>
    <row r="579" spans="1:14" x14ac:dyDescent="0.35">
      <c r="A579" s="2">
        <v>45458</v>
      </c>
      <c r="B579" t="s">
        <v>511</v>
      </c>
      <c r="C579" t="s">
        <v>74</v>
      </c>
      <c r="D579" t="s">
        <v>52</v>
      </c>
      <c r="E579" t="s">
        <v>63</v>
      </c>
      <c r="F579">
        <v>4</v>
      </c>
      <c r="G579">
        <v>252.82</v>
      </c>
      <c r="H579" t="s">
        <v>35</v>
      </c>
      <c r="I579" t="s">
        <v>739</v>
      </c>
      <c r="J579" t="s">
        <v>55</v>
      </c>
      <c r="K579" t="s">
        <v>38</v>
      </c>
      <c r="L579" t="s">
        <v>39</v>
      </c>
      <c r="M579" t="s">
        <v>79</v>
      </c>
      <c r="N579">
        <v>1011.28</v>
      </c>
    </row>
    <row r="580" spans="1:14" x14ac:dyDescent="0.35">
      <c r="A580" s="2">
        <v>45506</v>
      </c>
      <c r="B580" t="s">
        <v>810</v>
      </c>
      <c r="C580" t="s">
        <v>74</v>
      </c>
      <c r="D580" t="s">
        <v>42</v>
      </c>
      <c r="E580" t="s">
        <v>83</v>
      </c>
      <c r="F580">
        <v>2</v>
      </c>
      <c r="G580">
        <v>316.95999999999998</v>
      </c>
      <c r="H580" t="s">
        <v>35</v>
      </c>
      <c r="I580" t="s">
        <v>811</v>
      </c>
      <c r="J580" t="s">
        <v>55</v>
      </c>
      <c r="K580" t="s">
        <v>27</v>
      </c>
      <c r="L580" t="s">
        <v>28</v>
      </c>
      <c r="M580" t="s">
        <v>61</v>
      </c>
      <c r="N580">
        <v>633.91999999999996</v>
      </c>
    </row>
    <row r="581" spans="1:14" x14ac:dyDescent="0.35">
      <c r="A581" s="2">
        <v>45030</v>
      </c>
      <c r="B581" t="s">
        <v>240</v>
      </c>
      <c r="C581" t="s">
        <v>71</v>
      </c>
      <c r="D581" t="s">
        <v>22</v>
      </c>
      <c r="E581" t="s">
        <v>63</v>
      </c>
      <c r="F581">
        <v>6</v>
      </c>
      <c r="G581">
        <v>38.64</v>
      </c>
      <c r="H581" t="s">
        <v>35</v>
      </c>
      <c r="I581" t="s">
        <v>241</v>
      </c>
      <c r="J581" t="s">
        <v>26</v>
      </c>
      <c r="K581" t="s">
        <v>27</v>
      </c>
      <c r="L581" t="s">
        <v>28</v>
      </c>
      <c r="M581" t="s">
        <v>61</v>
      </c>
      <c r="N581">
        <v>231.84</v>
      </c>
    </row>
    <row r="582" spans="1:14" x14ac:dyDescent="0.35">
      <c r="A582" s="2">
        <v>45560</v>
      </c>
      <c r="B582" t="s">
        <v>854</v>
      </c>
      <c r="C582" t="s">
        <v>41</v>
      </c>
      <c r="D582" t="s">
        <v>52</v>
      </c>
      <c r="E582" t="s">
        <v>92</v>
      </c>
      <c r="F582">
        <v>2</v>
      </c>
      <c r="G582">
        <v>143.61000000000001</v>
      </c>
      <c r="H582" t="s">
        <v>64</v>
      </c>
      <c r="I582" t="s">
        <v>855</v>
      </c>
      <c r="J582" t="s">
        <v>37</v>
      </c>
      <c r="K582" t="s">
        <v>38</v>
      </c>
      <c r="L582" t="s">
        <v>28</v>
      </c>
      <c r="M582" t="s">
        <v>67</v>
      </c>
      <c r="N582">
        <v>287.22000000000003</v>
      </c>
    </row>
    <row r="583" spans="1:14" x14ac:dyDescent="0.35">
      <c r="A583" s="2">
        <v>45642</v>
      </c>
      <c r="B583" t="s">
        <v>949</v>
      </c>
      <c r="C583" t="s">
        <v>51</v>
      </c>
      <c r="D583" t="s">
        <v>22</v>
      </c>
      <c r="E583" t="s">
        <v>43</v>
      </c>
      <c r="F583">
        <v>3</v>
      </c>
      <c r="G583">
        <v>95.32</v>
      </c>
      <c r="H583" t="s">
        <v>64</v>
      </c>
      <c r="I583" t="s">
        <v>950</v>
      </c>
      <c r="J583" t="s">
        <v>97</v>
      </c>
      <c r="K583" t="s">
        <v>78</v>
      </c>
      <c r="L583" t="s">
        <v>28</v>
      </c>
      <c r="M583" t="s">
        <v>29</v>
      </c>
      <c r="N583">
        <v>285.95999999999998</v>
      </c>
    </row>
    <row r="584" spans="1:14" x14ac:dyDescent="0.35">
      <c r="A584" s="2">
        <v>45451</v>
      </c>
      <c r="B584" t="s">
        <v>166</v>
      </c>
      <c r="C584" t="s">
        <v>47</v>
      </c>
      <c r="D584" t="s">
        <v>52</v>
      </c>
      <c r="E584" t="s">
        <v>92</v>
      </c>
      <c r="F584">
        <v>1</v>
      </c>
      <c r="G584">
        <v>149.71</v>
      </c>
      <c r="H584" t="s">
        <v>64</v>
      </c>
      <c r="I584" t="s">
        <v>734</v>
      </c>
      <c r="J584" t="s">
        <v>26</v>
      </c>
      <c r="K584" t="s">
        <v>60</v>
      </c>
      <c r="L584" t="s">
        <v>39</v>
      </c>
      <c r="M584" t="s">
        <v>79</v>
      </c>
      <c r="N584">
        <v>149.71</v>
      </c>
    </row>
    <row r="585" spans="1:14" x14ac:dyDescent="0.35">
      <c r="A585" s="2">
        <v>45304</v>
      </c>
      <c r="B585" t="s">
        <v>581</v>
      </c>
      <c r="C585" t="s">
        <v>81</v>
      </c>
      <c r="D585" t="s">
        <v>33</v>
      </c>
      <c r="E585" t="s">
        <v>34</v>
      </c>
      <c r="F585">
        <v>9</v>
      </c>
      <c r="G585">
        <v>108.95</v>
      </c>
      <c r="H585" t="s">
        <v>58</v>
      </c>
      <c r="I585" t="s">
        <v>582</v>
      </c>
      <c r="J585" t="s">
        <v>94</v>
      </c>
      <c r="K585" t="s">
        <v>38</v>
      </c>
      <c r="L585" t="s">
        <v>66</v>
      </c>
      <c r="M585" t="s">
        <v>79</v>
      </c>
      <c r="N585">
        <v>980.55000000000007</v>
      </c>
    </row>
    <row r="586" spans="1:14" x14ac:dyDescent="0.35">
      <c r="A586" s="2">
        <v>45597</v>
      </c>
      <c r="B586" t="s">
        <v>897</v>
      </c>
      <c r="C586" t="s">
        <v>51</v>
      </c>
      <c r="D586" t="s">
        <v>33</v>
      </c>
      <c r="E586" t="s">
        <v>23</v>
      </c>
      <c r="F586">
        <v>7</v>
      </c>
      <c r="G586">
        <v>313.77</v>
      </c>
      <c r="H586" t="s">
        <v>58</v>
      </c>
      <c r="I586" t="s">
        <v>898</v>
      </c>
      <c r="J586" t="s">
        <v>97</v>
      </c>
      <c r="K586" t="s">
        <v>27</v>
      </c>
      <c r="L586" t="s">
        <v>39</v>
      </c>
      <c r="M586" t="s">
        <v>61</v>
      </c>
      <c r="N586">
        <v>2196.39</v>
      </c>
    </row>
    <row r="587" spans="1:14" x14ac:dyDescent="0.35">
      <c r="A587" s="2">
        <v>45111</v>
      </c>
      <c r="B587" t="s">
        <v>370</v>
      </c>
      <c r="C587" t="s">
        <v>81</v>
      </c>
      <c r="D587" t="s">
        <v>33</v>
      </c>
      <c r="E587" t="s">
        <v>83</v>
      </c>
      <c r="F587">
        <v>5</v>
      </c>
      <c r="G587">
        <v>170.54</v>
      </c>
      <c r="H587" t="s">
        <v>64</v>
      </c>
      <c r="I587" t="s">
        <v>371</v>
      </c>
      <c r="J587" t="s">
        <v>55</v>
      </c>
      <c r="K587" t="s">
        <v>38</v>
      </c>
      <c r="L587" t="s">
        <v>28</v>
      </c>
      <c r="M587" t="s">
        <v>49</v>
      </c>
      <c r="N587">
        <v>852.69999999999993</v>
      </c>
    </row>
    <row r="588" spans="1:14" x14ac:dyDescent="0.35">
      <c r="A588" s="2">
        <v>45023</v>
      </c>
      <c r="B588" t="s">
        <v>228</v>
      </c>
      <c r="C588" t="s">
        <v>71</v>
      </c>
      <c r="D588" t="s">
        <v>52</v>
      </c>
      <c r="E588" t="s">
        <v>23</v>
      </c>
      <c r="F588">
        <v>4</v>
      </c>
      <c r="G588">
        <v>69.930000000000007</v>
      </c>
      <c r="H588" t="s">
        <v>58</v>
      </c>
      <c r="I588" t="s">
        <v>229</v>
      </c>
      <c r="J588" t="s">
        <v>26</v>
      </c>
      <c r="K588" t="s">
        <v>60</v>
      </c>
      <c r="L588" t="s">
        <v>39</v>
      </c>
      <c r="M588" t="s">
        <v>61</v>
      </c>
      <c r="N588">
        <v>279.72000000000003</v>
      </c>
    </row>
    <row r="589" spans="1:14" x14ac:dyDescent="0.35">
      <c r="A589" s="2">
        <v>45184</v>
      </c>
      <c r="B589" t="s">
        <v>437</v>
      </c>
      <c r="C589" t="s">
        <v>86</v>
      </c>
      <c r="D589" t="s">
        <v>33</v>
      </c>
      <c r="E589" t="s">
        <v>43</v>
      </c>
      <c r="F589">
        <v>10</v>
      </c>
      <c r="G589">
        <v>150.51</v>
      </c>
      <c r="H589" t="s">
        <v>58</v>
      </c>
      <c r="I589" t="s">
        <v>438</v>
      </c>
      <c r="J589" t="s">
        <v>26</v>
      </c>
      <c r="K589" t="s">
        <v>38</v>
      </c>
      <c r="L589" t="s">
        <v>28</v>
      </c>
      <c r="M589" t="s">
        <v>61</v>
      </c>
      <c r="N589">
        <v>1505.1</v>
      </c>
    </row>
    <row r="590" spans="1:14" x14ac:dyDescent="0.35">
      <c r="A590" s="2">
        <v>45421</v>
      </c>
      <c r="B590" t="s">
        <v>704</v>
      </c>
      <c r="C590" t="s">
        <v>106</v>
      </c>
      <c r="D590" t="s">
        <v>33</v>
      </c>
      <c r="E590" t="s">
        <v>63</v>
      </c>
      <c r="F590">
        <v>6</v>
      </c>
      <c r="G590">
        <v>373.91</v>
      </c>
      <c r="H590" t="s">
        <v>35</v>
      </c>
      <c r="I590" t="s">
        <v>705</v>
      </c>
      <c r="J590" t="s">
        <v>26</v>
      </c>
      <c r="K590" t="s">
        <v>38</v>
      </c>
      <c r="L590" t="s">
        <v>28</v>
      </c>
      <c r="M590" t="s">
        <v>56</v>
      </c>
      <c r="N590">
        <v>2243.46</v>
      </c>
    </row>
    <row r="591" spans="1:14" x14ac:dyDescent="0.35">
      <c r="A591" s="2">
        <v>44988</v>
      </c>
      <c r="B591" t="s">
        <v>160</v>
      </c>
      <c r="C591" t="s">
        <v>47</v>
      </c>
      <c r="D591" t="s">
        <v>52</v>
      </c>
      <c r="E591" t="s">
        <v>34</v>
      </c>
      <c r="F591">
        <v>6</v>
      </c>
      <c r="G591">
        <v>321.2</v>
      </c>
      <c r="H591" t="s">
        <v>24</v>
      </c>
      <c r="I591" t="s">
        <v>161</v>
      </c>
      <c r="J591" t="s">
        <v>26</v>
      </c>
      <c r="K591" t="s">
        <v>38</v>
      </c>
      <c r="L591" t="s">
        <v>39</v>
      </c>
      <c r="M591" t="s">
        <v>61</v>
      </c>
      <c r="N591">
        <v>1927.2</v>
      </c>
    </row>
    <row r="592" spans="1:14" x14ac:dyDescent="0.35">
      <c r="A592" s="2">
        <v>45165</v>
      </c>
      <c r="B592" t="s">
        <v>414</v>
      </c>
      <c r="C592" t="s">
        <v>89</v>
      </c>
      <c r="D592" t="s">
        <v>52</v>
      </c>
      <c r="E592" t="s">
        <v>43</v>
      </c>
      <c r="F592">
        <v>1</v>
      </c>
      <c r="G592">
        <v>144.03</v>
      </c>
      <c r="H592" t="s">
        <v>24</v>
      </c>
      <c r="I592" t="s">
        <v>415</v>
      </c>
      <c r="J592" t="s">
        <v>26</v>
      </c>
      <c r="K592" t="s">
        <v>78</v>
      </c>
      <c r="L592" t="s">
        <v>66</v>
      </c>
      <c r="M592" t="s">
        <v>101</v>
      </c>
      <c r="N592">
        <v>144.03</v>
      </c>
    </row>
    <row r="593" spans="1:14" x14ac:dyDescent="0.35">
      <c r="A593" s="2">
        <v>45426</v>
      </c>
      <c r="B593" t="s">
        <v>433</v>
      </c>
      <c r="C593" t="s">
        <v>51</v>
      </c>
      <c r="D593" t="s">
        <v>33</v>
      </c>
      <c r="E593" t="s">
        <v>92</v>
      </c>
      <c r="F593">
        <v>9</v>
      </c>
      <c r="G593">
        <v>109.9</v>
      </c>
      <c r="H593" t="s">
        <v>44</v>
      </c>
      <c r="I593" t="s">
        <v>710</v>
      </c>
      <c r="J593" t="s">
        <v>55</v>
      </c>
      <c r="K593" t="s">
        <v>78</v>
      </c>
      <c r="L593" t="s">
        <v>66</v>
      </c>
      <c r="M593" t="s">
        <v>49</v>
      </c>
      <c r="N593">
        <v>989.1</v>
      </c>
    </row>
    <row r="594" spans="1:14" x14ac:dyDescent="0.35">
      <c r="A594" s="2">
        <v>45114</v>
      </c>
      <c r="B594" t="s">
        <v>374</v>
      </c>
      <c r="C594" t="s">
        <v>89</v>
      </c>
      <c r="D594" t="s">
        <v>52</v>
      </c>
      <c r="E594" t="s">
        <v>83</v>
      </c>
      <c r="F594">
        <v>2</v>
      </c>
      <c r="G594">
        <v>360.57</v>
      </c>
      <c r="H594" t="s">
        <v>64</v>
      </c>
      <c r="I594" t="s">
        <v>375</v>
      </c>
      <c r="J594" t="s">
        <v>97</v>
      </c>
      <c r="K594" t="s">
        <v>60</v>
      </c>
      <c r="L594" t="s">
        <v>39</v>
      </c>
      <c r="M594" t="s">
        <v>61</v>
      </c>
      <c r="N594">
        <v>721.14</v>
      </c>
    </row>
    <row r="595" spans="1:14" x14ac:dyDescent="0.35">
      <c r="A595" s="2">
        <v>45265</v>
      </c>
      <c r="B595" t="s">
        <v>538</v>
      </c>
      <c r="C595" t="s">
        <v>21</v>
      </c>
      <c r="D595" t="s">
        <v>33</v>
      </c>
      <c r="E595" t="s">
        <v>53</v>
      </c>
      <c r="F595">
        <v>3</v>
      </c>
      <c r="G595">
        <v>271.89</v>
      </c>
      <c r="H595" t="s">
        <v>58</v>
      </c>
      <c r="I595" t="s">
        <v>539</v>
      </c>
      <c r="J595" t="s">
        <v>97</v>
      </c>
      <c r="K595" t="s">
        <v>38</v>
      </c>
      <c r="L595" t="s">
        <v>28</v>
      </c>
      <c r="M595" t="s">
        <v>49</v>
      </c>
      <c r="N595">
        <v>815.67</v>
      </c>
    </row>
    <row r="596" spans="1:14" x14ac:dyDescent="0.35">
      <c r="A596" s="2">
        <v>45436</v>
      </c>
      <c r="B596" t="s">
        <v>388</v>
      </c>
      <c r="C596" t="s">
        <v>41</v>
      </c>
      <c r="D596" t="s">
        <v>42</v>
      </c>
      <c r="E596" t="s">
        <v>63</v>
      </c>
      <c r="F596">
        <v>7</v>
      </c>
      <c r="G596">
        <v>306.42</v>
      </c>
      <c r="H596" t="s">
        <v>44</v>
      </c>
      <c r="I596" t="s">
        <v>723</v>
      </c>
      <c r="J596" t="s">
        <v>37</v>
      </c>
      <c r="K596" t="s">
        <v>38</v>
      </c>
      <c r="L596" t="s">
        <v>28</v>
      </c>
      <c r="M596" t="s">
        <v>61</v>
      </c>
      <c r="N596">
        <v>2144.94</v>
      </c>
    </row>
    <row r="597" spans="1:14" x14ac:dyDescent="0.35">
      <c r="A597" s="2">
        <v>45212</v>
      </c>
      <c r="B597" t="s">
        <v>472</v>
      </c>
      <c r="C597" t="s">
        <v>89</v>
      </c>
      <c r="D597" t="s">
        <v>33</v>
      </c>
      <c r="E597" t="s">
        <v>83</v>
      </c>
      <c r="F597">
        <v>4</v>
      </c>
      <c r="G597">
        <v>218.66</v>
      </c>
      <c r="H597" t="s">
        <v>24</v>
      </c>
      <c r="I597" t="s">
        <v>473</v>
      </c>
      <c r="J597" t="s">
        <v>97</v>
      </c>
      <c r="K597" t="s">
        <v>27</v>
      </c>
      <c r="L597" t="s">
        <v>28</v>
      </c>
      <c r="M597" t="s">
        <v>61</v>
      </c>
      <c r="N597">
        <v>874.64</v>
      </c>
    </row>
    <row r="598" spans="1:14" x14ac:dyDescent="0.35">
      <c r="A598" s="2">
        <v>45561</v>
      </c>
      <c r="B598" t="s">
        <v>429</v>
      </c>
      <c r="C598" t="s">
        <v>81</v>
      </c>
      <c r="D598" t="s">
        <v>42</v>
      </c>
      <c r="E598" t="s">
        <v>92</v>
      </c>
      <c r="F598">
        <v>7</v>
      </c>
      <c r="G598">
        <v>347.24</v>
      </c>
      <c r="H598" t="s">
        <v>44</v>
      </c>
      <c r="I598" t="s">
        <v>856</v>
      </c>
      <c r="J598" t="s">
        <v>94</v>
      </c>
      <c r="K598" t="s">
        <v>60</v>
      </c>
      <c r="L598" t="s">
        <v>39</v>
      </c>
      <c r="M598" t="s">
        <v>56</v>
      </c>
      <c r="N598">
        <v>2430.6799999999998</v>
      </c>
    </row>
    <row r="599" spans="1:14" x14ac:dyDescent="0.35">
      <c r="A599" s="2">
        <v>45601</v>
      </c>
      <c r="B599" t="s">
        <v>900</v>
      </c>
      <c r="C599" t="s">
        <v>74</v>
      </c>
      <c r="D599" t="s">
        <v>52</v>
      </c>
      <c r="E599" t="s">
        <v>34</v>
      </c>
      <c r="F599">
        <v>5</v>
      </c>
      <c r="G599">
        <v>273.04000000000002</v>
      </c>
      <c r="H599" t="s">
        <v>35</v>
      </c>
      <c r="I599" t="s">
        <v>901</v>
      </c>
      <c r="J599" t="s">
        <v>26</v>
      </c>
      <c r="K599" t="s">
        <v>78</v>
      </c>
      <c r="L599" t="s">
        <v>39</v>
      </c>
      <c r="M599" t="s">
        <v>49</v>
      </c>
      <c r="N599">
        <v>1365.2</v>
      </c>
    </row>
    <row r="600" spans="1:14" x14ac:dyDescent="0.35">
      <c r="A600" s="2">
        <v>44993</v>
      </c>
      <c r="B600" t="s">
        <v>168</v>
      </c>
      <c r="C600" t="s">
        <v>86</v>
      </c>
      <c r="D600" t="s">
        <v>52</v>
      </c>
      <c r="E600" t="s">
        <v>53</v>
      </c>
      <c r="F600">
        <v>1</v>
      </c>
      <c r="G600">
        <v>119.82</v>
      </c>
      <c r="H600" t="s">
        <v>24</v>
      </c>
      <c r="I600" t="s">
        <v>169</v>
      </c>
      <c r="J600" t="s">
        <v>26</v>
      </c>
      <c r="K600" t="s">
        <v>78</v>
      </c>
      <c r="L600" t="s">
        <v>28</v>
      </c>
      <c r="M600" t="s">
        <v>67</v>
      </c>
      <c r="N600">
        <v>119.82</v>
      </c>
    </row>
    <row r="601" spans="1:14" x14ac:dyDescent="0.35">
      <c r="A601" s="2">
        <v>45230</v>
      </c>
      <c r="B601" t="s">
        <v>488</v>
      </c>
      <c r="C601" t="s">
        <v>81</v>
      </c>
      <c r="D601" t="s">
        <v>22</v>
      </c>
      <c r="E601" t="s">
        <v>34</v>
      </c>
      <c r="F601">
        <v>7</v>
      </c>
      <c r="G601">
        <v>126.74</v>
      </c>
      <c r="H601" t="s">
        <v>64</v>
      </c>
      <c r="I601" t="s">
        <v>489</v>
      </c>
      <c r="J601" t="s">
        <v>94</v>
      </c>
      <c r="K601" t="s">
        <v>60</v>
      </c>
      <c r="L601" t="s">
        <v>39</v>
      </c>
      <c r="M601" t="s">
        <v>49</v>
      </c>
      <c r="N601">
        <v>887.18</v>
      </c>
    </row>
    <row r="602" spans="1:14" x14ac:dyDescent="0.35">
      <c r="A602" s="2">
        <v>45712</v>
      </c>
      <c r="B602" t="s">
        <v>852</v>
      </c>
      <c r="C602" t="s">
        <v>71</v>
      </c>
      <c r="D602" t="s">
        <v>33</v>
      </c>
      <c r="E602" t="s">
        <v>23</v>
      </c>
      <c r="F602">
        <v>9</v>
      </c>
      <c r="G602">
        <v>117.55</v>
      </c>
      <c r="H602" t="s">
        <v>58</v>
      </c>
      <c r="I602" t="s">
        <v>1147</v>
      </c>
      <c r="J602" t="s">
        <v>55</v>
      </c>
      <c r="K602" t="s">
        <v>38</v>
      </c>
      <c r="L602" t="s">
        <v>66</v>
      </c>
      <c r="M602" t="s">
        <v>29</v>
      </c>
      <c r="N602">
        <v>1057.95</v>
      </c>
    </row>
    <row r="603" spans="1:14" x14ac:dyDescent="0.35">
      <c r="A603" s="2">
        <v>45545</v>
      </c>
      <c r="B603" t="s">
        <v>174</v>
      </c>
      <c r="C603" t="s">
        <v>51</v>
      </c>
      <c r="D603" t="s">
        <v>33</v>
      </c>
      <c r="E603" t="s">
        <v>53</v>
      </c>
      <c r="F603">
        <v>8</v>
      </c>
      <c r="G603">
        <v>98.91</v>
      </c>
      <c r="H603" t="s">
        <v>44</v>
      </c>
      <c r="I603" t="s">
        <v>1148</v>
      </c>
      <c r="J603" t="s">
        <v>97</v>
      </c>
      <c r="K603" t="s">
        <v>27</v>
      </c>
      <c r="L603" t="s">
        <v>28</v>
      </c>
      <c r="M603" t="s">
        <v>49</v>
      </c>
      <c r="N603">
        <v>791.28</v>
      </c>
    </row>
    <row r="604" spans="1:14" x14ac:dyDescent="0.35">
      <c r="A604" s="2">
        <v>45262</v>
      </c>
      <c r="B604" t="s">
        <v>953</v>
      </c>
      <c r="C604" t="s">
        <v>81</v>
      </c>
      <c r="D604" t="s">
        <v>52</v>
      </c>
      <c r="E604" t="s">
        <v>34</v>
      </c>
      <c r="F604">
        <v>8</v>
      </c>
      <c r="G604">
        <v>79.760000000000005</v>
      </c>
      <c r="H604" t="s">
        <v>35</v>
      </c>
      <c r="I604" t="s">
        <v>1149</v>
      </c>
      <c r="J604" t="s">
        <v>97</v>
      </c>
      <c r="K604" t="s">
        <v>60</v>
      </c>
      <c r="L604" t="s">
        <v>28</v>
      </c>
      <c r="M604" t="s">
        <v>79</v>
      </c>
      <c r="N604">
        <v>638.08000000000004</v>
      </c>
    </row>
    <row r="605" spans="1:14" x14ac:dyDescent="0.35">
      <c r="A605" s="2">
        <v>45220</v>
      </c>
      <c r="B605" t="s">
        <v>1150</v>
      </c>
      <c r="C605" t="s">
        <v>71</v>
      </c>
      <c r="D605" t="s">
        <v>42</v>
      </c>
      <c r="E605" t="s">
        <v>83</v>
      </c>
      <c r="F605">
        <v>7</v>
      </c>
      <c r="G605">
        <v>190.63</v>
      </c>
      <c r="H605" t="s">
        <v>35</v>
      </c>
      <c r="I605" t="s">
        <v>1151</v>
      </c>
      <c r="J605" t="s">
        <v>37</v>
      </c>
      <c r="K605" t="s">
        <v>60</v>
      </c>
      <c r="L605" t="s">
        <v>39</v>
      </c>
      <c r="M605" t="s">
        <v>79</v>
      </c>
      <c r="N605">
        <v>1334.41</v>
      </c>
    </row>
    <row r="606" spans="1:14" x14ac:dyDescent="0.35">
      <c r="A606" s="2">
        <v>45646</v>
      </c>
      <c r="B606" t="s">
        <v>1152</v>
      </c>
      <c r="C606" t="s">
        <v>21</v>
      </c>
      <c r="D606" t="s">
        <v>22</v>
      </c>
      <c r="E606" t="s">
        <v>92</v>
      </c>
      <c r="F606">
        <v>3</v>
      </c>
      <c r="G606">
        <v>345.32</v>
      </c>
      <c r="H606" t="s">
        <v>44</v>
      </c>
      <c r="I606" t="s">
        <v>1153</v>
      </c>
      <c r="J606" t="s">
        <v>37</v>
      </c>
      <c r="K606" t="s">
        <v>78</v>
      </c>
      <c r="L606" t="s">
        <v>28</v>
      </c>
      <c r="M606" t="s">
        <v>61</v>
      </c>
      <c r="N606">
        <v>1035.96</v>
      </c>
    </row>
    <row r="607" spans="1:14" x14ac:dyDescent="0.35">
      <c r="A607" s="2">
        <v>45122</v>
      </c>
      <c r="B607" t="s">
        <v>1154</v>
      </c>
      <c r="C607" t="s">
        <v>106</v>
      </c>
      <c r="D607" t="s">
        <v>42</v>
      </c>
      <c r="E607" t="s">
        <v>53</v>
      </c>
      <c r="F607">
        <v>9</v>
      </c>
      <c r="G607">
        <v>262.77</v>
      </c>
      <c r="H607" t="s">
        <v>24</v>
      </c>
      <c r="I607" t="s">
        <v>1155</v>
      </c>
      <c r="J607" t="s">
        <v>37</v>
      </c>
      <c r="K607" t="s">
        <v>38</v>
      </c>
      <c r="L607" t="s">
        <v>39</v>
      </c>
      <c r="M607" t="s">
        <v>79</v>
      </c>
      <c r="N607">
        <v>2364.9299999999998</v>
      </c>
    </row>
    <row r="608" spans="1:14" x14ac:dyDescent="0.35">
      <c r="A608" s="2">
        <v>45002</v>
      </c>
      <c r="B608" t="s">
        <v>1156</v>
      </c>
      <c r="C608" t="s">
        <v>21</v>
      </c>
      <c r="D608" t="s">
        <v>22</v>
      </c>
      <c r="E608" t="s">
        <v>63</v>
      </c>
      <c r="F608">
        <v>3</v>
      </c>
      <c r="G608">
        <v>258.06</v>
      </c>
      <c r="H608" t="s">
        <v>64</v>
      </c>
      <c r="I608" t="s">
        <v>1157</v>
      </c>
      <c r="J608" t="s">
        <v>55</v>
      </c>
      <c r="K608" t="s">
        <v>60</v>
      </c>
      <c r="L608" t="s">
        <v>66</v>
      </c>
      <c r="M608" t="s">
        <v>61</v>
      </c>
      <c r="N608">
        <v>774.18000000000006</v>
      </c>
    </row>
    <row r="609" spans="1:14" x14ac:dyDescent="0.35">
      <c r="A609" s="2">
        <v>45811</v>
      </c>
      <c r="B609" t="s">
        <v>930</v>
      </c>
      <c r="C609" t="s">
        <v>21</v>
      </c>
      <c r="D609" t="s">
        <v>42</v>
      </c>
      <c r="E609" t="s">
        <v>63</v>
      </c>
      <c r="F609">
        <v>6</v>
      </c>
      <c r="G609">
        <v>191.08</v>
      </c>
      <c r="H609" t="s">
        <v>58</v>
      </c>
      <c r="I609" t="s">
        <v>1158</v>
      </c>
      <c r="J609" t="s">
        <v>37</v>
      </c>
      <c r="K609" t="s">
        <v>38</v>
      </c>
      <c r="L609" t="s">
        <v>39</v>
      </c>
      <c r="M609" t="s">
        <v>49</v>
      </c>
      <c r="N609">
        <v>1146.48</v>
      </c>
    </row>
    <row r="610" spans="1:14" x14ac:dyDescent="0.35">
      <c r="A610" s="2">
        <v>45677</v>
      </c>
      <c r="B610" t="s">
        <v>1090</v>
      </c>
      <c r="C610" t="s">
        <v>71</v>
      </c>
      <c r="D610" t="s">
        <v>42</v>
      </c>
      <c r="E610" t="s">
        <v>83</v>
      </c>
      <c r="F610">
        <v>6</v>
      </c>
      <c r="G610">
        <v>29.62</v>
      </c>
      <c r="H610" t="s">
        <v>24</v>
      </c>
      <c r="I610" t="s">
        <v>1159</v>
      </c>
      <c r="J610" t="s">
        <v>94</v>
      </c>
      <c r="K610" t="s">
        <v>60</v>
      </c>
      <c r="L610" t="s">
        <v>28</v>
      </c>
      <c r="M610" t="s">
        <v>29</v>
      </c>
      <c r="N610">
        <v>177.72</v>
      </c>
    </row>
    <row r="611" spans="1:14" x14ac:dyDescent="0.35">
      <c r="A611" s="2">
        <v>45012</v>
      </c>
      <c r="B611" t="s">
        <v>1160</v>
      </c>
      <c r="C611" t="s">
        <v>71</v>
      </c>
      <c r="D611" t="s">
        <v>22</v>
      </c>
      <c r="E611" t="s">
        <v>92</v>
      </c>
      <c r="F611">
        <v>6</v>
      </c>
      <c r="G611">
        <v>65.260000000000005</v>
      </c>
      <c r="H611" t="s">
        <v>35</v>
      </c>
      <c r="I611" t="s">
        <v>1161</v>
      </c>
      <c r="J611" t="s">
        <v>55</v>
      </c>
      <c r="K611" t="s">
        <v>60</v>
      </c>
      <c r="L611" t="s">
        <v>28</v>
      </c>
      <c r="M611" t="s">
        <v>29</v>
      </c>
      <c r="N611">
        <v>391.56000000000012</v>
      </c>
    </row>
    <row r="612" spans="1:14" x14ac:dyDescent="0.35">
      <c r="A612" s="2">
        <v>45246</v>
      </c>
      <c r="B612" t="s">
        <v>819</v>
      </c>
      <c r="C612" t="s">
        <v>89</v>
      </c>
      <c r="D612" t="s">
        <v>22</v>
      </c>
      <c r="E612" t="s">
        <v>43</v>
      </c>
      <c r="F612">
        <v>4</v>
      </c>
      <c r="G612">
        <v>158.44</v>
      </c>
      <c r="H612" t="s">
        <v>44</v>
      </c>
      <c r="I612" t="s">
        <v>1162</v>
      </c>
      <c r="J612" t="s">
        <v>26</v>
      </c>
      <c r="K612" t="s">
        <v>38</v>
      </c>
      <c r="L612" t="s">
        <v>66</v>
      </c>
      <c r="M612" t="s">
        <v>56</v>
      </c>
      <c r="N612">
        <v>633.76</v>
      </c>
    </row>
    <row r="613" spans="1:14" x14ac:dyDescent="0.35">
      <c r="A613" s="2">
        <v>45390</v>
      </c>
      <c r="B613" t="s">
        <v>1163</v>
      </c>
      <c r="C613" t="s">
        <v>51</v>
      </c>
      <c r="D613" t="s">
        <v>52</v>
      </c>
      <c r="E613" t="s">
        <v>83</v>
      </c>
      <c r="F613">
        <v>1</v>
      </c>
      <c r="G613">
        <v>112.51</v>
      </c>
      <c r="H613" t="s">
        <v>64</v>
      </c>
      <c r="I613" t="s">
        <v>1164</v>
      </c>
      <c r="J613" t="s">
        <v>97</v>
      </c>
      <c r="K613" t="s">
        <v>60</v>
      </c>
      <c r="L613" t="s">
        <v>39</v>
      </c>
      <c r="M613" t="s">
        <v>29</v>
      </c>
      <c r="N613">
        <v>112.51</v>
      </c>
    </row>
    <row r="614" spans="1:14" x14ac:dyDescent="0.35">
      <c r="A614" s="2">
        <v>45013</v>
      </c>
      <c r="B614" t="s">
        <v>1165</v>
      </c>
      <c r="C614" t="s">
        <v>106</v>
      </c>
      <c r="D614" t="s">
        <v>22</v>
      </c>
      <c r="E614" t="s">
        <v>34</v>
      </c>
      <c r="F614">
        <v>6</v>
      </c>
      <c r="G614">
        <v>345.56</v>
      </c>
      <c r="H614" t="s">
        <v>44</v>
      </c>
      <c r="I614" t="s">
        <v>1166</v>
      </c>
      <c r="J614" t="s">
        <v>55</v>
      </c>
      <c r="K614" t="s">
        <v>27</v>
      </c>
      <c r="L614" t="s">
        <v>39</v>
      </c>
      <c r="M614" t="s">
        <v>49</v>
      </c>
      <c r="N614">
        <v>2073.36</v>
      </c>
    </row>
    <row r="615" spans="1:14" x14ac:dyDescent="0.35">
      <c r="A615" s="2">
        <v>45666</v>
      </c>
      <c r="B615" t="s">
        <v>677</v>
      </c>
      <c r="C615" t="s">
        <v>106</v>
      </c>
      <c r="D615" t="s">
        <v>33</v>
      </c>
      <c r="E615" t="s">
        <v>92</v>
      </c>
      <c r="F615">
        <v>5</v>
      </c>
      <c r="G615">
        <v>14.99</v>
      </c>
      <c r="H615" t="s">
        <v>58</v>
      </c>
      <c r="I615" t="s">
        <v>1167</v>
      </c>
      <c r="J615" t="s">
        <v>94</v>
      </c>
      <c r="K615" t="s">
        <v>27</v>
      </c>
      <c r="L615" t="s">
        <v>66</v>
      </c>
      <c r="M615" t="s">
        <v>56</v>
      </c>
      <c r="N615">
        <v>74.95</v>
      </c>
    </row>
    <row r="616" spans="1:14" x14ac:dyDescent="0.35">
      <c r="A616" s="2">
        <v>45757</v>
      </c>
      <c r="B616" t="s">
        <v>717</v>
      </c>
      <c r="C616" t="s">
        <v>81</v>
      </c>
      <c r="D616" t="s">
        <v>42</v>
      </c>
      <c r="E616" t="s">
        <v>34</v>
      </c>
      <c r="F616">
        <v>5</v>
      </c>
      <c r="G616">
        <v>337.03</v>
      </c>
      <c r="H616" t="s">
        <v>64</v>
      </c>
      <c r="I616" t="s">
        <v>1168</v>
      </c>
      <c r="J616" t="s">
        <v>97</v>
      </c>
      <c r="K616" t="s">
        <v>60</v>
      </c>
      <c r="L616" t="s">
        <v>39</v>
      </c>
      <c r="M616" t="s">
        <v>56</v>
      </c>
      <c r="N616">
        <v>1685.15</v>
      </c>
    </row>
    <row r="617" spans="1:14" x14ac:dyDescent="0.35">
      <c r="A617" s="2">
        <v>45779</v>
      </c>
      <c r="B617" t="s">
        <v>875</v>
      </c>
      <c r="C617" t="s">
        <v>106</v>
      </c>
      <c r="D617" t="s">
        <v>33</v>
      </c>
      <c r="E617" t="s">
        <v>92</v>
      </c>
      <c r="F617">
        <v>9</v>
      </c>
      <c r="G617">
        <v>368.69</v>
      </c>
      <c r="H617" t="s">
        <v>64</v>
      </c>
      <c r="I617" t="s">
        <v>1169</v>
      </c>
      <c r="J617" t="s">
        <v>94</v>
      </c>
      <c r="K617" t="s">
        <v>38</v>
      </c>
      <c r="L617" t="s">
        <v>66</v>
      </c>
      <c r="M617" t="s">
        <v>61</v>
      </c>
      <c r="N617">
        <v>3318.21</v>
      </c>
    </row>
    <row r="618" spans="1:14" x14ac:dyDescent="0.35">
      <c r="A618" s="2">
        <v>45706</v>
      </c>
      <c r="B618" t="s">
        <v>993</v>
      </c>
      <c r="C618" t="s">
        <v>89</v>
      </c>
      <c r="D618" t="s">
        <v>42</v>
      </c>
      <c r="E618" t="s">
        <v>23</v>
      </c>
      <c r="F618">
        <v>3</v>
      </c>
      <c r="G618">
        <v>252.16</v>
      </c>
      <c r="H618" t="s">
        <v>64</v>
      </c>
      <c r="I618" t="s">
        <v>1170</v>
      </c>
      <c r="J618" t="s">
        <v>26</v>
      </c>
      <c r="K618" t="s">
        <v>78</v>
      </c>
      <c r="L618" t="s">
        <v>28</v>
      </c>
      <c r="M618" t="s">
        <v>49</v>
      </c>
      <c r="N618">
        <v>756.48</v>
      </c>
    </row>
    <row r="619" spans="1:14" x14ac:dyDescent="0.35">
      <c r="A619" s="2">
        <v>44948</v>
      </c>
      <c r="B619" t="s">
        <v>821</v>
      </c>
      <c r="C619" t="s">
        <v>71</v>
      </c>
      <c r="D619" t="s">
        <v>33</v>
      </c>
      <c r="E619" t="s">
        <v>34</v>
      </c>
      <c r="F619">
        <v>2</v>
      </c>
      <c r="G619">
        <v>106.93</v>
      </c>
      <c r="H619" t="s">
        <v>64</v>
      </c>
      <c r="I619" t="s">
        <v>1171</v>
      </c>
      <c r="J619" t="s">
        <v>94</v>
      </c>
      <c r="K619" t="s">
        <v>60</v>
      </c>
      <c r="L619" t="s">
        <v>28</v>
      </c>
      <c r="M619" t="s">
        <v>101</v>
      </c>
      <c r="N619">
        <v>213.86</v>
      </c>
    </row>
    <row r="620" spans="1:14" x14ac:dyDescent="0.35">
      <c r="A620" s="2">
        <v>45787</v>
      </c>
      <c r="B620" t="s">
        <v>1008</v>
      </c>
      <c r="C620" t="s">
        <v>41</v>
      </c>
      <c r="D620" t="s">
        <v>42</v>
      </c>
      <c r="E620" t="s">
        <v>92</v>
      </c>
      <c r="F620">
        <v>9</v>
      </c>
      <c r="G620">
        <v>261.39999999999998</v>
      </c>
      <c r="H620" t="s">
        <v>58</v>
      </c>
      <c r="I620" t="s">
        <v>1172</v>
      </c>
      <c r="J620" t="s">
        <v>55</v>
      </c>
      <c r="K620" t="s">
        <v>60</v>
      </c>
      <c r="L620" t="s">
        <v>28</v>
      </c>
      <c r="M620" t="s">
        <v>79</v>
      </c>
      <c r="N620">
        <v>2352.6</v>
      </c>
    </row>
    <row r="621" spans="1:14" x14ac:dyDescent="0.35">
      <c r="A621" s="2">
        <v>45370</v>
      </c>
      <c r="B621" t="s">
        <v>95</v>
      </c>
      <c r="C621" t="s">
        <v>41</v>
      </c>
      <c r="D621" t="s">
        <v>42</v>
      </c>
      <c r="E621" t="s">
        <v>92</v>
      </c>
      <c r="F621">
        <v>1</v>
      </c>
      <c r="G621">
        <v>241.46</v>
      </c>
      <c r="H621" t="s">
        <v>24</v>
      </c>
      <c r="I621" t="s">
        <v>1173</v>
      </c>
      <c r="J621" t="s">
        <v>97</v>
      </c>
      <c r="K621" t="s">
        <v>78</v>
      </c>
      <c r="L621" t="s">
        <v>28</v>
      </c>
      <c r="M621" t="s">
        <v>49</v>
      </c>
      <c r="N621">
        <v>241.46</v>
      </c>
    </row>
    <row r="622" spans="1:14" x14ac:dyDescent="0.35">
      <c r="A622" s="2">
        <v>45470</v>
      </c>
      <c r="B622" t="s">
        <v>810</v>
      </c>
      <c r="C622" t="s">
        <v>106</v>
      </c>
      <c r="D622" t="s">
        <v>52</v>
      </c>
      <c r="E622" t="s">
        <v>53</v>
      </c>
      <c r="F622">
        <v>5</v>
      </c>
      <c r="G622">
        <v>295.77999999999997</v>
      </c>
      <c r="H622" t="s">
        <v>58</v>
      </c>
      <c r="I622" t="s">
        <v>1174</v>
      </c>
      <c r="J622" t="s">
        <v>26</v>
      </c>
      <c r="K622" t="s">
        <v>38</v>
      </c>
      <c r="L622" t="s">
        <v>28</v>
      </c>
      <c r="M622" t="s">
        <v>56</v>
      </c>
      <c r="N622">
        <v>1478.9</v>
      </c>
    </row>
    <row r="623" spans="1:14" x14ac:dyDescent="0.35">
      <c r="A623" s="2">
        <v>45544</v>
      </c>
      <c r="B623" t="s">
        <v>307</v>
      </c>
      <c r="C623" t="s">
        <v>86</v>
      </c>
      <c r="D623" t="s">
        <v>52</v>
      </c>
      <c r="E623" t="s">
        <v>43</v>
      </c>
      <c r="F623">
        <v>3</v>
      </c>
      <c r="G623">
        <v>156.02000000000001</v>
      </c>
      <c r="H623" t="s">
        <v>64</v>
      </c>
      <c r="I623" t="s">
        <v>1175</v>
      </c>
      <c r="J623" t="s">
        <v>97</v>
      </c>
      <c r="K623" t="s">
        <v>38</v>
      </c>
      <c r="L623" t="s">
        <v>39</v>
      </c>
      <c r="M623" t="s">
        <v>29</v>
      </c>
      <c r="N623">
        <v>468.06000000000012</v>
      </c>
    </row>
    <row r="624" spans="1:14" x14ac:dyDescent="0.35">
      <c r="A624" s="2">
        <v>45702</v>
      </c>
      <c r="B624" t="s">
        <v>319</v>
      </c>
      <c r="C624" t="s">
        <v>81</v>
      </c>
      <c r="D624" t="s">
        <v>22</v>
      </c>
      <c r="E624" t="s">
        <v>63</v>
      </c>
      <c r="F624">
        <v>3</v>
      </c>
      <c r="G624">
        <v>150.62</v>
      </c>
      <c r="H624" t="s">
        <v>64</v>
      </c>
      <c r="I624" t="s">
        <v>1176</v>
      </c>
      <c r="J624" t="s">
        <v>37</v>
      </c>
      <c r="K624" t="s">
        <v>60</v>
      </c>
      <c r="L624" t="s">
        <v>28</v>
      </c>
      <c r="M624" t="s">
        <v>61</v>
      </c>
      <c r="N624">
        <v>451.86</v>
      </c>
    </row>
    <row r="625" spans="1:14" x14ac:dyDescent="0.35">
      <c r="A625" s="2">
        <v>45747</v>
      </c>
      <c r="B625" t="s">
        <v>443</v>
      </c>
      <c r="C625" t="s">
        <v>41</v>
      </c>
      <c r="D625" t="s">
        <v>42</v>
      </c>
      <c r="E625" t="s">
        <v>34</v>
      </c>
      <c r="F625">
        <v>2</v>
      </c>
      <c r="G625">
        <v>53.91</v>
      </c>
      <c r="H625" t="s">
        <v>35</v>
      </c>
      <c r="I625" t="s">
        <v>1177</v>
      </c>
      <c r="J625" t="s">
        <v>37</v>
      </c>
      <c r="K625" t="s">
        <v>60</v>
      </c>
      <c r="L625" t="s">
        <v>39</v>
      </c>
      <c r="M625" t="s">
        <v>29</v>
      </c>
      <c r="N625">
        <v>107.82</v>
      </c>
    </row>
    <row r="626" spans="1:14" x14ac:dyDescent="0.35">
      <c r="A626" s="2">
        <v>45793</v>
      </c>
      <c r="B626" t="s">
        <v>1178</v>
      </c>
      <c r="C626" t="s">
        <v>74</v>
      </c>
      <c r="D626" t="s">
        <v>42</v>
      </c>
      <c r="E626" t="s">
        <v>63</v>
      </c>
      <c r="F626">
        <v>3</v>
      </c>
      <c r="G626">
        <v>291.25</v>
      </c>
      <c r="H626" t="s">
        <v>35</v>
      </c>
      <c r="I626" t="s">
        <v>1179</v>
      </c>
      <c r="J626" t="s">
        <v>26</v>
      </c>
      <c r="K626" t="s">
        <v>27</v>
      </c>
      <c r="L626" t="s">
        <v>28</v>
      </c>
      <c r="M626" t="s">
        <v>61</v>
      </c>
      <c r="N626">
        <v>873.75</v>
      </c>
    </row>
    <row r="627" spans="1:14" x14ac:dyDescent="0.35">
      <c r="A627" s="2">
        <v>45575</v>
      </c>
      <c r="B627" t="s">
        <v>1180</v>
      </c>
      <c r="C627" t="s">
        <v>81</v>
      </c>
      <c r="D627" t="s">
        <v>52</v>
      </c>
      <c r="E627" t="s">
        <v>23</v>
      </c>
      <c r="F627">
        <v>3</v>
      </c>
      <c r="G627">
        <v>233.52</v>
      </c>
      <c r="H627" t="s">
        <v>44</v>
      </c>
      <c r="I627" t="s">
        <v>1181</v>
      </c>
      <c r="J627" t="s">
        <v>97</v>
      </c>
      <c r="K627" t="s">
        <v>78</v>
      </c>
      <c r="L627" t="s">
        <v>39</v>
      </c>
      <c r="M627" t="s">
        <v>56</v>
      </c>
      <c r="N627">
        <v>700.56000000000006</v>
      </c>
    </row>
    <row r="628" spans="1:14" x14ac:dyDescent="0.35">
      <c r="A628" s="2">
        <v>45784</v>
      </c>
      <c r="B628" t="s">
        <v>273</v>
      </c>
      <c r="C628" t="s">
        <v>71</v>
      </c>
      <c r="D628" t="s">
        <v>33</v>
      </c>
      <c r="E628" t="s">
        <v>23</v>
      </c>
      <c r="F628">
        <v>6</v>
      </c>
      <c r="G628">
        <v>28.45</v>
      </c>
      <c r="H628" t="s">
        <v>58</v>
      </c>
      <c r="I628" t="s">
        <v>1182</v>
      </c>
      <c r="J628" t="s">
        <v>97</v>
      </c>
      <c r="K628" t="s">
        <v>27</v>
      </c>
      <c r="L628" t="s">
        <v>39</v>
      </c>
      <c r="M628" t="s">
        <v>67</v>
      </c>
      <c r="N628">
        <v>170.7</v>
      </c>
    </row>
    <row r="629" spans="1:14" x14ac:dyDescent="0.35">
      <c r="A629" s="2">
        <v>45520</v>
      </c>
      <c r="B629" t="s">
        <v>679</v>
      </c>
      <c r="C629" t="s">
        <v>74</v>
      </c>
      <c r="D629" t="s">
        <v>52</v>
      </c>
      <c r="E629" t="s">
        <v>34</v>
      </c>
      <c r="F629">
        <v>1</v>
      </c>
      <c r="G629">
        <v>273.41000000000003</v>
      </c>
      <c r="H629" t="s">
        <v>64</v>
      </c>
      <c r="I629" t="s">
        <v>1183</v>
      </c>
      <c r="J629" t="s">
        <v>26</v>
      </c>
      <c r="K629" t="s">
        <v>78</v>
      </c>
      <c r="L629" t="s">
        <v>28</v>
      </c>
      <c r="M629" t="s">
        <v>61</v>
      </c>
      <c r="N629">
        <v>273.41000000000003</v>
      </c>
    </row>
    <row r="630" spans="1:14" x14ac:dyDescent="0.35">
      <c r="A630" s="2">
        <v>45524</v>
      </c>
      <c r="B630" t="s">
        <v>1184</v>
      </c>
      <c r="C630" t="s">
        <v>21</v>
      </c>
      <c r="D630" t="s">
        <v>42</v>
      </c>
      <c r="E630" t="s">
        <v>34</v>
      </c>
      <c r="F630">
        <v>2</v>
      </c>
      <c r="G630">
        <v>332.57</v>
      </c>
      <c r="H630" t="s">
        <v>58</v>
      </c>
      <c r="I630" t="s">
        <v>1185</v>
      </c>
      <c r="J630" t="s">
        <v>37</v>
      </c>
      <c r="K630" t="s">
        <v>60</v>
      </c>
      <c r="L630" t="s">
        <v>28</v>
      </c>
      <c r="M630" t="s">
        <v>49</v>
      </c>
      <c r="N630">
        <v>665.14</v>
      </c>
    </row>
    <row r="631" spans="1:14" x14ac:dyDescent="0.35">
      <c r="A631" s="2">
        <v>45754</v>
      </c>
      <c r="B631" t="s">
        <v>1186</v>
      </c>
      <c r="C631" t="s">
        <v>74</v>
      </c>
      <c r="D631" t="s">
        <v>33</v>
      </c>
      <c r="E631" t="s">
        <v>34</v>
      </c>
      <c r="F631">
        <v>2</v>
      </c>
      <c r="G631">
        <v>349.79</v>
      </c>
      <c r="H631" t="s">
        <v>24</v>
      </c>
      <c r="I631" t="s">
        <v>1187</v>
      </c>
      <c r="J631" t="s">
        <v>26</v>
      </c>
      <c r="K631" t="s">
        <v>78</v>
      </c>
      <c r="L631" t="s">
        <v>39</v>
      </c>
      <c r="M631" t="s">
        <v>29</v>
      </c>
      <c r="N631">
        <v>699.58</v>
      </c>
    </row>
    <row r="632" spans="1:14" x14ac:dyDescent="0.35">
      <c r="A632" s="2">
        <v>45085</v>
      </c>
      <c r="B632" t="s">
        <v>1053</v>
      </c>
      <c r="C632" t="s">
        <v>89</v>
      </c>
      <c r="D632" t="s">
        <v>22</v>
      </c>
      <c r="E632" t="s">
        <v>63</v>
      </c>
      <c r="F632">
        <v>5</v>
      </c>
      <c r="G632">
        <v>295.37</v>
      </c>
      <c r="H632" t="s">
        <v>35</v>
      </c>
      <c r="I632" t="s">
        <v>1188</v>
      </c>
      <c r="J632" t="s">
        <v>26</v>
      </c>
      <c r="K632" t="s">
        <v>38</v>
      </c>
      <c r="L632" t="s">
        <v>28</v>
      </c>
      <c r="M632" t="s">
        <v>56</v>
      </c>
      <c r="N632">
        <v>1476.85</v>
      </c>
    </row>
    <row r="633" spans="1:14" x14ac:dyDescent="0.35">
      <c r="A633" s="2">
        <v>45433</v>
      </c>
      <c r="B633" t="s">
        <v>1189</v>
      </c>
      <c r="C633" t="s">
        <v>89</v>
      </c>
      <c r="D633" t="s">
        <v>33</v>
      </c>
      <c r="E633" t="s">
        <v>43</v>
      </c>
      <c r="F633">
        <v>4</v>
      </c>
      <c r="G633">
        <v>244.5</v>
      </c>
      <c r="H633" t="s">
        <v>58</v>
      </c>
      <c r="I633" t="s">
        <v>1190</v>
      </c>
      <c r="J633" t="s">
        <v>37</v>
      </c>
      <c r="K633" t="s">
        <v>60</v>
      </c>
      <c r="L633" t="s">
        <v>39</v>
      </c>
      <c r="M633" t="s">
        <v>49</v>
      </c>
      <c r="N633">
        <v>978</v>
      </c>
    </row>
    <row r="634" spans="1:14" x14ac:dyDescent="0.35">
      <c r="A634" s="2">
        <v>45175</v>
      </c>
      <c r="B634" t="s">
        <v>273</v>
      </c>
      <c r="C634" t="s">
        <v>21</v>
      </c>
      <c r="D634" t="s">
        <v>52</v>
      </c>
      <c r="E634" t="s">
        <v>34</v>
      </c>
      <c r="F634">
        <v>9</v>
      </c>
      <c r="G634">
        <v>297.74</v>
      </c>
      <c r="H634" t="s">
        <v>58</v>
      </c>
      <c r="I634" t="s">
        <v>1191</v>
      </c>
      <c r="J634" t="s">
        <v>26</v>
      </c>
      <c r="K634" t="s">
        <v>78</v>
      </c>
      <c r="L634" t="s">
        <v>39</v>
      </c>
      <c r="M634" t="s">
        <v>67</v>
      </c>
      <c r="N634">
        <v>2679.66</v>
      </c>
    </row>
    <row r="635" spans="1:14" x14ac:dyDescent="0.35">
      <c r="A635" s="2">
        <v>45605</v>
      </c>
      <c r="B635" t="s">
        <v>182</v>
      </c>
      <c r="C635" t="s">
        <v>74</v>
      </c>
      <c r="D635" t="s">
        <v>33</v>
      </c>
      <c r="E635" t="s">
        <v>92</v>
      </c>
      <c r="F635">
        <v>7</v>
      </c>
      <c r="G635">
        <v>139.29</v>
      </c>
      <c r="H635" t="s">
        <v>24</v>
      </c>
      <c r="I635" t="s">
        <v>1192</v>
      </c>
      <c r="J635" t="s">
        <v>97</v>
      </c>
      <c r="K635" t="s">
        <v>60</v>
      </c>
      <c r="L635" t="s">
        <v>66</v>
      </c>
      <c r="M635" t="s">
        <v>79</v>
      </c>
      <c r="N635">
        <v>975.03</v>
      </c>
    </row>
    <row r="636" spans="1:14" x14ac:dyDescent="0.35">
      <c r="A636" s="2">
        <v>45147</v>
      </c>
      <c r="B636" t="s">
        <v>1086</v>
      </c>
      <c r="C636" t="s">
        <v>81</v>
      </c>
      <c r="D636" t="s">
        <v>52</v>
      </c>
      <c r="E636" t="s">
        <v>63</v>
      </c>
      <c r="F636">
        <v>6</v>
      </c>
      <c r="G636">
        <v>250.53</v>
      </c>
      <c r="H636" t="s">
        <v>24</v>
      </c>
      <c r="I636" t="s">
        <v>1193</v>
      </c>
      <c r="J636" t="s">
        <v>94</v>
      </c>
      <c r="K636" t="s">
        <v>78</v>
      </c>
      <c r="L636" t="s">
        <v>66</v>
      </c>
      <c r="M636" t="s">
        <v>67</v>
      </c>
      <c r="N636">
        <v>1503.18</v>
      </c>
    </row>
    <row r="637" spans="1:14" x14ac:dyDescent="0.35">
      <c r="A637" s="2">
        <v>45210</v>
      </c>
      <c r="B637" t="s">
        <v>1194</v>
      </c>
      <c r="C637" t="s">
        <v>86</v>
      </c>
      <c r="D637" t="s">
        <v>22</v>
      </c>
      <c r="E637" t="s">
        <v>34</v>
      </c>
      <c r="F637">
        <v>9</v>
      </c>
      <c r="G637">
        <v>356.81</v>
      </c>
      <c r="H637" t="s">
        <v>58</v>
      </c>
      <c r="I637" t="s">
        <v>1195</v>
      </c>
      <c r="J637" t="s">
        <v>37</v>
      </c>
      <c r="K637" t="s">
        <v>60</v>
      </c>
      <c r="L637" t="s">
        <v>28</v>
      </c>
      <c r="M637" t="s">
        <v>67</v>
      </c>
      <c r="N637">
        <v>3211.29</v>
      </c>
    </row>
    <row r="638" spans="1:14" x14ac:dyDescent="0.35">
      <c r="A638" s="2">
        <v>45361</v>
      </c>
      <c r="B638" t="s">
        <v>330</v>
      </c>
      <c r="C638" t="s">
        <v>81</v>
      </c>
      <c r="D638" t="s">
        <v>42</v>
      </c>
      <c r="E638" t="s">
        <v>23</v>
      </c>
      <c r="F638">
        <v>5</v>
      </c>
      <c r="G638">
        <v>49.06</v>
      </c>
      <c r="H638" t="s">
        <v>24</v>
      </c>
      <c r="I638" t="s">
        <v>1196</v>
      </c>
      <c r="J638" t="s">
        <v>94</v>
      </c>
      <c r="K638" t="s">
        <v>60</v>
      </c>
      <c r="L638" t="s">
        <v>28</v>
      </c>
      <c r="M638" t="s">
        <v>101</v>
      </c>
      <c r="N638">
        <v>245.3</v>
      </c>
    </row>
    <row r="639" spans="1:14" x14ac:dyDescent="0.35">
      <c r="A639" s="2">
        <v>45049</v>
      </c>
      <c r="B639" t="s">
        <v>129</v>
      </c>
      <c r="C639" t="s">
        <v>86</v>
      </c>
      <c r="D639" t="s">
        <v>52</v>
      </c>
      <c r="E639" t="s">
        <v>83</v>
      </c>
      <c r="F639">
        <v>6</v>
      </c>
      <c r="G639">
        <v>39.08</v>
      </c>
      <c r="H639" t="s">
        <v>24</v>
      </c>
      <c r="I639" t="s">
        <v>1197</v>
      </c>
      <c r="J639" t="s">
        <v>94</v>
      </c>
      <c r="K639" t="s">
        <v>27</v>
      </c>
      <c r="L639" t="s">
        <v>39</v>
      </c>
      <c r="M639" t="s">
        <v>67</v>
      </c>
      <c r="N639">
        <v>234.48</v>
      </c>
    </row>
    <row r="640" spans="1:14" x14ac:dyDescent="0.35">
      <c r="A640" s="2">
        <v>45026</v>
      </c>
      <c r="B640" t="s">
        <v>1198</v>
      </c>
      <c r="C640" t="s">
        <v>74</v>
      </c>
      <c r="D640" t="s">
        <v>22</v>
      </c>
      <c r="E640" t="s">
        <v>92</v>
      </c>
      <c r="F640">
        <v>7</v>
      </c>
      <c r="G640">
        <v>361.06</v>
      </c>
      <c r="H640" t="s">
        <v>24</v>
      </c>
      <c r="I640" t="s">
        <v>1199</v>
      </c>
      <c r="J640" t="s">
        <v>55</v>
      </c>
      <c r="K640" t="s">
        <v>60</v>
      </c>
      <c r="L640" t="s">
        <v>28</v>
      </c>
      <c r="M640" t="s">
        <v>29</v>
      </c>
      <c r="N640">
        <v>2527.42</v>
      </c>
    </row>
    <row r="641" spans="1:14" x14ac:dyDescent="0.35">
      <c r="A641" s="2">
        <v>45162</v>
      </c>
      <c r="B641" t="s">
        <v>778</v>
      </c>
      <c r="C641" t="s">
        <v>106</v>
      </c>
      <c r="D641" t="s">
        <v>33</v>
      </c>
      <c r="E641" t="s">
        <v>43</v>
      </c>
      <c r="F641">
        <v>1</v>
      </c>
      <c r="G641">
        <v>53.88</v>
      </c>
      <c r="H641" t="s">
        <v>64</v>
      </c>
      <c r="I641" t="s">
        <v>1200</v>
      </c>
      <c r="J641" t="s">
        <v>94</v>
      </c>
      <c r="K641" t="s">
        <v>38</v>
      </c>
      <c r="L641" t="s">
        <v>39</v>
      </c>
      <c r="M641" t="s">
        <v>56</v>
      </c>
      <c r="N641">
        <v>53.88</v>
      </c>
    </row>
    <row r="642" spans="1:14" x14ac:dyDescent="0.35">
      <c r="A642" s="2">
        <v>45238</v>
      </c>
      <c r="B642" t="s">
        <v>857</v>
      </c>
      <c r="C642" t="s">
        <v>106</v>
      </c>
      <c r="D642" t="s">
        <v>22</v>
      </c>
      <c r="E642" t="s">
        <v>34</v>
      </c>
      <c r="F642">
        <v>2</v>
      </c>
      <c r="G642">
        <v>17.75</v>
      </c>
      <c r="H642" t="s">
        <v>35</v>
      </c>
      <c r="I642" t="s">
        <v>1201</v>
      </c>
      <c r="J642" t="s">
        <v>55</v>
      </c>
      <c r="K642" t="s">
        <v>60</v>
      </c>
      <c r="L642" t="s">
        <v>28</v>
      </c>
      <c r="M642" t="s">
        <v>67</v>
      </c>
      <c r="N642">
        <v>35.5</v>
      </c>
    </row>
    <row r="643" spans="1:14" x14ac:dyDescent="0.35">
      <c r="A643" s="2">
        <v>45331</v>
      </c>
      <c r="B643" t="s">
        <v>1202</v>
      </c>
      <c r="C643" t="s">
        <v>51</v>
      </c>
      <c r="D643" t="s">
        <v>42</v>
      </c>
      <c r="E643" t="s">
        <v>92</v>
      </c>
      <c r="F643">
        <v>8</v>
      </c>
      <c r="G643">
        <v>227.35</v>
      </c>
      <c r="H643" t="s">
        <v>24</v>
      </c>
      <c r="I643" t="s">
        <v>1203</v>
      </c>
      <c r="J643" t="s">
        <v>37</v>
      </c>
      <c r="K643" t="s">
        <v>27</v>
      </c>
      <c r="L643" t="s">
        <v>39</v>
      </c>
      <c r="M643" t="s">
        <v>61</v>
      </c>
      <c r="N643">
        <v>1818.8</v>
      </c>
    </row>
    <row r="644" spans="1:14" x14ac:dyDescent="0.35">
      <c r="A644" s="2">
        <v>45164</v>
      </c>
      <c r="B644" t="s">
        <v>242</v>
      </c>
      <c r="C644" t="s">
        <v>71</v>
      </c>
      <c r="D644" t="s">
        <v>42</v>
      </c>
      <c r="E644" t="s">
        <v>43</v>
      </c>
      <c r="F644">
        <v>4</v>
      </c>
      <c r="G644">
        <v>290.27999999999997</v>
      </c>
      <c r="H644" t="s">
        <v>24</v>
      </c>
      <c r="I644" t="s">
        <v>1204</v>
      </c>
      <c r="J644" t="s">
        <v>37</v>
      </c>
      <c r="K644" t="s">
        <v>27</v>
      </c>
      <c r="L644" t="s">
        <v>28</v>
      </c>
      <c r="M644" t="s">
        <v>79</v>
      </c>
      <c r="N644">
        <v>1161.1199999999999</v>
      </c>
    </row>
    <row r="645" spans="1:14" x14ac:dyDescent="0.35">
      <c r="A645" s="2">
        <v>45627</v>
      </c>
      <c r="B645" t="s">
        <v>1205</v>
      </c>
      <c r="C645" t="s">
        <v>51</v>
      </c>
      <c r="D645" t="s">
        <v>33</v>
      </c>
      <c r="E645" t="s">
        <v>43</v>
      </c>
      <c r="F645">
        <v>9</v>
      </c>
      <c r="G645">
        <v>316.55</v>
      </c>
      <c r="H645" t="s">
        <v>35</v>
      </c>
      <c r="I645" t="s">
        <v>1206</v>
      </c>
      <c r="J645" t="s">
        <v>97</v>
      </c>
      <c r="K645" t="s">
        <v>38</v>
      </c>
      <c r="L645" t="s">
        <v>66</v>
      </c>
      <c r="M645" t="s">
        <v>101</v>
      </c>
      <c r="N645">
        <v>2848.95</v>
      </c>
    </row>
    <row r="646" spans="1:14" x14ac:dyDescent="0.35">
      <c r="A646" s="2">
        <v>45455</v>
      </c>
      <c r="B646" t="s">
        <v>1207</v>
      </c>
      <c r="C646" t="s">
        <v>106</v>
      </c>
      <c r="D646" t="s">
        <v>33</v>
      </c>
      <c r="E646" t="s">
        <v>83</v>
      </c>
      <c r="F646">
        <v>9</v>
      </c>
      <c r="G646">
        <v>399.7</v>
      </c>
      <c r="H646" t="s">
        <v>24</v>
      </c>
      <c r="I646" t="s">
        <v>1208</v>
      </c>
      <c r="J646" t="s">
        <v>26</v>
      </c>
      <c r="K646" t="s">
        <v>60</v>
      </c>
      <c r="L646" t="s">
        <v>28</v>
      </c>
      <c r="M646" t="s">
        <v>67</v>
      </c>
      <c r="N646">
        <v>3597.3</v>
      </c>
    </row>
    <row r="647" spans="1:14" x14ac:dyDescent="0.35">
      <c r="A647" s="2">
        <v>45253</v>
      </c>
      <c r="B647" t="s">
        <v>222</v>
      </c>
      <c r="C647" t="s">
        <v>71</v>
      </c>
      <c r="D647" t="s">
        <v>33</v>
      </c>
      <c r="E647" t="s">
        <v>23</v>
      </c>
      <c r="F647">
        <v>10</v>
      </c>
      <c r="G647">
        <v>222.31</v>
      </c>
      <c r="H647" t="s">
        <v>24</v>
      </c>
      <c r="I647" t="s">
        <v>1209</v>
      </c>
      <c r="J647" t="s">
        <v>55</v>
      </c>
      <c r="K647" t="s">
        <v>27</v>
      </c>
      <c r="L647" t="s">
        <v>28</v>
      </c>
      <c r="M647" t="s">
        <v>56</v>
      </c>
      <c r="N647">
        <v>2223.1</v>
      </c>
    </row>
    <row r="648" spans="1:14" x14ac:dyDescent="0.35">
      <c r="A648" s="2">
        <v>45466</v>
      </c>
      <c r="B648" t="s">
        <v>1210</v>
      </c>
      <c r="C648" t="s">
        <v>81</v>
      </c>
      <c r="D648" t="s">
        <v>42</v>
      </c>
      <c r="E648" t="s">
        <v>53</v>
      </c>
      <c r="F648">
        <v>7</v>
      </c>
      <c r="G648">
        <v>101.97</v>
      </c>
      <c r="H648" t="s">
        <v>35</v>
      </c>
      <c r="I648" t="s">
        <v>1211</v>
      </c>
      <c r="J648" t="s">
        <v>37</v>
      </c>
      <c r="K648" t="s">
        <v>78</v>
      </c>
      <c r="L648" t="s">
        <v>66</v>
      </c>
      <c r="M648" t="s">
        <v>101</v>
      </c>
      <c r="N648">
        <v>713.79</v>
      </c>
    </row>
    <row r="649" spans="1:14" x14ac:dyDescent="0.35">
      <c r="A649" s="2">
        <v>45181</v>
      </c>
      <c r="B649" t="s">
        <v>788</v>
      </c>
      <c r="C649" t="s">
        <v>41</v>
      </c>
      <c r="D649" t="s">
        <v>33</v>
      </c>
      <c r="E649" t="s">
        <v>92</v>
      </c>
      <c r="F649">
        <v>4</v>
      </c>
      <c r="G649">
        <v>192.49</v>
      </c>
      <c r="H649" t="s">
        <v>35</v>
      </c>
      <c r="I649" t="s">
        <v>1212</v>
      </c>
      <c r="J649" t="s">
        <v>37</v>
      </c>
      <c r="K649" t="s">
        <v>38</v>
      </c>
      <c r="L649" t="s">
        <v>39</v>
      </c>
      <c r="M649" t="s">
        <v>49</v>
      </c>
      <c r="N649">
        <v>769.96</v>
      </c>
    </row>
    <row r="650" spans="1:14" x14ac:dyDescent="0.35">
      <c r="A650" s="2">
        <v>45724</v>
      </c>
      <c r="B650" t="s">
        <v>1213</v>
      </c>
      <c r="C650" t="s">
        <v>81</v>
      </c>
      <c r="D650" t="s">
        <v>33</v>
      </c>
      <c r="E650" t="s">
        <v>92</v>
      </c>
      <c r="F650">
        <v>9</v>
      </c>
      <c r="G650">
        <v>165.08</v>
      </c>
      <c r="H650" t="s">
        <v>44</v>
      </c>
      <c r="I650" t="s">
        <v>1214</v>
      </c>
      <c r="J650" t="s">
        <v>37</v>
      </c>
      <c r="K650" t="s">
        <v>78</v>
      </c>
      <c r="L650" t="s">
        <v>39</v>
      </c>
      <c r="M650" t="s">
        <v>79</v>
      </c>
      <c r="N650">
        <v>1485.72</v>
      </c>
    </row>
    <row r="651" spans="1:14" x14ac:dyDescent="0.35">
      <c r="A651" s="2">
        <v>45492</v>
      </c>
      <c r="B651" t="s">
        <v>1215</v>
      </c>
      <c r="C651" t="s">
        <v>71</v>
      </c>
      <c r="D651" t="s">
        <v>22</v>
      </c>
      <c r="E651" t="s">
        <v>92</v>
      </c>
      <c r="F651">
        <v>10</v>
      </c>
      <c r="G651">
        <v>163.41999999999999</v>
      </c>
      <c r="H651" t="s">
        <v>58</v>
      </c>
      <c r="I651" t="s">
        <v>1216</v>
      </c>
      <c r="J651" t="s">
        <v>55</v>
      </c>
      <c r="K651" t="s">
        <v>27</v>
      </c>
      <c r="L651" t="s">
        <v>39</v>
      </c>
      <c r="M651" t="s">
        <v>61</v>
      </c>
      <c r="N651">
        <v>1634.2</v>
      </c>
    </row>
    <row r="652" spans="1:14" x14ac:dyDescent="0.35">
      <c r="A652" s="2">
        <v>45255</v>
      </c>
      <c r="B652" t="s">
        <v>743</v>
      </c>
      <c r="C652" t="s">
        <v>106</v>
      </c>
      <c r="D652" t="s">
        <v>22</v>
      </c>
      <c r="E652" t="s">
        <v>23</v>
      </c>
      <c r="F652">
        <v>10</v>
      </c>
      <c r="G652">
        <v>42.28</v>
      </c>
      <c r="H652" t="s">
        <v>44</v>
      </c>
      <c r="I652" t="s">
        <v>1217</v>
      </c>
      <c r="J652" t="s">
        <v>55</v>
      </c>
      <c r="K652" t="s">
        <v>38</v>
      </c>
      <c r="L652" t="s">
        <v>39</v>
      </c>
      <c r="M652" t="s">
        <v>79</v>
      </c>
      <c r="N652">
        <v>422.8</v>
      </c>
    </row>
    <row r="653" spans="1:14" x14ac:dyDescent="0.35">
      <c r="A653" s="2">
        <v>45032</v>
      </c>
      <c r="B653" t="s">
        <v>900</v>
      </c>
      <c r="C653" t="s">
        <v>47</v>
      </c>
      <c r="D653" t="s">
        <v>33</v>
      </c>
      <c r="E653" t="s">
        <v>34</v>
      </c>
      <c r="F653">
        <v>7</v>
      </c>
      <c r="G653">
        <v>43.49</v>
      </c>
      <c r="H653" t="s">
        <v>44</v>
      </c>
      <c r="I653" t="s">
        <v>1218</v>
      </c>
      <c r="J653" t="s">
        <v>97</v>
      </c>
      <c r="K653" t="s">
        <v>38</v>
      </c>
      <c r="L653" t="s">
        <v>39</v>
      </c>
      <c r="M653" t="s">
        <v>101</v>
      </c>
      <c r="N653">
        <v>304.43</v>
      </c>
    </row>
    <row r="654" spans="1:14" x14ac:dyDescent="0.35">
      <c r="A654" s="2">
        <v>45059</v>
      </c>
      <c r="B654" t="s">
        <v>50</v>
      </c>
      <c r="C654" t="s">
        <v>71</v>
      </c>
      <c r="D654" t="s">
        <v>52</v>
      </c>
      <c r="E654" t="s">
        <v>63</v>
      </c>
      <c r="F654">
        <v>3</v>
      </c>
      <c r="G654">
        <v>268.13</v>
      </c>
      <c r="H654" t="s">
        <v>58</v>
      </c>
      <c r="I654" t="s">
        <v>1219</v>
      </c>
      <c r="J654" t="s">
        <v>37</v>
      </c>
      <c r="K654" t="s">
        <v>38</v>
      </c>
      <c r="L654" t="s">
        <v>28</v>
      </c>
      <c r="M654" t="s">
        <v>79</v>
      </c>
      <c r="N654">
        <v>804.39</v>
      </c>
    </row>
    <row r="655" spans="1:14" x14ac:dyDescent="0.35">
      <c r="A655" s="2">
        <v>45074</v>
      </c>
      <c r="B655" t="s">
        <v>995</v>
      </c>
      <c r="C655" t="s">
        <v>51</v>
      </c>
      <c r="D655" t="s">
        <v>22</v>
      </c>
      <c r="E655" t="s">
        <v>34</v>
      </c>
      <c r="F655">
        <v>8</v>
      </c>
      <c r="G655">
        <v>395.31</v>
      </c>
      <c r="H655" t="s">
        <v>44</v>
      </c>
      <c r="I655" t="s">
        <v>1220</v>
      </c>
      <c r="J655" t="s">
        <v>97</v>
      </c>
      <c r="K655" t="s">
        <v>78</v>
      </c>
      <c r="L655" t="s">
        <v>28</v>
      </c>
      <c r="M655" t="s">
        <v>101</v>
      </c>
      <c r="N655">
        <v>3162.48</v>
      </c>
    </row>
    <row r="656" spans="1:14" x14ac:dyDescent="0.35">
      <c r="A656" s="2">
        <v>45243</v>
      </c>
      <c r="B656" t="s">
        <v>1221</v>
      </c>
      <c r="C656" t="s">
        <v>21</v>
      </c>
      <c r="D656" t="s">
        <v>52</v>
      </c>
      <c r="E656" t="s">
        <v>23</v>
      </c>
      <c r="F656">
        <v>3</v>
      </c>
      <c r="G656">
        <v>40.1</v>
      </c>
      <c r="H656" t="s">
        <v>35</v>
      </c>
      <c r="I656" t="s">
        <v>1222</v>
      </c>
      <c r="J656" t="s">
        <v>94</v>
      </c>
      <c r="K656" t="s">
        <v>38</v>
      </c>
      <c r="L656" t="s">
        <v>66</v>
      </c>
      <c r="M656" t="s">
        <v>29</v>
      </c>
      <c r="N656">
        <v>120.3</v>
      </c>
    </row>
    <row r="657" spans="1:14" x14ac:dyDescent="0.35">
      <c r="A657" s="2">
        <v>44989</v>
      </c>
      <c r="B657" t="s">
        <v>466</v>
      </c>
      <c r="C657" t="s">
        <v>81</v>
      </c>
      <c r="D657" t="s">
        <v>33</v>
      </c>
      <c r="E657" t="s">
        <v>63</v>
      </c>
      <c r="F657">
        <v>3</v>
      </c>
      <c r="G657">
        <v>246.62</v>
      </c>
      <c r="H657" t="s">
        <v>44</v>
      </c>
      <c r="I657" t="s">
        <v>1223</v>
      </c>
      <c r="J657" t="s">
        <v>37</v>
      </c>
      <c r="K657" t="s">
        <v>27</v>
      </c>
      <c r="L657" t="s">
        <v>39</v>
      </c>
      <c r="M657" t="s">
        <v>79</v>
      </c>
      <c r="N657">
        <v>739.86</v>
      </c>
    </row>
    <row r="658" spans="1:14" x14ac:dyDescent="0.35">
      <c r="A658" s="2">
        <v>45490</v>
      </c>
      <c r="B658" t="s">
        <v>1224</v>
      </c>
      <c r="C658" t="s">
        <v>81</v>
      </c>
      <c r="D658" t="s">
        <v>52</v>
      </c>
      <c r="E658" t="s">
        <v>63</v>
      </c>
      <c r="F658">
        <v>3</v>
      </c>
      <c r="G658">
        <v>114.5</v>
      </c>
      <c r="H658" t="s">
        <v>58</v>
      </c>
      <c r="I658" t="s">
        <v>1225</v>
      </c>
      <c r="J658" t="s">
        <v>55</v>
      </c>
      <c r="K658" t="s">
        <v>78</v>
      </c>
      <c r="L658" t="s">
        <v>28</v>
      </c>
      <c r="M658" t="s">
        <v>67</v>
      </c>
      <c r="N658">
        <v>343.5</v>
      </c>
    </row>
    <row r="659" spans="1:14" x14ac:dyDescent="0.35">
      <c r="A659" s="2">
        <v>45733</v>
      </c>
      <c r="B659" t="s">
        <v>244</v>
      </c>
      <c r="C659" t="s">
        <v>51</v>
      </c>
      <c r="D659" t="s">
        <v>22</v>
      </c>
      <c r="E659" t="s">
        <v>83</v>
      </c>
      <c r="F659">
        <v>9</v>
      </c>
      <c r="G659">
        <v>383.2</v>
      </c>
      <c r="H659" t="s">
        <v>35</v>
      </c>
      <c r="I659" t="s">
        <v>1226</v>
      </c>
      <c r="J659" t="s">
        <v>37</v>
      </c>
      <c r="K659" t="s">
        <v>60</v>
      </c>
      <c r="L659" t="s">
        <v>39</v>
      </c>
      <c r="M659" t="s">
        <v>29</v>
      </c>
      <c r="N659">
        <v>3448.8</v>
      </c>
    </row>
    <row r="660" spans="1:14" x14ac:dyDescent="0.35">
      <c r="A660" s="2">
        <v>45621</v>
      </c>
      <c r="B660" t="s">
        <v>324</v>
      </c>
      <c r="C660" t="s">
        <v>106</v>
      </c>
      <c r="D660" t="s">
        <v>33</v>
      </c>
      <c r="E660" t="s">
        <v>23</v>
      </c>
      <c r="F660">
        <v>3</v>
      </c>
      <c r="G660">
        <v>33.61</v>
      </c>
      <c r="H660" t="s">
        <v>44</v>
      </c>
      <c r="I660" t="s">
        <v>1227</v>
      </c>
      <c r="J660" t="s">
        <v>55</v>
      </c>
      <c r="K660" t="s">
        <v>38</v>
      </c>
      <c r="L660" t="s">
        <v>39</v>
      </c>
      <c r="M660" t="s">
        <v>29</v>
      </c>
      <c r="N660">
        <v>100.83</v>
      </c>
    </row>
    <row r="661" spans="1:14" x14ac:dyDescent="0.35">
      <c r="A661" s="2">
        <v>45427</v>
      </c>
      <c r="B661" t="s">
        <v>1228</v>
      </c>
      <c r="C661" t="s">
        <v>89</v>
      </c>
      <c r="D661" t="s">
        <v>22</v>
      </c>
      <c r="E661" t="s">
        <v>53</v>
      </c>
      <c r="F661">
        <v>3</v>
      </c>
      <c r="G661">
        <v>370.5</v>
      </c>
      <c r="H661" t="s">
        <v>35</v>
      </c>
      <c r="I661" t="s">
        <v>1229</v>
      </c>
      <c r="J661" t="s">
        <v>26</v>
      </c>
      <c r="K661" t="s">
        <v>60</v>
      </c>
      <c r="L661" t="s">
        <v>39</v>
      </c>
      <c r="M661" t="s">
        <v>67</v>
      </c>
      <c r="N661">
        <v>1111.5</v>
      </c>
    </row>
    <row r="662" spans="1:14" x14ac:dyDescent="0.35">
      <c r="A662" s="2">
        <v>44937</v>
      </c>
      <c r="B662" t="s">
        <v>665</v>
      </c>
      <c r="C662" t="s">
        <v>41</v>
      </c>
      <c r="D662" t="s">
        <v>42</v>
      </c>
      <c r="E662" t="s">
        <v>43</v>
      </c>
      <c r="F662">
        <v>1</v>
      </c>
      <c r="G662">
        <v>382.95</v>
      </c>
      <c r="H662" t="s">
        <v>64</v>
      </c>
      <c r="I662" t="s">
        <v>1230</v>
      </c>
      <c r="J662" t="s">
        <v>26</v>
      </c>
      <c r="K662" t="s">
        <v>27</v>
      </c>
      <c r="L662" t="s">
        <v>28</v>
      </c>
      <c r="M662" t="s">
        <v>67</v>
      </c>
      <c r="N662">
        <v>382.95</v>
      </c>
    </row>
    <row r="663" spans="1:14" x14ac:dyDescent="0.35">
      <c r="A663" s="2">
        <v>45176</v>
      </c>
      <c r="B663" t="s">
        <v>1231</v>
      </c>
      <c r="C663" t="s">
        <v>89</v>
      </c>
      <c r="D663" t="s">
        <v>22</v>
      </c>
      <c r="E663" t="s">
        <v>63</v>
      </c>
      <c r="F663">
        <v>8</v>
      </c>
      <c r="G663">
        <v>161.58000000000001</v>
      </c>
      <c r="H663" t="s">
        <v>24</v>
      </c>
      <c r="I663" t="s">
        <v>1232</v>
      </c>
      <c r="J663" t="s">
        <v>94</v>
      </c>
      <c r="K663" t="s">
        <v>78</v>
      </c>
      <c r="L663" t="s">
        <v>28</v>
      </c>
      <c r="M663" t="s">
        <v>56</v>
      </c>
      <c r="N663">
        <v>1292.6400000000001</v>
      </c>
    </row>
    <row r="664" spans="1:14" x14ac:dyDescent="0.35">
      <c r="A664" s="2">
        <v>45310</v>
      </c>
      <c r="B664" t="s">
        <v>236</v>
      </c>
      <c r="C664" t="s">
        <v>86</v>
      </c>
      <c r="D664" t="s">
        <v>42</v>
      </c>
      <c r="E664" t="s">
        <v>23</v>
      </c>
      <c r="F664">
        <v>4</v>
      </c>
      <c r="G664">
        <v>145.72999999999999</v>
      </c>
      <c r="H664" t="s">
        <v>58</v>
      </c>
      <c r="I664" t="s">
        <v>1233</v>
      </c>
      <c r="J664" t="s">
        <v>94</v>
      </c>
      <c r="K664" t="s">
        <v>38</v>
      </c>
      <c r="L664" t="s">
        <v>66</v>
      </c>
      <c r="M664" t="s">
        <v>61</v>
      </c>
      <c r="N664">
        <v>582.91999999999996</v>
      </c>
    </row>
    <row r="665" spans="1:14" x14ac:dyDescent="0.35">
      <c r="A665" s="2">
        <v>45730</v>
      </c>
      <c r="B665" t="s">
        <v>1234</v>
      </c>
      <c r="C665" t="s">
        <v>89</v>
      </c>
      <c r="D665" t="s">
        <v>52</v>
      </c>
      <c r="E665" t="s">
        <v>92</v>
      </c>
      <c r="F665">
        <v>2</v>
      </c>
      <c r="G665">
        <v>71.38</v>
      </c>
      <c r="H665" t="s">
        <v>58</v>
      </c>
      <c r="I665" t="s">
        <v>1235</v>
      </c>
      <c r="J665" t="s">
        <v>94</v>
      </c>
      <c r="K665" t="s">
        <v>78</v>
      </c>
      <c r="L665" t="s">
        <v>28</v>
      </c>
      <c r="M665" t="s">
        <v>61</v>
      </c>
      <c r="N665">
        <v>142.76</v>
      </c>
    </row>
    <row r="666" spans="1:14" x14ac:dyDescent="0.35">
      <c r="A666" s="2">
        <v>45240</v>
      </c>
      <c r="B666" t="s">
        <v>740</v>
      </c>
      <c r="C666" t="s">
        <v>81</v>
      </c>
      <c r="D666" t="s">
        <v>42</v>
      </c>
      <c r="E666" t="s">
        <v>83</v>
      </c>
      <c r="F666">
        <v>7</v>
      </c>
      <c r="G666">
        <v>290.06</v>
      </c>
      <c r="H666" t="s">
        <v>24</v>
      </c>
      <c r="I666" t="s">
        <v>1236</v>
      </c>
      <c r="J666" t="s">
        <v>37</v>
      </c>
      <c r="K666" t="s">
        <v>38</v>
      </c>
      <c r="L666" t="s">
        <v>28</v>
      </c>
      <c r="M666" t="s">
        <v>61</v>
      </c>
      <c r="N666">
        <v>2030.42</v>
      </c>
    </row>
    <row r="667" spans="1:14" x14ac:dyDescent="0.35">
      <c r="A667" s="2">
        <v>45632</v>
      </c>
      <c r="B667" t="s">
        <v>414</v>
      </c>
      <c r="C667" t="s">
        <v>89</v>
      </c>
      <c r="D667" t="s">
        <v>22</v>
      </c>
      <c r="E667" t="s">
        <v>83</v>
      </c>
      <c r="F667">
        <v>8</v>
      </c>
      <c r="G667">
        <v>332.94</v>
      </c>
      <c r="H667" t="s">
        <v>64</v>
      </c>
      <c r="I667" t="s">
        <v>1237</v>
      </c>
      <c r="J667" t="s">
        <v>26</v>
      </c>
      <c r="K667" t="s">
        <v>27</v>
      </c>
      <c r="L667" t="s">
        <v>66</v>
      </c>
      <c r="M667" t="s">
        <v>61</v>
      </c>
      <c r="N667">
        <v>2663.52</v>
      </c>
    </row>
    <row r="668" spans="1:14" x14ac:dyDescent="0.35">
      <c r="A668" s="2">
        <v>45642</v>
      </c>
      <c r="B668" t="s">
        <v>493</v>
      </c>
      <c r="C668" t="s">
        <v>81</v>
      </c>
      <c r="D668" t="s">
        <v>42</v>
      </c>
      <c r="E668" t="s">
        <v>23</v>
      </c>
      <c r="F668">
        <v>9</v>
      </c>
      <c r="G668">
        <v>337.8</v>
      </c>
      <c r="H668" t="s">
        <v>44</v>
      </c>
      <c r="I668" t="s">
        <v>1238</v>
      </c>
      <c r="J668" t="s">
        <v>55</v>
      </c>
      <c r="K668" t="s">
        <v>27</v>
      </c>
      <c r="L668" t="s">
        <v>28</v>
      </c>
      <c r="M668" t="s">
        <v>29</v>
      </c>
      <c r="N668">
        <v>3040.2</v>
      </c>
    </row>
    <row r="669" spans="1:14" x14ac:dyDescent="0.35">
      <c r="A669" s="2">
        <v>45531</v>
      </c>
      <c r="B669" t="s">
        <v>1239</v>
      </c>
      <c r="C669" t="s">
        <v>47</v>
      </c>
      <c r="D669" t="s">
        <v>22</v>
      </c>
      <c r="E669" t="s">
        <v>34</v>
      </c>
      <c r="F669">
        <v>4</v>
      </c>
      <c r="G669">
        <v>5.58</v>
      </c>
      <c r="H669" t="s">
        <v>58</v>
      </c>
      <c r="I669" t="s">
        <v>1240</v>
      </c>
      <c r="J669" t="s">
        <v>55</v>
      </c>
      <c r="K669" t="s">
        <v>60</v>
      </c>
      <c r="L669" t="s">
        <v>39</v>
      </c>
      <c r="M669" t="s">
        <v>49</v>
      </c>
      <c r="N669">
        <v>22.32</v>
      </c>
    </row>
    <row r="670" spans="1:14" x14ac:dyDescent="0.35">
      <c r="A670" s="2">
        <v>45618</v>
      </c>
      <c r="B670" t="s">
        <v>200</v>
      </c>
      <c r="C670" t="s">
        <v>71</v>
      </c>
      <c r="D670" t="s">
        <v>22</v>
      </c>
      <c r="E670" t="s">
        <v>83</v>
      </c>
      <c r="F670">
        <v>6</v>
      </c>
      <c r="G670">
        <v>345.09</v>
      </c>
      <c r="H670" t="s">
        <v>24</v>
      </c>
      <c r="I670" t="s">
        <v>1241</v>
      </c>
      <c r="J670" t="s">
        <v>37</v>
      </c>
      <c r="K670" t="s">
        <v>38</v>
      </c>
      <c r="L670" t="s">
        <v>28</v>
      </c>
      <c r="M670" t="s">
        <v>61</v>
      </c>
      <c r="N670">
        <v>2070.54</v>
      </c>
    </row>
    <row r="671" spans="1:14" x14ac:dyDescent="0.35">
      <c r="A671" s="2">
        <v>45746</v>
      </c>
      <c r="B671" t="s">
        <v>370</v>
      </c>
      <c r="C671" t="s">
        <v>51</v>
      </c>
      <c r="D671" t="s">
        <v>33</v>
      </c>
      <c r="E671" t="s">
        <v>43</v>
      </c>
      <c r="F671">
        <v>8</v>
      </c>
      <c r="G671">
        <v>320.77999999999997</v>
      </c>
      <c r="H671" t="s">
        <v>35</v>
      </c>
      <c r="I671" t="s">
        <v>1242</v>
      </c>
      <c r="J671" t="s">
        <v>94</v>
      </c>
      <c r="K671" t="s">
        <v>78</v>
      </c>
      <c r="L671" t="s">
        <v>28</v>
      </c>
      <c r="M671" t="s">
        <v>101</v>
      </c>
      <c r="N671">
        <v>2566.2399999999998</v>
      </c>
    </row>
    <row r="672" spans="1:14" x14ac:dyDescent="0.35">
      <c r="A672" s="2">
        <v>45688</v>
      </c>
      <c r="B672" t="s">
        <v>629</v>
      </c>
      <c r="C672" t="s">
        <v>74</v>
      </c>
      <c r="D672" t="s">
        <v>52</v>
      </c>
      <c r="E672" t="s">
        <v>63</v>
      </c>
      <c r="F672">
        <v>10</v>
      </c>
      <c r="G672">
        <v>78.989999999999995</v>
      </c>
      <c r="H672" t="s">
        <v>35</v>
      </c>
      <c r="I672" t="s">
        <v>1243</v>
      </c>
      <c r="J672" t="s">
        <v>55</v>
      </c>
      <c r="K672" t="s">
        <v>27</v>
      </c>
      <c r="L672" t="s">
        <v>28</v>
      </c>
      <c r="M672" t="s">
        <v>61</v>
      </c>
      <c r="N672">
        <v>789.9</v>
      </c>
    </row>
    <row r="673" spans="1:14" x14ac:dyDescent="0.35">
      <c r="A673" s="2">
        <v>45715</v>
      </c>
      <c r="B673" t="s">
        <v>1244</v>
      </c>
      <c r="C673" t="s">
        <v>74</v>
      </c>
      <c r="D673" t="s">
        <v>52</v>
      </c>
      <c r="E673" t="s">
        <v>83</v>
      </c>
      <c r="F673">
        <v>2</v>
      </c>
      <c r="G673">
        <v>224.39</v>
      </c>
      <c r="H673" t="s">
        <v>44</v>
      </c>
      <c r="I673" t="s">
        <v>1245</v>
      </c>
      <c r="J673" t="s">
        <v>37</v>
      </c>
      <c r="K673" t="s">
        <v>38</v>
      </c>
      <c r="L673" t="s">
        <v>28</v>
      </c>
      <c r="M673" t="s">
        <v>56</v>
      </c>
      <c r="N673">
        <v>448.78</v>
      </c>
    </row>
    <row r="674" spans="1:14" x14ac:dyDescent="0.35">
      <c r="A674" s="2">
        <v>45504</v>
      </c>
      <c r="B674" t="s">
        <v>1246</v>
      </c>
      <c r="C674" t="s">
        <v>21</v>
      </c>
      <c r="D674" t="s">
        <v>52</v>
      </c>
      <c r="E674" t="s">
        <v>92</v>
      </c>
      <c r="F674">
        <v>3</v>
      </c>
      <c r="G674">
        <v>235.61</v>
      </c>
      <c r="H674" t="s">
        <v>35</v>
      </c>
      <c r="I674" t="s">
        <v>1247</v>
      </c>
      <c r="J674" t="s">
        <v>26</v>
      </c>
      <c r="K674" t="s">
        <v>38</v>
      </c>
      <c r="L674" t="s">
        <v>66</v>
      </c>
      <c r="M674" t="s">
        <v>67</v>
      </c>
      <c r="N674">
        <v>706.83</v>
      </c>
    </row>
    <row r="675" spans="1:14" x14ac:dyDescent="0.35">
      <c r="A675" s="2">
        <v>45203</v>
      </c>
      <c r="B675" t="s">
        <v>1248</v>
      </c>
      <c r="C675" t="s">
        <v>21</v>
      </c>
      <c r="D675" t="s">
        <v>33</v>
      </c>
      <c r="E675" t="s">
        <v>23</v>
      </c>
      <c r="F675">
        <v>2</v>
      </c>
      <c r="G675">
        <v>267.91000000000003</v>
      </c>
      <c r="H675" t="s">
        <v>64</v>
      </c>
      <c r="I675" t="s">
        <v>1249</v>
      </c>
      <c r="J675" t="s">
        <v>94</v>
      </c>
      <c r="K675" t="s">
        <v>78</v>
      </c>
      <c r="L675" t="s">
        <v>28</v>
      </c>
      <c r="M675" t="s">
        <v>67</v>
      </c>
      <c r="N675">
        <v>535.82000000000005</v>
      </c>
    </row>
    <row r="676" spans="1:14" x14ac:dyDescent="0.35">
      <c r="A676" s="2">
        <v>45230</v>
      </c>
      <c r="B676" t="s">
        <v>928</v>
      </c>
      <c r="C676" t="s">
        <v>51</v>
      </c>
      <c r="D676" t="s">
        <v>42</v>
      </c>
      <c r="E676" t="s">
        <v>92</v>
      </c>
      <c r="F676">
        <v>4</v>
      </c>
      <c r="G676">
        <v>171.93</v>
      </c>
      <c r="H676" t="s">
        <v>24</v>
      </c>
      <c r="I676" t="s">
        <v>1250</v>
      </c>
      <c r="J676" t="s">
        <v>26</v>
      </c>
      <c r="K676" t="s">
        <v>38</v>
      </c>
      <c r="L676" t="s">
        <v>39</v>
      </c>
      <c r="M676" t="s">
        <v>49</v>
      </c>
      <c r="N676">
        <v>687.72</v>
      </c>
    </row>
    <row r="677" spans="1:14" x14ac:dyDescent="0.35">
      <c r="A677" s="2">
        <v>45601</v>
      </c>
      <c r="B677" t="s">
        <v>484</v>
      </c>
      <c r="C677" t="s">
        <v>47</v>
      </c>
      <c r="D677" t="s">
        <v>33</v>
      </c>
      <c r="E677" t="s">
        <v>23</v>
      </c>
      <c r="F677">
        <v>9</v>
      </c>
      <c r="G677">
        <v>388.94</v>
      </c>
      <c r="H677" t="s">
        <v>58</v>
      </c>
      <c r="I677" t="s">
        <v>1251</v>
      </c>
      <c r="J677" t="s">
        <v>97</v>
      </c>
      <c r="K677" t="s">
        <v>78</v>
      </c>
      <c r="L677" t="s">
        <v>66</v>
      </c>
      <c r="M677" t="s">
        <v>49</v>
      </c>
      <c r="N677">
        <v>3500.46</v>
      </c>
    </row>
    <row r="678" spans="1:14" x14ac:dyDescent="0.35">
      <c r="A678" s="2">
        <v>45382</v>
      </c>
      <c r="B678" t="s">
        <v>908</v>
      </c>
      <c r="C678" t="s">
        <v>51</v>
      </c>
      <c r="D678" t="s">
        <v>42</v>
      </c>
      <c r="E678" t="s">
        <v>34</v>
      </c>
      <c r="F678">
        <v>9</v>
      </c>
      <c r="G678">
        <v>91.74</v>
      </c>
      <c r="H678" t="s">
        <v>24</v>
      </c>
      <c r="I678" t="s">
        <v>1252</v>
      </c>
      <c r="J678" t="s">
        <v>55</v>
      </c>
      <c r="K678" t="s">
        <v>27</v>
      </c>
      <c r="L678" t="s">
        <v>28</v>
      </c>
      <c r="M678" t="s">
        <v>101</v>
      </c>
      <c r="N678">
        <v>825.66</v>
      </c>
    </row>
    <row r="679" spans="1:14" x14ac:dyDescent="0.35">
      <c r="A679" s="2">
        <v>45199</v>
      </c>
      <c r="B679" t="s">
        <v>1253</v>
      </c>
      <c r="C679" t="s">
        <v>51</v>
      </c>
      <c r="D679" t="s">
        <v>52</v>
      </c>
      <c r="E679" t="s">
        <v>34</v>
      </c>
      <c r="F679">
        <v>10</v>
      </c>
      <c r="G679">
        <v>106.41</v>
      </c>
      <c r="H679" t="s">
        <v>44</v>
      </c>
      <c r="I679" t="s">
        <v>1254</v>
      </c>
      <c r="J679" t="s">
        <v>37</v>
      </c>
      <c r="K679" t="s">
        <v>78</v>
      </c>
      <c r="L679" t="s">
        <v>39</v>
      </c>
      <c r="M679" t="s">
        <v>79</v>
      </c>
      <c r="N679">
        <v>1064.0999999999999</v>
      </c>
    </row>
    <row r="680" spans="1:14" x14ac:dyDescent="0.35">
      <c r="A680" s="2">
        <v>45067</v>
      </c>
      <c r="B680" t="s">
        <v>1255</v>
      </c>
      <c r="C680" t="s">
        <v>106</v>
      </c>
      <c r="D680" t="s">
        <v>33</v>
      </c>
      <c r="E680" t="s">
        <v>53</v>
      </c>
      <c r="F680">
        <v>10</v>
      </c>
      <c r="G680">
        <v>246.8</v>
      </c>
      <c r="H680" t="s">
        <v>58</v>
      </c>
      <c r="I680" t="s">
        <v>1256</v>
      </c>
      <c r="J680" t="s">
        <v>94</v>
      </c>
      <c r="K680" t="s">
        <v>38</v>
      </c>
      <c r="L680" t="s">
        <v>39</v>
      </c>
      <c r="M680" t="s">
        <v>101</v>
      </c>
      <c r="N680">
        <v>2468</v>
      </c>
    </row>
    <row r="681" spans="1:14" x14ac:dyDescent="0.35">
      <c r="A681" s="2">
        <v>44932</v>
      </c>
      <c r="B681" t="s">
        <v>1257</v>
      </c>
      <c r="C681" t="s">
        <v>47</v>
      </c>
      <c r="D681" t="s">
        <v>22</v>
      </c>
      <c r="E681" t="s">
        <v>43</v>
      </c>
      <c r="F681">
        <v>3</v>
      </c>
      <c r="G681">
        <v>175.26</v>
      </c>
      <c r="H681" t="s">
        <v>24</v>
      </c>
      <c r="I681" t="s">
        <v>1258</v>
      </c>
      <c r="J681" t="s">
        <v>26</v>
      </c>
      <c r="K681" t="s">
        <v>78</v>
      </c>
      <c r="L681" t="s">
        <v>39</v>
      </c>
      <c r="M681" t="s">
        <v>61</v>
      </c>
      <c r="N681">
        <v>525.78</v>
      </c>
    </row>
    <row r="682" spans="1:14" x14ac:dyDescent="0.35">
      <c r="A682" s="2">
        <v>45051</v>
      </c>
      <c r="B682" t="s">
        <v>1259</v>
      </c>
      <c r="C682" t="s">
        <v>47</v>
      </c>
      <c r="D682" t="s">
        <v>22</v>
      </c>
      <c r="E682" t="s">
        <v>53</v>
      </c>
      <c r="F682">
        <v>7</v>
      </c>
      <c r="G682">
        <v>53.26</v>
      </c>
      <c r="H682" t="s">
        <v>64</v>
      </c>
      <c r="I682" t="s">
        <v>1260</v>
      </c>
      <c r="J682" t="s">
        <v>94</v>
      </c>
      <c r="K682" t="s">
        <v>38</v>
      </c>
      <c r="L682" t="s">
        <v>28</v>
      </c>
      <c r="M682" t="s">
        <v>61</v>
      </c>
      <c r="N682">
        <v>372.82</v>
      </c>
    </row>
    <row r="683" spans="1:14" x14ac:dyDescent="0.35">
      <c r="A683" s="2">
        <v>45281</v>
      </c>
      <c r="B683" t="s">
        <v>1261</v>
      </c>
      <c r="C683" t="s">
        <v>71</v>
      </c>
      <c r="D683" t="s">
        <v>33</v>
      </c>
      <c r="E683" t="s">
        <v>43</v>
      </c>
      <c r="F683">
        <v>9</v>
      </c>
      <c r="G683">
        <v>66.069999999999993</v>
      </c>
      <c r="H683" t="s">
        <v>64</v>
      </c>
      <c r="I683" t="s">
        <v>1262</v>
      </c>
      <c r="J683" t="s">
        <v>97</v>
      </c>
      <c r="K683" t="s">
        <v>60</v>
      </c>
      <c r="L683" t="s">
        <v>39</v>
      </c>
      <c r="M683" t="s">
        <v>56</v>
      </c>
      <c r="N683">
        <v>594.62999999999988</v>
      </c>
    </row>
    <row r="684" spans="1:14" x14ac:dyDescent="0.35">
      <c r="A684" s="2">
        <v>45719</v>
      </c>
      <c r="B684" t="s">
        <v>661</v>
      </c>
      <c r="C684" t="s">
        <v>86</v>
      </c>
      <c r="D684" t="s">
        <v>22</v>
      </c>
      <c r="E684" t="s">
        <v>63</v>
      </c>
      <c r="F684">
        <v>2</v>
      </c>
      <c r="G684">
        <v>238.45</v>
      </c>
      <c r="H684" t="s">
        <v>64</v>
      </c>
      <c r="I684" t="s">
        <v>1263</v>
      </c>
      <c r="J684" t="s">
        <v>55</v>
      </c>
      <c r="K684" t="s">
        <v>27</v>
      </c>
      <c r="L684" t="s">
        <v>39</v>
      </c>
      <c r="M684" t="s">
        <v>29</v>
      </c>
      <c r="N684">
        <v>476.9</v>
      </c>
    </row>
    <row r="685" spans="1:14" x14ac:dyDescent="0.35">
      <c r="A685" s="2">
        <v>45268</v>
      </c>
      <c r="B685" t="s">
        <v>1264</v>
      </c>
      <c r="C685" t="s">
        <v>81</v>
      </c>
      <c r="D685" t="s">
        <v>33</v>
      </c>
      <c r="E685" t="s">
        <v>23</v>
      </c>
      <c r="F685">
        <v>9</v>
      </c>
      <c r="G685">
        <v>243.57</v>
      </c>
      <c r="H685" t="s">
        <v>24</v>
      </c>
      <c r="I685" t="s">
        <v>1265</v>
      </c>
      <c r="J685" t="s">
        <v>26</v>
      </c>
      <c r="K685" t="s">
        <v>27</v>
      </c>
      <c r="L685" t="s">
        <v>39</v>
      </c>
      <c r="M685" t="s">
        <v>61</v>
      </c>
      <c r="N685">
        <v>2192.13</v>
      </c>
    </row>
    <row r="686" spans="1:14" x14ac:dyDescent="0.35">
      <c r="A686" s="2">
        <v>45433</v>
      </c>
      <c r="B686" t="s">
        <v>1266</v>
      </c>
      <c r="C686" t="s">
        <v>86</v>
      </c>
      <c r="D686" t="s">
        <v>42</v>
      </c>
      <c r="E686" t="s">
        <v>92</v>
      </c>
      <c r="F686">
        <v>2</v>
      </c>
      <c r="G686">
        <v>25.64</v>
      </c>
      <c r="H686" t="s">
        <v>35</v>
      </c>
      <c r="I686" t="s">
        <v>1267</v>
      </c>
      <c r="J686" t="s">
        <v>97</v>
      </c>
      <c r="K686" t="s">
        <v>60</v>
      </c>
      <c r="L686" t="s">
        <v>66</v>
      </c>
      <c r="M686" t="s">
        <v>49</v>
      </c>
      <c r="N686">
        <v>51.28</v>
      </c>
    </row>
    <row r="687" spans="1:14" x14ac:dyDescent="0.35">
      <c r="A687" s="2">
        <v>45238</v>
      </c>
      <c r="B687" t="s">
        <v>212</v>
      </c>
      <c r="C687" t="s">
        <v>41</v>
      </c>
      <c r="D687" t="s">
        <v>22</v>
      </c>
      <c r="E687" t="s">
        <v>34</v>
      </c>
      <c r="F687">
        <v>3</v>
      </c>
      <c r="G687">
        <v>391.04</v>
      </c>
      <c r="H687" t="s">
        <v>24</v>
      </c>
      <c r="I687" t="s">
        <v>1268</v>
      </c>
      <c r="J687" t="s">
        <v>97</v>
      </c>
      <c r="K687" t="s">
        <v>60</v>
      </c>
      <c r="L687" t="s">
        <v>39</v>
      </c>
      <c r="M687" t="s">
        <v>67</v>
      </c>
      <c r="N687">
        <v>1173.1199999999999</v>
      </c>
    </row>
    <row r="688" spans="1:14" x14ac:dyDescent="0.35">
      <c r="A688" s="2">
        <v>45553</v>
      </c>
      <c r="B688" t="s">
        <v>1266</v>
      </c>
      <c r="C688" t="s">
        <v>41</v>
      </c>
      <c r="D688" t="s">
        <v>33</v>
      </c>
      <c r="E688" t="s">
        <v>23</v>
      </c>
      <c r="F688">
        <v>7</v>
      </c>
      <c r="G688">
        <v>67.72</v>
      </c>
      <c r="H688" t="s">
        <v>24</v>
      </c>
      <c r="I688" t="s">
        <v>1269</v>
      </c>
      <c r="J688" t="s">
        <v>55</v>
      </c>
      <c r="K688" t="s">
        <v>27</v>
      </c>
      <c r="L688" t="s">
        <v>66</v>
      </c>
      <c r="M688" t="s">
        <v>67</v>
      </c>
      <c r="N688">
        <v>474.04</v>
      </c>
    </row>
    <row r="689" spans="1:14" x14ac:dyDescent="0.35">
      <c r="A689" s="2">
        <v>45154</v>
      </c>
      <c r="B689" t="s">
        <v>963</v>
      </c>
      <c r="C689" t="s">
        <v>74</v>
      </c>
      <c r="D689" t="s">
        <v>33</v>
      </c>
      <c r="E689" t="s">
        <v>34</v>
      </c>
      <c r="F689">
        <v>6</v>
      </c>
      <c r="G689">
        <v>8.4</v>
      </c>
      <c r="H689" t="s">
        <v>24</v>
      </c>
      <c r="I689" t="s">
        <v>1270</v>
      </c>
      <c r="J689" t="s">
        <v>26</v>
      </c>
      <c r="K689" t="s">
        <v>27</v>
      </c>
      <c r="L689" t="s">
        <v>39</v>
      </c>
      <c r="M689" t="s">
        <v>67</v>
      </c>
      <c r="N689">
        <v>50.400000000000013</v>
      </c>
    </row>
    <row r="690" spans="1:14" x14ac:dyDescent="0.35">
      <c r="A690" s="2">
        <v>45426</v>
      </c>
      <c r="B690" t="s">
        <v>1266</v>
      </c>
      <c r="C690" t="s">
        <v>41</v>
      </c>
      <c r="D690" t="s">
        <v>22</v>
      </c>
      <c r="E690" t="s">
        <v>92</v>
      </c>
      <c r="F690">
        <v>8</v>
      </c>
      <c r="G690">
        <v>300.22000000000003</v>
      </c>
      <c r="H690" t="s">
        <v>35</v>
      </c>
      <c r="I690" t="s">
        <v>1271</v>
      </c>
      <c r="J690" t="s">
        <v>26</v>
      </c>
      <c r="K690" t="s">
        <v>38</v>
      </c>
      <c r="L690" t="s">
        <v>66</v>
      </c>
      <c r="M690" t="s">
        <v>49</v>
      </c>
      <c r="N690">
        <v>2401.7600000000002</v>
      </c>
    </row>
    <row r="691" spans="1:14" x14ac:dyDescent="0.35">
      <c r="A691" s="2">
        <v>45395</v>
      </c>
      <c r="B691" t="s">
        <v>340</v>
      </c>
      <c r="C691" t="s">
        <v>106</v>
      </c>
      <c r="D691" t="s">
        <v>52</v>
      </c>
      <c r="E691" t="s">
        <v>43</v>
      </c>
      <c r="F691">
        <v>4</v>
      </c>
      <c r="G691">
        <v>366.65</v>
      </c>
      <c r="H691" t="s">
        <v>64</v>
      </c>
      <c r="I691" t="s">
        <v>1272</v>
      </c>
      <c r="J691" t="s">
        <v>55</v>
      </c>
      <c r="K691" t="s">
        <v>27</v>
      </c>
      <c r="L691" t="s">
        <v>28</v>
      </c>
      <c r="M691" t="s">
        <v>79</v>
      </c>
      <c r="N691">
        <v>1466.6</v>
      </c>
    </row>
    <row r="692" spans="1:14" x14ac:dyDescent="0.35">
      <c r="A692" s="2">
        <v>45734</v>
      </c>
      <c r="B692" t="s">
        <v>1273</v>
      </c>
      <c r="C692" t="s">
        <v>86</v>
      </c>
      <c r="D692" t="s">
        <v>42</v>
      </c>
      <c r="E692" t="s">
        <v>53</v>
      </c>
      <c r="F692">
        <v>5</v>
      </c>
      <c r="G692">
        <v>234.05</v>
      </c>
      <c r="H692" t="s">
        <v>64</v>
      </c>
      <c r="I692" t="s">
        <v>1274</v>
      </c>
      <c r="J692" t="s">
        <v>55</v>
      </c>
      <c r="K692" t="s">
        <v>60</v>
      </c>
      <c r="L692" t="s">
        <v>28</v>
      </c>
      <c r="M692" t="s">
        <v>49</v>
      </c>
      <c r="N692">
        <v>1170.25</v>
      </c>
    </row>
    <row r="693" spans="1:14" x14ac:dyDescent="0.35">
      <c r="A693" s="2">
        <v>45742</v>
      </c>
      <c r="B693" t="s">
        <v>1088</v>
      </c>
      <c r="C693" t="s">
        <v>86</v>
      </c>
      <c r="D693" t="s">
        <v>33</v>
      </c>
      <c r="E693" t="s">
        <v>63</v>
      </c>
      <c r="F693">
        <v>5</v>
      </c>
      <c r="G693">
        <v>261.8</v>
      </c>
      <c r="H693" t="s">
        <v>64</v>
      </c>
      <c r="I693" t="s">
        <v>1275</v>
      </c>
      <c r="J693" t="s">
        <v>94</v>
      </c>
      <c r="K693" t="s">
        <v>38</v>
      </c>
      <c r="L693" t="s">
        <v>66</v>
      </c>
      <c r="M693" t="s">
        <v>67</v>
      </c>
      <c r="N693">
        <v>1309</v>
      </c>
    </row>
    <row r="694" spans="1:14" x14ac:dyDescent="0.35">
      <c r="A694" s="2">
        <v>45090</v>
      </c>
      <c r="B694" t="s">
        <v>1078</v>
      </c>
      <c r="C694" t="s">
        <v>81</v>
      </c>
      <c r="D694" t="s">
        <v>22</v>
      </c>
      <c r="E694" t="s">
        <v>83</v>
      </c>
      <c r="F694">
        <v>10</v>
      </c>
      <c r="G694">
        <v>226.09</v>
      </c>
      <c r="H694" t="s">
        <v>24</v>
      </c>
      <c r="I694" t="s">
        <v>1276</v>
      </c>
      <c r="J694" t="s">
        <v>94</v>
      </c>
      <c r="K694" t="s">
        <v>60</v>
      </c>
      <c r="L694" t="s">
        <v>28</v>
      </c>
      <c r="M694" t="s">
        <v>49</v>
      </c>
      <c r="N694">
        <v>2260.9</v>
      </c>
    </row>
    <row r="695" spans="1:14" x14ac:dyDescent="0.35">
      <c r="A695" s="2">
        <v>45161</v>
      </c>
      <c r="B695" t="s">
        <v>1277</v>
      </c>
      <c r="C695" t="s">
        <v>106</v>
      </c>
      <c r="D695" t="s">
        <v>22</v>
      </c>
      <c r="E695" t="s">
        <v>92</v>
      </c>
      <c r="F695">
        <v>5</v>
      </c>
      <c r="G695">
        <v>217.01</v>
      </c>
      <c r="H695" t="s">
        <v>58</v>
      </c>
      <c r="I695" t="s">
        <v>1278</v>
      </c>
      <c r="J695" t="s">
        <v>55</v>
      </c>
      <c r="K695" t="s">
        <v>27</v>
      </c>
      <c r="L695" t="s">
        <v>66</v>
      </c>
      <c r="M695" t="s">
        <v>67</v>
      </c>
      <c r="N695">
        <v>1085.05</v>
      </c>
    </row>
    <row r="696" spans="1:14" x14ac:dyDescent="0.35">
      <c r="A696" s="2">
        <v>45609</v>
      </c>
      <c r="B696" t="s">
        <v>708</v>
      </c>
      <c r="C696" t="s">
        <v>51</v>
      </c>
      <c r="D696" t="s">
        <v>22</v>
      </c>
      <c r="E696" t="s">
        <v>34</v>
      </c>
      <c r="F696">
        <v>10</v>
      </c>
      <c r="G696">
        <v>281.41000000000003</v>
      </c>
      <c r="H696" t="s">
        <v>35</v>
      </c>
      <c r="I696" t="s">
        <v>1279</v>
      </c>
      <c r="J696" t="s">
        <v>55</v>
      </c>
      <c r="K696" t="s">
        <v>78</v>
      </c>
      <c r="L696" t="s">
        <v>28</v>
      </c>
      <c r="M696" t="s">
        <v>67</v>
      </c>
      <c r="N696">
        <v>2814.1</v>
      </c>
    </row>
    <row r="697" spans="1:14" x14ac:dyDescent="0.35">
      <c r="A697" s="2">
        <v>45812</v>
      </c>
      <c r="B697" t="s">
        <v>1152</v>
      </c>
      <c r="C697" t="s">
        <v>21</v>
      </c>
      <c r="D697" t="s">
        <v>22</v>
      </c>
      <c r="E697" t="s">
        <v>83</v>
      </c>
      <c r="F697">
        <v>8</v>
      </c>
      <c r="G697">
        <v>38.15</v>
      </c>
      <c r="H697" t="s">
        <v>24</v>
      </c>
      <c r="I697" t="s">
        <v>1280</v>
      </c>
      <c r="J697" t="s">
        <v>55</v>
      </c>
      <c r="K697" t="s">
        <v>78</v>
      </c>
      <c r="L697" t="s">
        <v>28</v>
      </c>
      <c r="M697" t="s">
        <v>67</v>
      </c>
      <c r="N697">
        <v>305.2</v>
      </c>
    </row>
    <row r="698" spans="1:14" x14ac:dyDescent="0.35">
      <c r="A698" s="2">
        <v>45650</v>
      </c>
      <c r="B698" t="s">
        <v>1281</v>
      </c>
      <c r="C698" t="s">
        <v>41</v>
      </c>
      <c r="D698" t="s">
        <v>33</v>
      </c>
      <c r="E698" t="s">
        <v>92</v>
      </c>
      <c r="F698">
        <v>5</v>
      </c>
      <c r="G698">
        <v>331.54</v>
      </c>
      <c r="H698" t="s">
        <v>64</v>
      </c>
      <c r="I698" t="s">
        <v>1282</v>
      </c>
      <c r="J698" t="s">
        <v>97</v>
      </c>
      <c r="K698" t="s">
        <v>27</v>
      </c>
      <c r="L698" t="s">
        <v>28</v>
      </c>
      <c r="M698" t="s">
        <v>49</v>
      </c>
      <c r="N698">
        <v>1657.7</v>
      </c>
    </row>
    <row r="699" spans="1:14" x14ac:dyDescent="0.35">
      <c r="A699" s="2">
        <v>45171</v>
      </c>
      <c r="B699" t="s">
        <v>873</v>
      </c>
      <c r="C699" t="s">
        <v>89</v>
      </c>
      <c r="D699" t="s">
        <v>33</v>
      </c>
      <c r="E699" t="s">
        <v>83</v>
      </c>
      <c r="F699">
        <v>3</v>
      </c>
      <c r="G699">
        <v>132.49</v>
      </c>
      <c r="H699" t="s">
        <v>44</v>
      </c>
      <c r="I699" t="s">
        <v>1283</v>
      </c>
      <c r="J699" t="s">
        <v>94</v>
      </c>
      <c r="K699" t="s">
        <v>78</v>
      </c>
      <c r="L699" t="s">
        <v>39</v>
      </c>
      <c r="M699" t="s">
        <v>79</v>
      </c>
      <c r="N699">
        <v>397.47</v>
      </c>
    </row>
    <row r="700" spans="1:14" x14ac:dyDescent="0.35">
      <c r="A700" s="2">
        <v>45833</v>
      </c>
      <c r="B700" t="s">
        <v>193</v>
      </c>
      <c r="C700" t="s">
        <v>89</v>
      </c>
      <c r="D700" t="s">
        <v>42</v>
      </c>
      <c r="E700" t="s">
        <v>23</v>
      </c>
      <c r="F700">
        <v>7</v>
      </c>
      <c r="G700">
        <v>279.23</v>
      </c>
      <c r="H700" t="s">
        <v>44</v>
      </c>
      <c r="I700" t="s">
        <v>1284</v>
      </c>
      <c r="J700" t="s">
        <v>97</v>
      </c>
      <c r="K700" t="s">
        <v>38</v>
      </c>
      <c r="L700" t="s">
        <v>28</v>
      </c>
      <c r="M700" t="s">
        <v>67</v>
      </c>
      <c r="N700">
        <v>1954.61</v>
      </c>
    </row>
    <row r="701" spans="1:14" x14ac:dyDescent="0.35">
      <c r="A701" s="2">
        <v>45789</v>
      </c>
      <c r="B701" t="s">
        <v>1285</v>
      </c>
      <c r="C701" t="s">
        <v>51</v>
      </c>
      <c r="D701" t="s">
        <v>42</v>
      </c>
      <c r="E701" t="s">
        <v>43</v>
      </c>
      <c r="F701">
        <v>1</v>
      </c>
      <c r="G701">
        <v>236.07</v>
      </c>
      <c r="H701" t="s">
        <v>35</v>
      </c>
      <c r="I701" t="s">
        <v>1286</v>
      </c>
      <c r="J701" t="s">
        <v>97</v>
      </c>
      <c r="K701" t="s">
        <v>27</v>
      </c>
      <c r="L701" t="s">
        <v>39</v>
      </c>
      <c r="M701" t="s">
        <v>29</v>
      </c>
      <c r="N701">
        <v>236.07</v>
      </c>
    </row>
    <row r="702" spans="1:14" x14ac:dyDescent="0.35">
      <c r="A702" s="2">
        <v>45578</v>
      </c>
      <c r="B702" t="s">
        <v>679</v>
      </c>
      <c r="C702" t="s">
        <v>41</v>
      </c>
      <c r="D702" t="s">
        <v>22</v>
      </c>
      <c r="E702" t="s">
        <v>83</v>
      </c>
      <c r="F702">
        <v>8</v>
      </c>
      <c r="G702">
        <v>21.25</v>
      </c>
      <c r="H702" t="s">
        <v>35</v>
      </c>
      <c r="I702" t="s">
        <v>1287</v>
      </c>
      <c r="J702" t="s">
        <v>94</v>
      </c>
      <c r="K702" t="s">
        <v>78</v>
      </c>
      <c r="L702" t="s">
        <v>28</v>
      </c>
      <c r="M702" t="s">
        <v>101</v>
      </c>
      <c r="N702">
        <v>170</v>
      </c>
    </row>
    <row r="703" spans="1:14" x14ac:dyDescent="0.35">
      <c r="A703" s="2">
        <v>45202</v>
      </c>
      <c r="B703" t="s">
        <v>1288</v>
      </c>
      <c r="C703" t="s">
        <v>51</v>
      </c>
      <c r="D703" t="s">
        <v>52</v>
      </c>
      <c r="E703" t="s">
        <v>92</v>
      </c>
      <c r="F703">
        <v>1</v>
      </c>
      <c r="G703">
        <v>292.38</v>
      </c>
      <c r="H703" t="s">
        <v>35</v>
      </c>
      <c r="I703" t="s">
        <v>1289</v>
      </c>
      <c r="J703" t="s">
        <v>97</v>
      </c>
      <c r="K703" t="s">
        <v>38</v>
      </c>
      <c r="L703" t="s">
        <v>39</v>
      </c>
      <c r="M703" t="s">
        <v>49</v>
      </c>
      <c r="N703">
        <v>292.38</v>
      </c>
    </row>
    <row r="704" spans="1:14" x14ac:dyDescent="0.35">
      <c r="A704" s="2">
        <v>45605</v>
      </c>
      <c r="B704" t="s">
        <v>1290</v>
      </c>
      <c r="C704" t="s">
        <v>47</v>
      </c>
      <c r="D704" t="s">
        <v>33</v>
      </c>
      <c r="E704" t="s">
        <v>83</v>
      </c>
      <c r="F704">
        <v>8</v>
      </c>
      <c r="G704">
        <v>23</v>
      </c>
      <c r="H704" t="s">
        <v>58</v>
      </c>
      <c r="I704" t="s">
        <v>1291</v>
      </c>
      <c r="J704" t="s">
        <v>97</v>
      </c>
      <c r="K704" t="s">
        <v>27</v>
      </c>
      <c r="L704" t="s">
        <v>39</v>
      </c>
      <c r="M704" t="s">
        <v>79</v>
      </c>
      <c r="N704">
        <v>184</v>
      </c>
    </row>
    <row r="705" spans="1:14" x14ac:dyDescent="0.35">
      <c r="A705" s="2">
        <v>45261</v>
      </c>
      <c r="B705" t="s">
        <v>1292</v>
      </c>
      <c r="C705" t="s">
        <v>47</v>
      </c>
      <c r="D705" t="s">
        <v>52</v>
      </c>
      <c r="E705" t="s">
        <v>83</v>
      </c>
      <c r="F705">
        <v>4</v>
      </c>
      <c r="G705">
        <v>225.6</v>
      </c>
      <c r="H705" t="s">
        <v>24</v>
      </c>
      <c r="I705" t="s">
        <v>1293</v>
      </c>
      <c r="J705" t="s">
        <v>94</v>
      </c>
      <c r="K705" t="s">
        <v>27</v>
      </c>
      <c r="L705" t="s">
        <v>39</v>
      </c>
      <c r="M705" t="s">
        <v>61</v>
      </c>
      <c r="N705">
        <v>902.4</v>
      </c>
    </row>
    <row r="706" spans="1:14" x14ac:dyDescent="0.35">
      <c r="A706" s="2">
        <v>45531</v>
      </c>
      <c r="B706" t="s">
        <v>135</v>
      </c>
      <c r="C706" t="s">
        <v>21</v>
      </c>
      <c r="D706" t="s">
        <v>42</v>
      </c>
      <c r="E706" t="s">
        <v>83</v>
      </c>
      <c r="F706">
        <v>8</v>
      </c>
      <c r="G706">
        <v>80.72</v>
      </c>
      <c r="H706" t="s">
        <v>44</v>
      </c>
      <c r="I706" t="s">
        <v>1294</v>
      </c>
      <c r="J706" t="s">
        <v>94</v>
      </c>
      <c r="K706" t="s">
        <v>38</v>
      </c>
      <c r="L706" t="s">
        <v>39</v>
      </c>
      <c r="M706" t="s">
        <v>49</v>
      </c>
      <c r="N706">
        <v>645.76</v>
      </c>
    </row>
    <row r="707" spans="1:14" x14ac:dyDescent="0.35">
      <c r="A707" s="2">
        <v>45178</v>
      </c>
      <c r="B707" t="s">
        <v>1295</v>
      </c>
      <c r="C707" t="s">
        <v>21</v>
      </c>
      <c r="D707" t="s">
        <v>22</v>
      </c>
      <c r="E707" t="s">
        <v>34</v>
      </c>
      <c r="F707">
        <v>2</v>
      </c>
      <c r="G707">
        <v>55.38</v>
      </c>
      <c r="H707" t="s">
        <v>24</v>
      </c>
      <c r="I707" t="s">
        <v>1296</v>
      </c>
      <c r="J707" t="s">
        <v>55</v>
      </c>
      <c r="K707" t="s">
        <v>60</v>
      </c>
      <c r="L707" t="s">
        <v>28</v>
      </c>
      <c r="M707" t="s">
        <v>79</v>
      </c>
      <c r="N707">
        <v>110.76</v>
      </c>
    </row>
    <row r="708" spans="1:14" x14ac:dyDescent="0.35">
      <c r="A708" s="2">
        <v>45054</v>
      </c>
      <c r="B708" t="s">
        <v>1297</v>
      </c>
      <c r="C708" t="s">
        <v>21</v>
      </c>
      <c r="D708" t="s">
        <v>33</v>
      </c>
      <c r="E708" t="s">
        <v>43</v>
      </c>
      <c r="F708">
        <v>10</v>
      </c>
      <c r="G708">
        <v>10.74</v>
      </c>
      <c r="H708" t="s">
        <v>58</v>
      </c>
      <c r="I708" t="s">
        <v>1298</v>
      </c>
      <c r="J708" t="s">
        <v>55</v>
      </c>
      <c r="K708" t="s">
        <v>38</v>
      </c>
      <c r="L708" t="s">
        <v>66</v>
      </c>
      <c r="M708" t="s">
        <v>29</v>
      </c>
      <c r="N708">
        <v>107.4</v>
      </c>
    </row>
    <row r="709" spans="1:14" x14ac:dyDescent="0.35">
      <c r="A709" s="2">
        <v>45743</v>
      </c>
      <c r="B709" t="s">
        <v>1299</v>
      </c>
      <c r="C709" t="s">
        <v>86</v>
      </c>
      <c r="D709" t="s">
        <v>42</v>
      </c>
      <c r="E709" t="s">
        <v>83</v>
      </c>
      <c r="F709">
        <v>9</v>
      </c>
      <c r="G709">
        <v>246.98</v>
      </c>
      <c r="H709" t="s">
        <v>24</v>
      </c>
      <c r="I709" t="s">
        <v>1300</v>
      </c>
      <c r="J709" t="s">
        <v>94</v>
      </c>
      <c r="K709" t="s">
        <v>38</v>
      </c>
      <c r="L709" t="s">
        <v>28</v>
      </c>
      <c r="M709" t="s">
        <v>56</v>
      </c>
      <c r="N709">
        <v>2222.8200000000002</v>
      </c>
    </row>
    <row r="710" spans="1:14" x14ac:dyDescent="0.35">
      <c r="A710" s="2">
        <v>44928</v>
      </c>
      <c r="B710" t="s">
        <v>484</v>
      </c>
      <c r="C710" t="s">
        <v>21</v>
      </c>
      <c r="D710" t="s">
        <v>52</v>
      </c>
      <c r="E710" t="s">
        <v>92</v>
      </c>
      <c r="F710">
        <v>2</v>
      </c>
      <c r="G710">
        <v>213.68</v>
      </c>
      <c r="H710" t="s">
        <v>64</v>
      </c>
      <c r="I710" t="s">
        <v>1301</v>
      </c>
      <c r="J710" t="s">
        <v>37</v>
      </c>
      <c r="K710" t="s">
        <v>60</v>
      </c>
      <c r="L710" t="s">
        <v>66</v>
      </c>
      <c r="M710" t="s">
        <v>29</v>
      </c>
      <c r="N710">
        <v>427.36</v>
      </c>
    </row>
    <row r="711" spans="1:14" x14ac:dyDescent="0.35">
      <c r="A711" s="2">
        <v>45503</v>
      </c>
      <c r="B711" t="s">
        <v>1302</v>
      </c>
      <c r="C711" t="s">
        <v>86</v>
      </c>
      <c r="D711" t="s">
        <v>33</v>
      </c>
      <c r="E711" t="s">
        <v>43</v>
      </c>
      <c r="F711">
        <v>5</v>
      </c>
      <c r="G711">
        <v>47.76</v>
      </c>
      <c r="H711" t="s">
        <v>35</v>
      </c>
      <c r="I711" t="s">
        <v>1303</v>
      </c>
      <c r="J711" t="s">
        <v>26</v>
      </c>
      <c r="K711" t="s">
        <v>38</v>
      </c>
      <c r="L711" t="s">
        <v>66</v>
      </c>
      <c r="M711" t="s">
        <v>49</v>
      </c>
      <c r="N711">
        <v>238.8</v>
      </c>
    </row>
    <row r="712" spans="1:14" x14ac:dyDescent="0.35">
      <c r="A712" s="2">
        <v>45694</v>
      </c>
      <c r="B712" t="s">
        <v>974</v>
      </c>
      <c r="C712" t="s">
        <v>47</v>
      </c>
      <c r="D712" t="s">
        <v>52</v>
      </c>
      <c r="E712" t="s">
        <v>53</v>
      </c>
      <c r="F712">
        <v>8</v>
      </c>
      <c r="G712">
        <v>280.60000000000002</v>
      </c>
      <c r="H712" t="s">
        <v>35</v>
      </c>
      <c r="I712" t="s">
        <v>1304</v>
      </c>
      <c r="J712" t="s">
        <v>55</v>
      </c>
      <c r="K712" t="s">
        <v>60</v>
      </c>
      <c r="L712" t="s">
        <v>39</v>
      </c>
      <c r="M712" t="s">
        <v>56</v>
      </c>
      <c r="N712">
        <v>2244.8000000000002</v>
      </c>
    </row>
    <row r="713" spans="1:14" x14ac:dyDescent="0.35">
      <c r="A713" s="2">
        <v>45679</v>
      </c>
      <c r="B713" t="s">
        <v>382</v>
      </c>
      <c r="C713" t="s">
        <v>86</v>
      </c>
      <c r="D713" t="s">
        <v>52</v>
      </c>
      <c r="E713" t="s">
        <v>43</v>
      </c>
      <c r="F713">
        <v>1</v>
      </c>
      <c r="G713">
        <v>371.87</v>
      </c>
      <c r="H713" t="s">
        <v>24</v>
      </c>
      <c r="I713" t="s">
        <v>1305</v>
      </c>
      <c r="J713" t="s">
        <v>55</v>
      </c>
      <c r="K713" t="s">
        <v>27</v>
      </c>
      <c r="L713" t="s">
        <v>28</v>
      </c>
      <c r="M713" t="s">
        <v>67</v>
      </c>
      <c r="N713">
        <v>371.87</v>
      </c>
    </row>
    <row r="714" spans="1:14" x14ac:dyDescent="0.35">
      <c r="A714" s="2">
        <v>45704</v>
      </c>
      <c r="B714" t="s">
        <v>1244</v>
      </c>
      <c r="C714" t="s">
        <v>21</v>
      </c>
      <c r="D714" t="s">
        <v>22</v>
      </c>
      <c r="E714" t="s">
        <v>63</v>
      </c>
      <c r="F714">
        <v>2</v>
      </c>
      <c r="G714">
        <v>23.18</v>
      </c>
      <c r="H714" t="s">
        <v>64</v>
      </c>
      <c r="I714" t="s">
        <v>1306</v>
      </c>
      <c r="J714" t="s">
        <v>94</v>
      </c>
      <c r="K714" t="s">
        <v>78</v>
      </c>
      <c r="L714" t="s">
        <v>28</v>
      </c>
      <c r="M714" t="s">
        <v>101</v>
      </c>
      <c r="N714">
        <v>46.36</v>
      </c>
    </row>
    <row r="715" spans="1:14" x14ac:dyDescent="0.35">
      <c r="A715" s="2">
        <v>45597</v>
      </c>
      <c r="B715" t="s">
        <v>1307</v>
      </c>
      <c r="C715" t="s">
        <v>86</v>
      </c>
      <c r="D715" t="s">
        <v>33</v>
      </c>
      <c r="E715" t="s">
        <v>83</v>
      </c>
      <c r="F715">
        <v>8</v>
      </c>
      <c r="G715">
        <v>358.62</v>
      </c>
      <c r="H715" t="s">
        <v>35</v>
      </c>
      <c r="I715" t="s">
        <v>1308</v>
      </c>
      <c r="J715" t="s">
        <v>55</v>
      </c>
      <c r="K715" t="s">
        <v>38</v>
      </c>
      <c r="L715" t="s">
        <v>28</v>
      </c>
      <c r="M715" t="s">
        <v>61</v>
      </c>
      <c r="N715">
        <v>2868.96</v>
      </c>
    </row>
    <row r="716" spans="1:14" x14ac:dyDescent="0.35">
      <c r="A716" s="2">
        <v>45544</v>
      </c>
      <c r="B716" t="s">
        <v>1309</v>
      </c>
      <c r="C716" t="s">
        <v>51</v>
      </c>
      <c r="D716" t="s">
        <v>22</v>
      </c>
      <c r="E716" t="s">
        <v>53</v>
      </c>
      <c r="F716">
        <v>10</v>
      </c>
      <c r="G716">
        <v>237.2</v>
      </c>
      <c r="H716" t="s">
        <v>35</v>
      </c>
      <c r="I716" t="s">
        <v>1310</v>
      </c>
      <c r="J716" t="s">
        <v>37</v>
      </c>
      <c r="K716" t="s">
        <v>27</v>
      </c>
      <c r="L716" t="s">
        <v>28</v>
      </c>
      <c r="M716" t="s">
        <v>29</v>
      </c>
      <c r="N716">
        <v>2372</v>
      </c>
    </row>
    <row r="717" spans="1:14" x14ac:dyDescent="0.35">
      <c r="A717" s="2">
        <v>45171</v>
      </c>
      <c r="B717" t="s">
        <v>1311</v>
      </c>
      <c r="C717" t="s">
        <v>41</v>
      </c>
      <c r="D717" t="s">
        <v>33</v>
      </c>
      <c r="E717" t="s">
        <v>23</v>
      </c>
      <c r="F717">
        <v>1</v>
      </c>
      <c r="G717">
        <v>154.01</v>
      </c>
      <c r="H717" t="s">
        <v>24</v>
      </c>
      <c r="I717" t="s">
        <v>1312</v>
      </c>
      <c r="J717" t="s">
        <v>37</v>
      </c>
      <c r="K717" t="s">
        <v>27</v>
      </c>
      <c r="L717" t="s">
        <v>39</v>
      </c>
      <c r="M717" t="s">
        <v>79</v>
      </c>
      <c r="N717">
        <v>154.01</v>
      </c>
    </row>
    <row r="718" spans="1:14" x14ac:dyDescent="0.35">
      <c r="A718" s="2">
        <v>44992</v>
      </c>
      <c r="B718" t="s">
        <v>248</v>
      </c>
      <c r="C718" t="s">
        <v>89</v>
      </c>
      <c r="D718" t="s">
        <v>52</v>
      </c>
      <c r="E718" t="s">
        <v>43</v>
      </c>
      <c r="F718">
        <v>6</v>
      </c>
      <c r="G718">
        <v>208.71</v>
      </c>
      <c r="H718" t="s">
        <v>44</v>
      </c>
      <c r="I718" t="s">
        <v>1313</v>
      </c>
      <c r="J718" t="s">
        <v>26</v>
      </c>
      <c r="K718" t="s">
        <v>78</v>
      </c>
      <c r="L718" t="s">
        <v>66</v>
      </c>
      <c r="M718" t="s">
        <v>49</v>
      </c>
      <c r="N718">
        <v>1252.26</v>
      </c>
    </row>
    <row r="719" spans="1:14" x14ac:dyDescent="0.35">
      <c r="A719" s="2">
        <v>45373</v>
      </c>
      <c r="B719" t="s">
        <v>1314</v>
      </c>
      <c r="C719" t="s">
        <v>47</v>
      </c>
      <c r="D719" t="s">
        <v>42</v>
      </c>
      <c r="E719" t="s">
        <v>23</v>
      </c>
      <c r="F719">
        <v>3</v>
      </c>
      <c r="G719">
        <v>231.76</v>
      </c>
      <c r="H719" t="s">
        <v>44</v>
      </c>
      <c r="I719" t="s">
        <v>1315</v>
      </c>
      <c r="J719" t="s">
        <v>94</v>
      </c>
      <c r="K719" t="s">
        <v>38</v>
      </c>
      <c r="L719" t="s">
        <v>28</v>
      </c>
      <c r="M719" t="s">
        <v>61</v>
      </c>
      <c r="N719">
        <v>695.28</v>
      </c>
    </row>
    <row r="720" spans="1:14" x14ac:dyDescent="0.35">
      <c r="A720" s="2">
        <v>45189</v>
      </c>
      <c r="B720" t="s">
        <v>634</v>
      </c>
      <c r="C720" t="s">
        <v>81</v>
      </c>
      <c r="D720" t="s">
        <v>22</v>
      </c>
      <c r="E720" t="s">
        <v>83</v>
      </c>
      <c r="F720">
        <v>3</v>
      </c>
      <c r="G720">
        <v>218.65</v>
      </c>
      <c r="H720" t="s">
        <v>58</v>
      </c>
      <c r="I720" t="s">
        <v>1316</v>
      </c>
      <c r="J720" t="s">
        <v>26</v>
      </c>
      <c r="K720" t="s">
        <v>27</v>
      </c>
      <c r="L720" t="s">
        <v>39</v>
      </c>
      <c r="M720" t="s">
        <v>67</v>
      </c>
      <c r="N720">
        <v>655.95</v>
      </c>
    </row>
    <row r="721" spans="1:14" x14ac:dyDescent="0.35">
      <c r="A721" s="2">
        <v>44927</v>
      </c>
      <c r="B721" t="s">
        <v>1317</v>
      </c>
      <c r="C721" t="s">
        <v>47</v>
      </c>
      <c r="D721" t="s">
        <v>22</v>
      </c>
      <c r="E721" t="s">
        <v>53</v>
      </c>
      <c r="F721">
        <v>7</v>
      </c>
      <c r="G721">
        <v>276.87</v>
      </c>
      <c r="H721" t="s">
        <v>64</v>
      </c>
      <c r="I721" t="s">
        <v>1318</v>
      </c>
      <c r="J721" t="s">
        <v>94</v>
      </c>
      <c r="K721" t="s">
        <v>78</v>
      </c>
      <c r="L721" t="s">
        <v>39</v>
      </c>
      <c r="M721" t="s">
        <v>101</v>
      </c>
      <c r="N721">
        <v>1938.09</v>
      </c>
    </row>
    <row r="722" spans="1:14" x14ac:dyDescent="0.35">
      <c r="A722" s="2">
        <v>45605</v>
      </c>
      <c r="B722" t="s">
        <v>1319</v>
      </c>
      <c r="C722" t="s">
        <v>51</v>
      </c>
      <c r="D722" t="s">
        <v>22</v>
      </c>
      <c r="E722" t="s">
        <v>34</v>
      </c>
      <c r="F722">
        <v>10</v>
      </c>
      <c r="G722">
        <v>371.02</v>
      </c>
      <c r="H722" t="s">
        <v>44</v>
      </c>
      <c r="I722" t="s">
        <v>1320</v>
      </c>
      <c r="J722" t="s">
        <v>26</v>
      </c>
      <c r="K722" t="s">
        <v>78</v>
      </c>
      <c r="L722" t="s">
        <v>28</v>
      </c>
      <c r="M722" t="s">
        <v>79</v>
      </c>
      <c r="N722">
        <v>3710.2</v>
      </c>
    </row>
    <row r="723" spans="1:14" x14ac:dyDescent="0.35">
      <c r="A723" s="2">
        <v>45259</v>
      </c>
      <c r="B723" t="s">
        <v>784</v>
      </c>
      <c r="C723" t="s">
        <v>21</v>
      </c>
      <c r="D723" t="s">
        <v>52</v>
      </c>
      <c r="E723" t="s">
        <v>53</v>
      </c>
      <c r="F723">
        <v>4</v>
      </c>
      <c r="G723">
        <v>220.56</v>
      </c>
      <c r="H723" t="s">
        <v>35</v>
      </c>
      <c r="I723" t="s">
        <v>1321</v>
      </c>
      <c r="J723" t="s">
        <v>94</v>
      </c>
      <c r="K723" t="s">
        <v>38</v>
      </c>
      <c r="L723" t="s">
        <v>28</v>
      </c>
      <c r="M723" t="s">
        <v>67</v>
      </c>
      <c r="N723">
        <v>882.24</v>
      </c>
    </row>
    <row r="724" spans="1:14" x14ac:dyDescent="0.35">
      <c r="A724" s="2">
        <v>45112</v>
      </c>
      <c r="B724" t="s">
        <v>1322</v>
      </c>
      <c r="C724" t="s">
        <v>47</v>
      </c>
      <c r="D724" t="s">
        <v>33</v>
      </c>
      <c r="E724" t="s">
        <v>63</v>
      </c>
      <c r="F724">
        <v>4</v>
      </c>
      <c r="G724">
        <v>200.98</v>
      </c>
      <c r="H724" t="s">
        <v>44</v>
      </c>
      <c r="I724" t="s">
        <v>1323</v>
      </c>
      <c r="J724" t="s">
        <v>37</v>
      </c>
      <c r="K724" t="s">
        <v>38</v>
      </c>
      <c r="L724" t="s">
        <v>39</v>
      </c>
      <c r="M724" t="s">
        <v>67</v>
      </c>
      <c r="N724">
        <v>803.92</v>
      </c>
    </row>
    <row r="725" spans="1:14" x14ac:dyDescent="0.35">
      <c r="A725" s="2">
        <v>45134</v>
      </c>
      <c r="B725" t="s">
        <v>309</v>
      </c>
      <c r="C725" t="s">
        <v>89</v>
      </c>
      <c r="D725" t="s">
        <v>42</v>
      </c>
      <c r="E725" t="s">
        <v>23</v>
      </c>
      <c r="F725">
        <v>5</v>
      </c>
      <c r="G725">
        <v>15.92</v>
      </c>
      <c r="H725" t="s">
        <v>24</v>
      </c>
      <c r="I725" t="s">
        <v>1324</v>
      </c>
      <c r="J725" t="s">
        <v>37</v>
      </c>
      <c r="K725" t="s">
        <v>27</v>
      </c>
      <c r="L725" t="s">
        <v>39</v>
      </c>
      <c r="M725" t="s">
        <v>56</v>
      </c>
      <c r="N725">
        <v>79.599999999999994</v>
      </c>
    </row>
    <row r="726" spans="1:14" x14ac:dyDescent="0.35">
      <c r="A726" s="2">
        <v>45698</v>
      </c>
      <c r="B726" t="s">
        <v>153</v>
      </c>
      <c r="C726" t="s">
        <v>41</v>
      </c>
      <c r="D726" t="s">
        <v>22</v>
      </c>
      <c r="E726" t="s">
        <v>92</v>
      </c>
      <c r="F726">
        <v>7</v>
      </c>
      <c r="G726">
        <v>210.33</v>
      </c>
      <c r="H726" t="s">
        <v>64</v>
      </c>
      <c r="I726" t="s">
        <v>1325</v>
      </c>
      <c r="J726" t="s">
        <v>94</v>
      </c>
      <c r="K726" t="s">
        <v>78</v>
      </c>
      <c r="L726" t="s">
        <v>39</v>
      </c>
      <c r="M726" t="s">
        <v>29</v>
      </c>
      <c r="N726">
        <v>1472.31</v>
      </c>
    </row>
    <row r="727" spans="1:14" x14ac:dyDescent="0.35">
      <c r="A727" s="2">
        <v>45599</v>
      </c>
      <c r="B727" t="s">
        <v>1326</v>
      </c>
      <c r="C727" t="s">
        <v>89</v>
      </c>
      <c r="D727" t="s">
        <v>33</v>
      </c>
      <c r="E727" t="s">
        <v>63</v>
      </c>
      <c r="F727">
        <v>4</v>
      </c>
      <c r="G727">
        <v>183.93</v>
      </c>
      <c r="H727" t="s">
        <v>64</v>
      </c>
      <c r="I727" t="s">
        <v>1327</v>
      </c>
      <c r="J727" t="s">
        <v>55</v>
      </c>
      <c r="K727" t="s">
        <v>78</v>
      </c>
      <c r="L727" t="s">
        <v>39</v>
      </c>
      <c r="M727" t="s">
        <v>101</v>
      </c>
      <c r="N727">
        <v>735.72</v>
      </c>
    </row>
    <row r="728" spans="1:14" x14ac:dyDescent="0.35">
      <c r="A728" s="2">
        <v>44957</v>
      </c>
      <c r="B728" t="s">
        <v>1328</v>
      </c>
      <c r="C728" t="s">
        <v>71</v>
      </c>
      <c r="D728" t="s">
        <v>42</v>
      </c>
      <c r="E728" t="s">
        <v>23</v>
      </c>
      <c r="F728">
        <v>6</v>
      </c>
      <c r="G728">
        <v>17.48</v>
      </c>
      <c r="H728" t="s">
        <v>58</v>
      </c>
      <c r="I728" t="s">
        <v>1329</v>
      </c>
      <c r="J728" t="s">
        <v>97</v>
      </c>
      <c r="K728" t="s">
        <v>60</v>
      </c>
      <c r="L728" t="s">
        <v>28</v>
      </c>
      <c r="M728" t="s">
        <v>49</v>
      </c>
      <c r="N728">
        <v>104.88</v>
      </c>
    </row>
    <row r="729" spans="1:14" x14ac:dyDescent="0.35">
      <c r="A729" s="2">
        <v>45472</v>
      </c>
      <c r="B729" t="s">
        <v>1330</v>
      </c>
      <c r="C729" t="s">
        <v>71</v>
      </c>
      <c r="D729" t="s">
        <v>33</v>
      </c>
      <c r="E729" t="s">
        <v>63</v>
      </c>
      <c r="F729">
        <v>9</v>
      </c>
      <c r="G729">
        <v>12.77</v>
      </c>
      <c r="H729" t="s">
        <v>24</v>
      </c>
      <c r="I729" t="s">
        <v>1331</v>
      </c>
      <c r="J729" t="s">
        <v>37</v>
      </c>
      <c r="K729" t="s">
        <v>38</v>
      </c>
      <c r="L729" t="s">
        <v>28</v>
      </c>
      <c r="M729" t="s">
        <v>79</v>
      </c>
      <c r="N729">
        <v>114.93</v>
      </c>
    </row>
    <row r="730" spans="1:14" x14ac:dyDescent="0.35">
      <c r="A730" s="2">
        <v>44931</v>
      </c>
      <c r="B730" t="s">
        <v>765</v>
      </c>
      <c r="C730" t="s">
        <v>21</v>
      </c>
      <c r="D730" t="s">
        <v>33</v>
      </c>
      <c r="E730" t="s">
        <v>34</v>
      </c>
      <c r="F730">
        <v>1</v>
      </c>
      <c r="G730">
        <v>377.2</v>
      </c>
      <c r="H730" t="s">
        <v>35</v>
      </c>
      <c r="I730" t="s">
        <v>1332</v>
      </c>
      <c r="J730" t="s">
        <v>97</v>
      </c>
      <c r="K730" t="s">
        <v>27</v>
      </c>
      <c r="L730" t="s">
        <v>28</v>
      </c>
      <c r="M730" t="s">
        <v>56</v>
      </c>
      <c r="N730">
        <v>377.2</v>
      </c>
    </row>
    <row r="731" spans="1:14" x14ac:dyDescent="0.35">
      <c r="A731" s="2">
        <v>45265</v>
      </c>
      <c r="B731" t="s">
        <v>1029</v>
      </c>
      <c r="C731" t="s">
        <v>81</v>
      </c>
      <c r="D731" t="s">
        <v>33</v>
      </c>
      <c r="E731" t="s">
        <v>34</v>
      </c>
      <c r="F731">
        <v>3</v>
      </c>
      <c r="G731">
        <v>345.81</v>
      </c>
      <c r="H731" t="s">
        <v>35</v>
      </c>
      <c r="I731" t="s">
        <v>1333</v>
      </c>
      <c r="J731" t="s">
        <v>26</v>
      </c>
      <c r="K731" t="s">
        <v>78</v>
      </c>
      <c r="L731" t="s">
        <v>66</v>
      </c>
      <c r="M731" t="s">
        <v>49</v>
      </c>
      <c r="N731">
        <v>1037.43</v>
      </c>
    </row>
    <row r="732" spans="1:14" x14ac:dyDescent="0.35">
      <c r="A732" s="2">
        <v>45007</v>
      </c>
      <c r="B732" t="s">
        <v>930</v>
      </c>
      <c r="C732" t="s">
        <v>71</v>
      </c>
      <c r="D732" t="s">
        <v>33</v>
      </c>
      <c r="E732" t="s">
        <v>34</v>
      </c>
      <c r="F732">
        <v>2</v>
      </c>
      <c r="G732">
        <v>212.63</v>
      </c>
      <c r="H732" t="s">
        <v>35</v>
      </c>
      <c r="I732" t="s">
        <v>1334</v>
      </c>
      <c r="J732" t="s">
        <v>37</v>
      </c>
      <c r="K732" t="s">
        <v>38</v>
      </c>
      <c r="L732" t="s">
        <v>39</v>
      </c>
      <c r="M732" t="s">
        <v>67</v>
      </c>
      <c r="N732">
        <v>425.26</v>
      </c>
    </row>
    <row r="733" spans="1:14" x14ac:dyDescent="0.35">
      <c r="A733" s="2">
        <v>45607</v>
      </c>
      <c r="B733" t="s">
        <v>1330</v>
      </c>
      <c r="C733" t="s">
        <v>81</v>
      </c>
      <c r="D733" t="s">
        <v>42</v>
      </c>
      <c r="E733" t="s">
        <v>83</v>
      </c>
      <c r="F733">
        <v>1</v>
      </c>
      <c r="G733">
        <v>153.97</v>
      </c>
      <c r="H733" t="s">
        <v>44</v>
      </c>
      <c r="I733" t="s">
        <v>1335</v>
      </c>
      <c r="J733" t="s">
        <v>37</v>
      </c>
      <c r="K733" t="s">
        <v>38</v>
      </c>
      <c r="L733" t="s">
        <v>28</v>
      </c>
      <c r="M733" t="s">
        <v>29</v>
      </c>
      <c r="N733">
        <v>153.97</v>
      </c>
    </row>
    <row r="734" spans="1:14" x14ac:dyDescent="0.35">
      <c r="A734" s="2">
        <v>44972</v>
      </c>
      <c r="B734" t="s">
        <v>1292</v>
      </c>
      <c r="C734" t="s">
        <v>47</v>
      </c>
      <c r="D734" t="s">
        <v>52</v>
      </c>
      <c r="E734" t="s">
        <v>63</v>
      </c>
      <c r="F734">
        <v>10</v>
      </c>
      <c r="G734">
        <v>390.62</v>
      </c>
      <c r="H734" t="s">
        <v>24</v>
      </c>
      <c r="I734" t="s">
        <v>1336</v>
      </c>
      <c r="J734" t="s">
        <v>97</v>
      </c>
      <c r="K734" t="s">
        <v>38</v>
      </c>
      <c r="L734" t="s">
        <v>39</v>
      </c>
      <c r="M734" t="s">
        <v>67</v>
      </c>
      <c r="N734">
        <v>3906.2</v>
      </c>
    </row>
    <row r="735" spans="1:14" x14ac:dyDescent="0.35">
      <c r="A735" s="2">
        <v>45158</v>
      </c>
      <c r="B735" t="s">
        <v>1107</v>
      </c>
      <c r="C735" t="s">
        <v>41</v>
      </c>
      <c r="D735" t="s">
        <v>42</v>
      </c>
      <c r="E735" t="s">
        <v>23</v>
      </c>
      <c r="F735">
        <v>9</v>
      </c>
      <c r="G735">
        <v>378.02</v>
      </c>
      <c r="H735" t="s">
        <v>58</v>
      </c>
      <c r="I735" t="s">
        <v>1337</v>
      </c>
      <c r="J735" t="s">
        <v>55</v>
      </c>
      <c r="K735" t="s">
        <v>27</v>
      </c>
      <c r="L735" t="s">
        <v>39</v>
      </c>
      <c r="M735" t="s">
        <v>101</v>
      </c>
      <c r="N735">
        <v>3402.18</v>
      </c>
    </row>
    <row r="736" spans="1:14" x14ac:dyDescent="0.35">
      <c r="A736" s="2">
        <v>45294</v>
      </c>
      <c r="B736" t="s">
        <v>1338</v>
      </c>
      <c r="C736" t="s">
        <v>71</v>
      </c>
      <c r="D736" t="s">
        <v>22</v>
      </c>
      <c r="E736" t="s">
        <v>92</v>
      </c>
      <c r="F736">
        <v>3</v>
      </c>
      <c r="G736">
        <v>304.35000000000002</v>
      </c>
      <c r="H736" t="s">
        <v>35</v>
      </c>
      <c r="I736" t="s">
        <v>1339</v>
      </c>
      <c r="J736" t="s">
        <v>97</v>
      </c>
      <c r="K736" t="s">
        <v>78</v>
      </c>
      <c r="L736" t="s">
        <v>39</v>
      </c>
      <c r="M736" t="s">
        <v>67</v>
      </c>
      <c r="N736">
        <v>913.05000000000007</v>
      </c>
    </row>
    <row r="737" spans="1:14" x14ac:dyDescent="0.35">
      <c r="A737" s="2">
        <v>45173</v>
      </c>
      <c r="B737" t="s">
        <v>1340</v>
      </c>
      <c r="C737" t="s">
        <v>81</v>
      </c>
      <c r="D737" t="s">
        <v>22</v>
      </c>
      <c r="E737" t="s">
        <v>53</v>
      </c>
      <c r="F737">
        <v>7</v>
      </c>
      <c r="G737">
        <v>8.18</v>
      </c>
      <c r="H737" t="s">
        <v>24</v>
      </c>
      <c r="I737" t="s">
        <v>1341</v>
      </c>
      <c r="J737" t="s">
        <v>97</v>
      </c>
      <c r="K737" t="s">
        <v>60</v>
      </c>
      <c r="L737" t="s">
        <v>39</v>
      </c>
      <c r="M737" t="s">
        <v>29</v>
      </c>
      <c r="N737">
        <v>57.26</v>
      </c>
    </row>
    <row r="738" spans="1:14" x14ac:dyDescent="0.35">
      <c r="A738" s="2">
        <v>45017</v>
      </c>
      <c r="B738" t="s">
        <v>1342</v>
      </c>
      <c r="C738" t="s">
        <v>81</v>
      </c>
      <c r="D738" t="s">
        <v>22</v>
      </c>
      <c r="E738" t="s">
        <v>34</v>
      </c>
      <c r="F738">
        <v>8</v>
      </c>
      <c r="G738">
        <v>372.97</v>
      </c>
      <c r="H738" t="s">
        <v>58</v>
      </c>
      <c r="I738" t="s">
        <v>1343</v>
      </c>
      <c r="J738" t="s">
        <v>94</v>
      </c>
      <c r="K738" t="s">
        <v>78</v>
      </c>
      <c r="L738" t="s">
        <v>39</v>
      </c>
      <c r="M738" t="s">
        <v>79</v>
      </c>
      <c r="N738">
        <v>2983.76</v>
      </c>
    </row>
    <row r="739" spans="1:14" x14ac:dyDescent="0.35">
      <c r="A739" s="2">
        <v>45392</v>
      </c>
      <c r="B739" t="s">
        <v>1344</v>
      </c>
      <c r="C739" t="s">
        <v>41</v>
      </c>
      <c r="D739" t="s">
        <v>22</v>
      </c>
      <c r="E739" t="s">
        <v>43</v>
      </c>
      <c r="F739">
        <v>2</v>
      </c>
      <c r="G739">
        <v>294.79000000000002</v>
      </c>
      <c r="H739" t="s">
        <v>35</v>
      </c>
      <c r="I739" t="s">
        <v>1345</v>
      </c>
      <c r="J739" t="s">
        <v>26</v>
      </c>
      <c r="K739" t="s">
        <v>38</v>
      </c>
      <c r="L739" t="s">
        <v>66</v>
      </c>
      <c r="M739" t="s">
        <v>67</v>
      </c>
      <c r="N739">
        <v>589.58000000000004</v>
      </c>
    </row>
    <row r="740" spans="1:14" x14ac:dyDescent="0.35">
      <c r="A740" s="2">
        <v>45570</v>
      </c>
      <c r="B740" t="s">
        <v>656</v>
      </c>
      <c r="C740" t="s">
        <v>51</v>
      </c>
      <c r="D740" t="s">
        <v>42</v>
      </c>
      <c r="E740" t="s">
        <v>63</v>
      </c>
      <c r="F740">
        <v>4</v>
      </c>
      <c r="G740">
        <v>18.45</v>
      </c>
      <c r="H740" t="s">
        <v>35</v>
      </c>
      <c r="I740" t="s">
        <v>1346</v>
      </c>
      <c r="J740" t="s">
        <v>37</v>
      </c>
      <c r="K740" t="s">
        <v>78</v>
      </c>
      <c r="L740" t="s">
        <v>39</v>
      </c>
      <c r="M740" t="s">
        <v>79</v>
      </c>
      <c r="N740">
        <v>73.8</v>
      </c>
    </row>
    <row r="741" spans="1:14" x14ac:dyDescent="0.35">
      <c r="A741" s="2">
        <v>45405</v>
      </c>
      <c r="B741" t="s">
        <v>1073</v>
      </c>
      <c r="C741" t="s">
        <v>74</v>
      </c>
      <c r="D741" t="s">
        <v>52</v>
      </c>
      <c r="E741" t="s">
        <v>43</v>
      </c>
      <c r="F741">
        <v>9</v>
      </c>
      <c r="G741">
        <v>149.44</v>
      </c>
      <c r="H741" t="s">
        <v>24</v>
      </c>
      <c r="I741" t="s">
        <v>1347</v>
      </c>
      <c r="J741" t="s">
        <v>55</v>
      </c>
      <c r="K741" t="s">
        <v>38</v>
      </c>
      <c r="L741" t="s">
        <v>28</v>
      </c>
      <c r="M741" t="s">
        <v>49</v>
      </c>
      <c r="N741">
        <v>1344.96</v>
      </c>
    </row>
    <row r="742" spans="1:14" x14ac:dyDescent="0.35">
      <c r="A742" s="2">
        <v>45501</v>
      </c>
      <c r="B742" t="s">
        <v>228</v>
      </c>
      <c r="C742" t="s">
        <v>81</v>
      </c>
      <c r="D742" t="s">
        <v>52</v>
      </c>
      <c r="E742" t="s">
        <v>83</v>
      </c>
      <c r="F742">
        <v>1</v>
      </c>
      <c r="G742">
        <v>142.55000000000001</v>
      </c>
      <c r="H742" t="s">
        <v>35</v>
      </c>
      <c r="I742" t="s">
        <v>1348</v>
      </c>
      <c r="J742" t="s">
        <v>97</v>
      </c>
      <c r="K742" t="s">
        <v>27</v>
      </c>
      <c r="L742" t="s">
        <v>39</v>
      </c>
      <c r="M742" t="s">
        <v>101</v>
      </c>
      <c r="N742">
        <v>142.55000000000001</v>
      </c>
    </row>
    <row r="743" spans="1:14" x14ac:dyDescent="0.35">
      <c r="A743" s="2">
        <v>45004</v>
      </c>
      <c r="B743" t="s">
        <v>1349</v>
      </c>
      <c r="C743" t="s">
        <v>51</v>
      </c>
      <c r="D743" t="s">
        <v>52</v>
      </c>
      <c r="E743" t="s">
        <v>92</v>
      </c>
      <c r="F743">
        <v>2</v>
      </c>
      <c r="G743">
        <v>90.59</v>
      </c>
      <c r="H743" t="s">
        <v>44</v>
      </c>
      <c r="I743" t="s">
        <v>1350</v>
      </c>
      <c r="J743" t="s">
        <v>37</v>
      </c>
      <c r="K743" t="s">
        <v>78</v>
      </c>
      <c r="L743" t="s">
        <v>66</v>
      </c>
      <c r="M743" t="s">
        <v>101</v>
      </c>
      <c r="N743">
        <v>181.18</v>
      </c>
    </row>
    <row r="744" spans="1:14" x14ac:dyDescent="0.35">
      <c r="A744" s="2">
        <v>45742</v>
      </c>
      <c r="B744" t="s">
        <v>1351</v>
      </c>
      <c r="C744" t="s">
        <v>71</v>
      </c>
      <c r="D744" t="s">
        <v>42</v>
      </c>
      <c r="E744" t="s">
        <v>53</v>
      </c>
      <c r="F744">
        <v>1</v>
      </c>
      <c r="G744">
        <v>295.75</v>
      </c>
      <c r="H744" t="s">
        <v>24</v>
      </c>
      <c r="I744" t="s">
        <v>1352</v>
      </c>
      <c r="J744" t="s">
        <v>97</v>
      </c>
      <c r="K744" t="s">
        <v>78</v>
      </c>
      <c r="L744" t="s">
        <v>28</v>
      </c>
      <c r="M744" t="s">
        <v>67</v>
      </c>
      <c r="N744">
        <v>295.75</v>
      </c>
    </row>
    <row r="745" spans="1:14" x14ac:dyDescent="0.35">
      <c r="A745" s="2">
        <v>45377</v>
      </c>
      <c r="B745" t="s">
        <v>1062</v>
      </c>
      <c r="C745" t="s">
        <v>21</v>
      </c>
      <c r="D745" t="s">
        <v>33</v>
      </c>
      <c r="E745" t="s">
        <v>63</v>
      </c>
      <c r="F745">
        <v>4</v>
      </c>
      <c r="G745">
        <v>289.32</v>
      </c>
      <c r="H745" t="s">
        <v>24</v>
      </c>
      <c r="I745" t="s">
        <v>1353</v>
      </c>
      <c r="J745" t="s">
        <v>55</v>
      </c>
      <c r="K745" t="s">
        <v>60</v>
      </c>
      <c r="L745" t="s">
        <v>28</v>
      </c>
      <c r="M745" t="s">
        <v>49</v>
      </c>
      <c r="N745">
        <v>1157.28</v>
      </c>
    </row>
    <row r="746" spans="1:14" x14ac:dyDescent="0.35">
      <c r="A746" s="2">
        <v>45683</v>
      </c>
      <c r="B746" t="s">
        <v>1224</v>
      </c>
      <c r="C746" t="s">
        <v>89</v>
      </c>
      <c r="D746" t="s">
        <v>52</v>
      </c>
      <c r="E746" t="s">
        <v>34</v>
      </c>
      <c r="F746">
        <v>5</v>
      </c>
      <c r="G746">
        <v>44.32</v>
      </c>
      <c r="H746" t="s">
        <v>58</v>
      </c>
      <c r="I746" t="s">
        <v>1354</v>
      </c>
      <c r="J746" t="s">
        <v>97</v>
      </c>
      <c r="K746" t="s">
        <v>27</v>
      </c>
      <c r="L746" t="s">
        <v>28</v>
      </c>
      <c r="M746" t="s">
        <v>101</v>
      </c>
      <c r="N746">
        <v>221.6</v>
      </c>
    </row>
    <row r="747" spans="1:14" x14ac:dyDescent="0.35">
      <c r="A747" s="2">
        <v>45739</v>
      </c>
      <c r="B747" t="s">
        <v>1355</v>
      </c>
      <c r="C747" t="s">
        <v>106</v>
      </c>
      <c r="D747" t="s">
        <v>33</v>
      </c>
      <c r="E747" t="s">
        <v>92</v>
      </c>
      <c r="F747">
        <v>8</v>
      </c>
      <c r="G747">
        <v>37.5</v>
      </c>
      <c r="H747" t="s">
        <v>44</v>
      </c>
      <c r="I747" t="s">
        <v>1356</v>
      </c>
      <c r="J747" t="s">
        <v>37</v>
      </c>
      <c r="K747" t="s">
        <v>60</v>
      </c>
      <c r="L747" t="s">
        <v>28</v>
      </c>
      <c r="M747" t="s">
        <v>101</v>
      </c>
      <c r="N747">
        <v>300</v>
      </c>
    </row>
    <row r="748" spans="1:14" x14ac:dyDescent="0.35">
      <c r="A748" s="2">
        <v>45169</v>
      </c>
      <c r="B748" t="s">
        <v>1314</v>
      </c>
      <c r="C748" t="s">
        <v>86</v>
      </c>
      <c r="D748" t="s">
        <v>42</v>
      </c>
      <c r="E748" t="s">
        <v>53</v>
      </c>
      <c r="F748">
        <v>4</v>
      </c>
      <c r="G748">
        <v>252.56</v>
      </c>
      <c r="H748" t="s">
        <v>58</v>
      </c>
      <c r="I748" t="s">
        <v>1357</v>
      </c>
      <c r="J748" t="s">
        <v>37</v>
      </c>
      <c r="K748" t="s">
        <v>27</v>
      </c>
      <c r="L748" t="s">
        <v>28</v>
      </c>
      <c r="M748" t="s">
        <v>56</v>
      </c>
      <c r="N748">
        <v>1010.24</v>
      </c>
    </row>
    <row r="749" spans="1:14" x14ac:dyDescent="0.35">
      <c r="A749" s="2">
        <v>45029</v>
      </c>
      <c r="B749" t="s">
        <v>1358</v>
      </c>
      <c r="C749" t="s">
        <v>71</v>
      </c>
      <c r="D749" t="s">
        <v>52</v>
      </c>
      <c r="E749" t="s">
        <v>63</v>
      </c>
      <c r="F749">
        <v>6</v>
      </c>
      <c r="G749">
        <v>367.26</v>
      </c>
      <c r="H749" t="s">
        <v>44</v>
      </c>
      <c r="I749" t="s">
        <v>1359</v>
      </c>
      <c r="J749" t="s">
        <v>97</v>
      </c>
      <c r="K749" t="s">
        <v>60</v>
      </c>
      <c r="L749" t="s">
        <v>39</v>
      </c>
      <c r="M749" t="s">
        <v>56</v>
      </c>
      <c r="N749">
        <v>2203.56</v>
      </c>
    </row>
    <row r="750" spans="1:14" x14ac:dyDescent="0.35">
      <c r="A750" s="2">
        <v>45000</v>
      </c>
      <c r="B750" t="s">
        <v>1004</v>
      </c>
      <c r="C750" t="s">
        <v>41</v>
      </c>
      <c r="D750" t="s">
        <v>52</v>
      </c>
      <c r="E750" t="s">
        <v>23</v>
      </c>
      <c r="F750">
        <v>7</v>
      </c>
      <c r="G750">
        <v>46.54</v>
      </c>
      <c r="H750" t="s">
        <v>44</v>
      </c>
      <c r="I750" t="s">
        <v>1360</v>
      </c>
      <c r="J750" t="s">
        <v>55</v>
      </c>
      <c r="K750" t="s">
        <v>38</v>
      </c>
      <c r="L750" t="s">
        <v>66</v>
      </c>
      <c r="M750" t="s">
        <v>67</v>
      </c>
      <c r="N750">
        <v>325.77999999999997</v>
      </c>
    </row>
    <row r="751" spans="1:14" x14ac:dyDescent="0.35">
      <c r="A751" s="2">
        <v>45441</v>
      </c>
      <c r="B751" t="s">
        <v>1361</v>
      </c>
      <c r="C751" t="s">
        <v>89</v>
      </c>
      <c r="D751" t="s">
        <v>52</v>
      </c>
      <c r="E751" t="s">
        <v>63</v>
      </c>
      <c r="F751">
        <v>7</v>
      </c>
      <c r="G751">
        <v>250.76</v>
      </c>
      <c r="H751" t="s">
        <v>64</v>
      </c>
      <c r="I751" t="s">
        <v>1362</v>
      </c>
      <c r="J751" t="s">
        <v>26</v>
      </c>
      <c r="K751" t="s">
        <v>78</v>
      </c>
      <c r="L751" t="s">
        <v>39</v>
      </c>
      <c r="M751" t="s">
        <v>67</v>
      </c>
      <c r="N751">
        <v>1755.32</v>
      </c>
    </row>
    <row r="752" spans="1:14" x14ac:dyDescent="0.35">
      <c r="A752" s="2">
        <v>45064</v>
      </c>
      <c r="B752" t="s">
        <v>1363</v>
      </c>
      <c r="C752" t="s">
        <v>81</v>
      </c>
      <c r="D752" t="s">
        <v>52</v>
      </c>
      <c r="E752" t="s">
        <v>63</v>
      </c>
      <c r="F752">
        <v>6</v>
      </c>
      <c r="G752">
        <v>359.48</v>
      </c>
      <c r="H752" t="s">
        <v>64</v>
      </c>
      <c r="I752" t="s">
        <v>1364</v>
      </c>
      <c r="J752" t="s">
        <v>37</v>
      </c>
      <c r="K752" t="s">
        <v>78</v>
      </c>
      <c r="L752" t="s">
        <v>28</v>
      </c>
      <c r="M752" t="s">
        <v>56</v>
      </c>
      <c r="N752">
        <v>2156.88</v>
      </c>
    </row>
    <row r="753" spans="1:14" x14ac:dyDescent="0.35">
      <c r="A753" s="2">
        <v>45592</v>
      </c>
      <c r="B753" t="s">
        <v>187</v>
      </c>
      <c r="C753" t="s">
        <v>74</v>
      </c>
      <c r="D753" t="s">
        <v>33</v>
      </c>
      <c r="E753" t="s">
        <v>23</v>
      </c>
      <c r="F753">
        <v>10</v>
      </c>
      <c r="G753">
        <v>295.74</v>
      </c>
      <c r="H753" t="s">
        <v>35</v>
      </c>
      <c r="I753" t="s">
        <v>1365</v>
      </c>
      <c r="J753" t="s">
        <v>26</v>
      </c>
      <c r="K753" t="s">
        <v>60</v>
      </c>
      <c r="L753" t="s">
        <v>28</v>
      </c>
      <c r="M753" t="s">
        <v>101</v>
      </c>
      <c r="N753">
        <v>2957.4</v>
      </c>
    </row>
    <row r="754" spans="1:14" x14ac:dyDescent="0.35">
      <c r="A754" s="2">
        <v>45355</v>
      </c>
      <c r="B754" t="s">
        <v>208</v>
      </c>
      <c r="C754" t="s">
        <v>47</v>
      </c>
      <c r="D754" t="s">
        <v>52</v>
      </c>
      <c r="E754" t="s">
        <v>83</v>
      </c>
      <c r="F754">
        <v>7</v>
      </c>
      <c r="G754">
        <v>383.18</v>
      </c>
      <c r="H754" t="s">
        <v>35</v>
      </c>
      <c r="I754" t="s">
        <v>1366</v>
      </c>
      <c r="J754" t="s">
        <v>37</v>
      </c>
      <c r="K754" t="s">
        <v>38</v>
      </c>
      <c r="L754" t="s">
        <v>39</v>
      </c>
      <c r="M754" t="s">
        <v>29</v>
      </c>
      <c r="N754">
        <v>2682.26</v>
      </c>
    </row>
    <row r="755" spans="1:14" x14ac:dyDescent="0.35">
      <c r="A755" s="2">
        <v>45256</v>
      </c>
      <c r="B755" t="s">
        <v>214</v>
      </c>
      <c r="C755" t="s">
        <v>21</v>
      </c>
      <c r="D755" t="s">
        <v>33</v>
      </c>
      <c r="E755" t="s">
        <v>63</v>
      </c>
      <c r="F755">
        <v>6</v>
      </c>
      <c r="G755">
        <v>267.88</v>
      </c>
      <c r="H755" t="s">
        <v>35</v>
      </c>
      <c r="I755" t="s">
        <v>1367</v>
      </c>
      <c r="J755" t="s">
        <v>94</v>
      </c>
      <c r="K755" t="s">
        <v>27</v>
      </c>
      <c r="L755" t="s">
        <v>28</v>
      </c>
      <c r="M755" t="s">
        <v>101</v>
      </c>
      <c r="N755">
        <v>1607.28</v>
      </c>
    </row>
    <row r="756" spans="1:14" x14ac:dyDescent="0.35">
      <c r="A756" s="2">
        <v>45199</v>
      </c>
      <c r="B756" t="s">
        <v>743</v>
      </c>
      <c r="C756" t="s">
        <v>47</v>
      </c>
      <c r="D756" t="s">
        <v>33</v>
      </c>
      <c r="E756" t="s">
        <v>34</v>
      </c>
      <c r="F756">
        <v>7</v>
      </c>
      <c r="G756">
        <v>87.98</v>
      </c>
      <c r="H756" t="s">
        <v>35</v>
      </c>
      <c r="I756" t="s">
        <v>1368</v>
      </c>
      <c r="J756" t="s">
        <v>55</v>
      </c>
      <c r="K756" t="s">
        <v>60</v>
      </c>
      <c r="L756" t="s">
        <v>39</v>
      </c>
      <c r="M756" t="s">
        <v>79</v>
      </c>
      <c r="N756">
        <v>615.86</v>
      </c>
    </row>
    <row r="757" spans="1:14" x14ac:dyDescent="0.35">
      <c r="A757" s="2">
        <v>45798</v>
      </c>
      <c r="B757" t="s">
        <v>1369</v>
      </c>
      <c r="C757" t="s">
        <v>81</v>
      </c>
      <c r="D757" t="s">
        <v>42</v>
      </c>
      <c r="E757" t="s">
        <v>63</v>
      </c>
      <c r="F757">
        <v>1</v>
      </c>
      <c r="G757">
        <v>324.91000000000003</v>
      </c>
      <c r="H757" t="s">
        <v>24</v>
      </c>
      <c r="I757" t="s">
        <v>1370</v>
      </c>
      <c r="J757" t="s">
        <v>94</v>
      </c>
      <c r="K757" t="s">
        <v>38</v>
      </c>
      <c r="L757" t="s">
        <v>28</v>
      </c>
      <c r="M757" t="s">
        <v>67</v>
      </c>
      <c r="N757">
        <v>324.91000000000003</v>
      </c>
    </row>
    <row r="758" spans="1:14" x14ac:dyDescent="0.35">
      <c r="A758" s="2">
        <v>45207</v>
      </c>
      <c r="B758" t="s">
        <v>1371</v>
      </c>
      <c r="C758" t="s">
        <v>74</v>
      </c>
      <c r="D758" t="s">
        <v>33</v>
      </c>
      <c r="E758" t="s">
        <v>23</v>
      </c>
      <c r="F758">
        <v>10</v>
      </c>
      <c r="G758">
        <v>51.6</v>
      </c>
      <c r="H758" t="s">
        <v>24</v>
      </c>
      <c r="I758" t="s">
        <v>1372</v>
      </c>
      <c r="J758" t="s">
        <v>55</v>
      </c>
      <c r="K758" t="s">
        <v>27</v>
      </c>
      <c r="L758" t="s">
        <v>39</v>
      </c>
      <c r="M758" t="s">
        <v>101</v>
      </c>
      <c r="N758">
        <v>516</v>
      </c>
    </row>
    <row r="759" spans="1:14" x14ac:dyDescent="0.35">
      <c r="A759" s="2">
        <v>45782</v>
      </c>
      <c r="B759" t="s">
        <v>254</v>
      </c>
      <c r="C759" t="s">
        <v>86</v>
      </c>
      <c r="D759" t="s">
        <v>42</v>
      </c>
      <c r="E759" t="s">
        <v>34</v>
      </c>
      <c r="F759">
        <v>6</v>
      </c>
      <c r="G759">
        <v>124.48</v>
      </c>
      <c r="H759" t="s">
        <v>64</v>
      </c>
      <c r="I759" t="s">
        <v>1373</v>
      </c>
      <c r="J759" t="s">
        <v>55</v>
      </c>
      <c r="K759" t="s">
        <v>78</v>
      </c>
      <c r="L759" t="s">
        <v>66</v>
      </c>
      <c r="M759" t="s">
        <v>29</v>
      </c>
      <c r="N759">
        <v>746.88</v>
      </c>
    </row>
    <row r="760" spans="1:14" x14ac:dyDescent="0.35">
      <c r="A760" s="2">
        <v>45214</v>
      </c>
      <c r="B760" t="s">
        <v>1374</v>
      </c>
      <c r="C760" t="s">
        <v>21</v>
      </c>
      <c r="D760" t="s">
        <v>42</v>
      </c>
      <c r="E760" t="s">
        <v>34</v>
      </c>
      <c r="F760">
        <v>1</v>
      </c>
      <c r="G760">
        <v>388.96</v>
      </c>
      <c r="H760" t="s">
        <v>58</v>
      </c>
      <c r="I760" t="s">
        <v>1375</v>
      </c>
      <c r="J760" t="s">
        <v>97</v>
      </c>
      <c r="K760" t="s">
        <v>78</v>
      </c>
      <c r="L760" t="s">
        <v>39</v>
      </c>
      <c r="M760" t="s">
        <v>101</v>
      </c>
      <c r="N760">
        <v>388.96</v>
      </c>
    </row>
    <row r="761" spans="1:14" x14ac:dyDescent="0.35">
      <c r="A761" s="2">
        <v>45177</v>
      </c>
      <c r="B761" t="s">
        <v>1376</v>
      </c>
      <c r="C761" t="s">
        <v>51</v>
      </c>
      <c r="D761" t="s">
        <v>52</v>
      </c>
      <c r="E761" t="s">
        <v>23</v>
      </c>
      <c r="F761">
        <v>3</v>
      </c>
      <c r="G761">
        <v>94.78</v>
      </c>
      <c r="H761" t="s">
        <v>44</v>
      </c>
      <c r="I761" t="s">
        <v>1377</v>
      </c>
      <c r="J761" t="s">
        <v>94</v>
      </c>
      <c r="K761" t="s">
        <v>78</v>
      </c>
      <c r="L761" t="s">
        <v>28</v>
      </c>
      <c r="M761" t="s">
        <v>61</v>
      </c>
      <c r="N761">
        <v>284.33999999999997</v>
      </c>
    </row>
    <row r="762" spans="1:14" x14ac:dyDescent="0.35">
      <c r="A762" s="2">
        <v>45605</v>
      </c>
      <c r="B762" t="s">
        <v>743</v>
      </c>
      <c r="C762" t="s">
        <v>74</v>
      </c>
      <c r="D762" t="s">
        <v>52</v>
      </c>
      <c r="E762" t="s">
        <v>83</v>
      </c>
      <c r="F762">
        <v>8</v>
      </c>
      <c r="G762">
        <v>229.52</v>
      </c>
      <c r="H762" t="s">
        <v>58</v>
      </c>
      <c r="I762" t="s">
        <v>1378</v>
      </c>
      <c r="J762" t="s">
        <v>37</v>
      </c>
      <c r="K762" t="s">
        <v>38</v>
      </c>
      <c r="L762" t="s">
        <v>39</v>
      </c>
      <c r="M762" t="s">
        <v>79</v>
      </c>
      <c r="N762">
        <v>1836.16</v>
      </c>
    </row>
    <row r="763" spans="1:14" x14ac:dyDescent="0.35">
      <c r="A763" s="2">
        <v>45539</v>
      </c>
      <c r="B763" t="s">
        <v>735</v>
      </c>
      <c r="C763" t="s">
        <v>71</v>
      </c>
      <c r="D763" t="s">
        <v>22</v>
      </c>
      <c r="E763" t="s">
        <v>43</v>
      </c>
      <c r="F763">
        <v>8</v>
      </c>
      <c r="G763">
        <v>270.39999999999998</v>
      </c>
      <c r="H763" t="s">
        <v>35</v>
      </c>
      <c r="I763" t="s">
        <v>1379</v>
      </c>
      <c r="J763" t="s">
        <v>37</v>
      </c>
      <c r="K763" t="s">
        <v>78</v>
      </c>
      <c r="L763" t="s">
        <v>66</v>
      </c>
      <c r="M763" t="s">
        <v>67</v>
      </c>
      <c r="N763">
        <v>2163.1999999999998</v>
      </c>
    </row>
    <row r="764" spans="1:14" x14ac:dyDescent="0.35">
      <c r="A764" s="2">
        <v>45206</v>
      </c>
      <c r="B764" t="s">
        <v>925</v>
      </c>
      <c r="C764" t="s">
        <v>106</v>
      </c>
      <c r="D764" t="s">
        <v>52</v>
      </c>
      <c r="E764" t="s">
        <v>23</v>
      </c>
      <c r="F764">
        <v>5</v>
      </c>
      <c r="G764">
        <v>252.4</v>
      </c>
      <c r="H764" t="s">
        <v>58</v>
      </c>
      <c r="I764" t="s">
        <v>1380</v>
      </c>
      <c r="J764" t="s">
        <v>26</v>
      </c>
      <c r="K764" t="s">
        <v>78</v>
      </c>
      <c r="L764" t="s">
        <v>39</v>
      </c>
      <c r="M764" t="s">
        <v>79</v>
      </c>
      <c r="N764">
        <v>1262</v>
      </c>
    </row>
    <row r="765" spans="1:14" x14ac:dyDescent="0.35">
      <c r="A765" s="2">
        <v>45554</v>
      </c>
      <c r="B765" t="s">
        <v>1381</v>
      </c>
      <c r="C765" t="s">
        <v>51</v>
      </c>
      <c r="D765" t="s">
        <v>33</v>
      </c>
      <c r="E765" t="s">
        <v>23</v>
      </c>
      <c r="F765">
        <v>1</v>
      </c>
      <c r="G765">
        <v>296.26</v>
      </c>
      <c r="H765" t="s">
        <v>64</v>
      </c>
      <c r="I765" t="s">
        <v>1382</v>
      </c>
      <c r="J765" t="s">
        <v>55</v>
      </c>
      <c r="K765" t="s">
        <v>27</v>
      </c>
      <c r="L765" t="s">
        <v>66</v>
      </c>
      <c r="M765" t="s">
        <v>56</v>
      </c>
      <c r="N765">
        <v>296.26</v>
      </c>
    </row>
    <row r="766" spans="1:14" x14ac:dyDescent="0.35">
      <c r="A766" s="2">
        <v>45609</v>
      </c>
      <c r="B766" t="s">
        <v>121</v>
      </c>
      <c r="C766" t="s">
        <v>81</v>
      </c>
      <c r="D766" t="s">
        <v>33</v>
      </c>
      <c r="E766" t="s">
        <v>63</v>
      </c>
      <c r="F766">
        <v>8</v>
      </c>
      <c r="G766">
        <v>368.79</v>
      </c>
      <c r="H766" t="s">
        <v>24</v>
      </c>
      <c r="I766" t="s">
        <v>1383</v>
      </c>
      <c r="J766" t="s">
        <v>55</v>
      </c>
      <c r="K766" t="s">
        <v>60</v>
      </c>
      <c r="L766" t="s">
        <v>28</v>
      </c>
      <c r="M766" t="s">
        <v>67</v>
      </c>
      <c r="N766">
        <v>2950.32</v>
      </c>
    </row>
    <row r="767" spans="1:14" x14ac:dyDescent="0.35">
      <c r="A767" s="2">
        <v>45744</v>
      </c>
      <c r="B767" t="s">
        <v>566</v>
      </c>
      <c r="C767" t="s">
        <v>74</v>
      </c>
      <c r="D767" t="s">
        <v>22</v>
      </c>
      <c r="E767" t="s">
        <v>53</v>
      </c>
      <c r="F767">
        <v>9</v>
      </c>
      <c r="G767">
        <v>52.48</v>
      </c>
      <c r="H767" t="s">
        <v>58</v>
      </c>
      <c r="I767" t="s">
        <v>1384</v>
      </c>
      <c r="J767" t="s">
        <v>97</v>
      </c>
      <c r="K767" t="s">
        <v>27</v>
      </c>
      <c r="L767" t="s">
        <v>28</v>
      </c>
      <c r="M767" t="s">
        <v>61</v>
      </c>
      <c r="N767">
        <v>472.32</v>
      </c>
    </row>
    <row r="768" spans="1:14" x14ac:dyDescent="0.35">
      <c r="A768" s="2">
        <v>45832</v>
      </c>
      <c r="B768" t="s">
        <v>815</v>
      </c>
      <c r="C768" t="s">
        <v>86</v>
      </c>
      <c r="D768" t="s">
        <v>42</v>
      </c>
      <c r="E768" t="s">
        <v>53</v>
      </c>
      <c r="F768">
        <v>1</v>
      </c>
      <c r="G768">
        <v>362.13</v>
      </c>
      <c r="H768" t="s">
        <v>35</v>
      </c>
      <c r="I768" t="s">
        <v>1385</v>
      </c>
      <c r="J768" t="s">
        <v>97</v>
      </c>
      <c r="K768" t="s">
        <v>60</v>
      </c>
      <c r="L768" t="s">
        <v>39</v>
      </c>
      <c r="M768" t="s">
        <v>49</v>
      </c>
      <c r="N768">
        <v>362.13</v>
      </c>
    </row>
    <row r="769" spans="1:14" x14ac:dyDescent="0.35">
      <c r="A769" s="2">
        <v>45376</v>
      </c>
      <c r="B769" t="s">
        <v>1386</v>
      </c>
      <c r="C769" t="s">
        <v>89</v>
      </c>
      <c r="D769" t="s">
        <v>22</v>
      </c>
      <c r="E769" t="s">
        <v>53</v>
      </c>
      <c r="F769">
        <v>6</v>
      </c>
      <c r="G769">
        <v>69.209999999999994</v>
      </c>
      <c r="H769" t="s">
        <v>44</v>
      </c>
      <c r="I769" t="s">
        <v>1387</v>
      </c>
      <c r="J769" t="s">
        <v>97</v>
      </c>
      <c r="K769" t="s">
        <v>38</v>
      </c>
      <c r="L769" t="s">
        <v>28</v>
      </c>
      <c r="M769" t="s">
        <v>29</v>
      </c>
      <c r="N769">
        <v>415.26</v>
      </c>
    </row>
    <row r="770" spans="1:14" x14ac:dyDescent="0.35">
      <c r="A770" s="2">
        <v>44981</v>
      </c>
      <c r="B770" t="s">
        <v>1388</v>
      </c>
      <c r="C770" t="s">
        <v>86</v>
      </c>
      <c r="D770" t="s">
        <v>33</v>
      </c>
      <c r="E770" t="s">
        <v>53</v>
      </c>
      <c r="F770">
        <v>6</v>
      </c>
      <c r="G770">
        <v>152.41999999999999</v>
      </c>
      <c r="H770" t="s">
        <v>64</v>
      </c>
      <c r="I770" t="s">
        <v>1389</v>
      </c>
      <c r="J770" t="s">
        <v>37</v>
      </c>
      <c r="K770" t="s">
        <v>60</v>
      </c>
      <c r="L770" t="s">
        <v>28</v>
      </c>
      <c r="M770" t="s">
        <v>61</v>
      </c>
      <c r="N770">
        <v>914.52</v>
      </c>
    </row>
    <row r="771" spans="1:14" x14ac:dyDescent="0.35">
      <c r="A771" s="2">
        <v>45461</v>
      </c>
      <c r="B771" t="s">
        <v>586</v>
      </c>
      <c r="C771" t="s">
        <v>89</v>
      </c>
      <c r="D771" t="s">
        <v>22</v>
      </c>
      <c r="E771" t="s">
        <v>53</v>
      </c>
      <c r="F771">
        <v>10</v>
      </c>
      <c r="G771">
        <v>297.7</v>
      </c>
      <c r="H771" t="s">
        <v>44</v>
      </c>
      <c r="I771" t="s">
        <v>1390</v>
      </c>
      <c r="J771" t="s">
        <v>26</v>
      </c>
      <c r="K771" t="s">
        <v>38</v>
      </c>
      <c r="L771" t="s">
        <v>28</v>
      </c>
      <c r="M771" t="s">
        <v>49</v>
      </c>
      <c r="N771">
        <v>2977</v>
      </c>
    </row>
    <row r="772" spans="1:14" x14ac:dyDescent="0.35">
      <c r="A772" s="2">
        <v>44933</v>
      </c>
      <c r="B772" t="s">
        <v>558</v>
      </c>
      <c r="C772" t="s">
        <v>74</v>
      </c>
      <c r="D772" t="s">
        <v>52</v>
      </c>
      <c r="E772" t="s">
        <v>43</v>
      </c>
      <c r="F772">
        <v>3</v>
      </c>
      <c r="G772">
        <v>53.9</v>
      </c>
      <c r="H772" t="s">
        <v>35</v>
      </c>
      <c r="I772" t="s">
        <v>1391</v>
      </c>
      <c r="J772" t="s">
        <v>37</v>
      </c>
      <c r="K772" t="s">
        <v>27</v>
      </c>
      <c r="L772" t="s">
        <v>39</v>
      </c>
      <c r="M772" t="s">
        <v>79</v>
      </c>
      <c r="N772">
        <v>161.69999999999999</v>
      </c>
    </row>
    <row r="773" spans="1:14" x14ac:dyDescent="0.35">
      <c r="A773" s="2">
        <v>45013</v>
      </c>
      <c r="B773" t="s">
        <v>845</v>
      </c>
      <c r="C773" t="s">
        <v>47</v>
      </c>
      <c r="D773" t="s">
        <v>33</v>
      </c>
      <c r="E773" t="s">
        <v>63</v>
      </c>
      <c r="F773">
        <v>4</v>
      </c>
      <c r="G773">
        <v>10.77</v>
      </c>
      <c r="H773" t="s">
        <v>64</v>
      </c>
      <c r="I773" t="s">
        <v>1392</v>
      </c>
      <c r="J773" t="s">
        <v>37</v>
      </c>
      <c r="K773" t="s">
        <v>60</v>
      </c>
      <c r="L773" t="s">
        <v>28</v>
      </c>
      <c r="M773" t="s">
        <v>49</v>
      </c>
      <c r="N773">
        <v>43.08</v>
      </c>
    </row>
    <row r="774" spans="1:14" x14ac:dyDescent="0.35">
      <c r="A774" s="2">
        <v>44991</v>
      </c>
      <c r="B774" t="s">
        <v>1393</v>
      </c>
      <c r="C774" t="s">
        <v>71</v>
      </c>
      <c r="D774" t="s">
        <v>42</v>
      </c>
      <c r="E774" t="s">
        <v>34</v>
      </c>
      <c r="F774">
        <v>4</v>
      </c>
      <c r="G774">
        <v>366.43</v>
      </c>
      <c r="H774" t="s">
        <v>64</v>
      </c>
      <c r="I774" t="s">
        <v>1394</v>
      </c>
      <c r="J774" t="s">
        <v>97</v>
      </c>
      <c r="K774" t="s">
        <v>78</v>
      </c>
      <c r="L774" t="s">
        <v>66</v>
      </c>
      <c r="M774" t="s">
        <v>29</v>
      </c>
      <c r="N774">
        <v>1465.72</v>
      </c>
    </row>
    <row r="775" spans="1:14" x14ac:dyDescent="0.35">
      <c r="A775" s="2">
        <v>45030</v>
      </c>
      <c r="B775" t="s">
        <v>1395</v>
      </c>
      <c r="C775" t="s">
        <v>106</v>
      </c>
      <c r="D775" t="s">
        <v>22</v>
      </c>
      <c r="E775" t="s">
        <v>83</v>
      </c>
      <c r="F775">
        <v>2</v>
      </c>
      <c r="G775">
        <v>210.28</v>
      </c>
      <c r="H775" t="s">
        <v>35</v>
      </c>
      <c r="I775" t="s">
        <v>1396</v>
      </c>
      <c r="J775" t="s">
        <v>97</v>
      </c>
      <c r="K775" t="s">
        <v>38</v>
      </c>
      <c r="L775" t="s">
        <v>28</v>
      </c>
      <c r="M775" t="s">
        <v>61</v>
      </c>
      <c r="N775">
        <v>420.56</v>
      </c>
    </row>
    <row r="776" spans="1:14" x14ac:dyDescent="0.35">
      <c r="A776" s="2">
        <v>45213</v>
      </c>
      <c r="B776" t="s">
        <v>1397</v>
      </c>
      <c r="C776" t="s">
        <v>74</v>
      </c>
      <c r="D776" t="s">
        <v>42</v>
      </c>
      <c r="E776" t="s">
        <v>34</v>
      </c>
      <c r="F776">
        <v>6</v>
      </c>
      <c r="G776">
        <v>258.31</v>
      </c>
      <c r="H776" t="s">
        <v>58</v>
      </c>
      <c r="I776" t="s">
        <v>1398</v>
      </c>
      <c r="J776" t="s">
        <v>97</v>
      </c>
      <c r="K776" t="s">
        <v>78</v>
      </c>
      <c r="L776" t="s">
        <v>39</v>
      </c>
      <c r="M776" t="s">
        <v>79</v>
      </c>
      <c r="N776">
        <v>1549.86</v>
      </c>
    </row>
    <row r="777" spans="1:14" x14ac:dyDescent="0.35">
      <c r="A777" s="2">
        <v>44928</v>
      </c>
      <c r="B777" t="s">
        <v>1244</v>
      </c>
      <c r="C777" t="s">
        <v>81</v>
      </c>
      <c r="D777" t="s">
        <v>33</v>
      </c>
      <c r="E777" t="s">
        <v>53</v>
      </c>
      <c r="F777">
        <v>6</v>
      </c>
      <c r="G777">
        <v>395.89</v>
      </c>
      <c r="H777" t="s">
        <v>44</v>
      </c>
      <c r="I777" t="s">
        <v>1399</v>
      </c>
      <c r="J777" t="s">
        <v>37</v>
      </c>
      <c r="K777" t="s">
        <v>38</v>
      </c>
      <c r="L777" t="s">
        <v>28</v>
      </c>
      <c r="M777" t="s">
        <v>29</v>
      </c>
      <c r="N777">
        <v>2375.34</v>
      </c>
    </row>
    <row r="778" spans="1:14" x14ac:dyDescent="0.35">
      <c r="A778" s="2">
        <v>45404</v>
      </c>
      <c r="B778" t="s">
        <v>1400</v>
      </c>
      <c r="C778" t="s">
        <v>81</v>
      </c>
      <c r="D778" t="s">
        <v>22</v>
      </c>
      <c r="E778" t="s">
        <v>23</v>
      </c>
      <c r="F778">
        <v>3</v>
      </c>
      <c r="G778">
        <v>385.34</v>
      </c>
      <c r="H778" t="s">
        <v>58</v>
      </c>
      <c r="I778" t="s">
        <v>1401</v>
      </c>
      <c r="J778" t="s">
        <v>94</v>
      </c>
      <c r="K778" t="s">
        <v>60</v>
      </c>
      <c r="L778" t="s">
        <v>28</v>
      </c>
      <c r="M778" t="s">
        <v>29</v>
      </c>
      <c r="N778">
        <v>1156.02</v>
      </c>
    </row>
    <row r="779" spans="1:14" x14ac:dyDescent="0.35">
      <c r="A779" s="2">
        <v>45193</v>
      </c>
      <c r="B779" t="s">
        <v>252</v>
      </c>
      <c r="C779" t="s">
        <v>21</v>
      </c>
      <c r="D779" t="s">
        <v>22</v>
      </c>
      <c r="E779" t="s">
        <v>34</v>
      </c>
      <c r="F779">
        <v>5</v>
      </c>
      <c r="G779">
        <v>188.3</v>
      </c>
      <c r="H779" t="s">
        <v>58</v>
      </c>
      <c r="I779" t="s">
        <v>1402</v>
      </c>
      <c r="J779" t="s">
        <v>26</v>
      </c>
      <c r="K779" t="s">
        <v>60</v>
      </c>
      <c r="L779" t="s">
        <v>39</v>
      </c>
      <c r="M779" t="s">
        <v>101</v>
      </c>
      <c r="N779">
        <v>941.5</v>
      </c>
    </row>
    <row r="780" spans="1:14" x14ac:dyDescent="0.35">
      <c r="A780" s="2">
        <v>45230</v>
      </c>
      <c r="B780" t="s">
        <v>160</v>
      </c>
      <c r="C780" t="s">
        <v>47</v>
      </c>
      <c r="D780" t="s">
        <v>33</v>
      </c>
      <c r="E780" t="s">
        <v>83</v>
      </c>
      <c r="F780">
        <v>6</v>
      </c>
      <c r="G780">
        <v>187.42</v>
      </c>
      <c r="H780" t="s">
        <v>64</v>
      </c>
      <c r="I780" t="s">
        <v>1403</v>
      </c>
      <c r="J780" t="s">
        <v>55</v>
      </c>
      <c r="K780" t="s">
        <v>38</v>
      </c>
      <c r="L780" t="s">
        <v>39</v>
      </c>
      <c r="M780" t="s">
        <v>49</v>
      </c>
      <c r="N780">
        <v>1124.52</v>
      </c>
    </row>
    <row r="781" spans="1:14" x14ac:dyDescent="0.35">
      <c r="A781" s="2">
        <v>45577</v>
      </c>
      <c r="B781" t="s">
        <v>634</v>
      </c>
      <c r="C781" t="s">
        <v>81</v>
      </c>
      <c r="D781" t="s">
        <v>22</v>
      </c>
      <c r="E781" t="s">
        <v>63</v>
      </c>
      <c r="F781">
        <v>1</v>
      </c>
      <c r="G781">
        <v>26.79</v>
      </c>
      <c r="H781" t="s">
        <v>35</v>
      </c>
      <c r="I781" t="s">
        <v>1404</v>
      </c>
      <c r="J781" t="s">
        <v>94</v>
      </c>
      <c r="K781" t="s">
        <v>27</v>
      </c>
      <c r="L781" t="s">
        <v>39</v>
      </c>
      <c r="M781" t="s">
        <v>79</v>
      </c>
      <c r="N781">
        <v>26.79</v>
      </c>
    </row>
    <row r="782" spans="1:14" x14ac:dyDescent="0.35">
      <c r="A782" s="2">
        <v>45626</v>
      </c>
      <c r="B782" t="s">
        <v>1381</v>
      </c>
      <c r="C782" t="s">
        <v>21</v>
      </c>
      <c r="D782" t="s">
        <v>22</v>
      </c>
      <c r="E782" t="s">
        <v>23</v>
      </c>
      <c r="F782">
        <v>6</v>
      </c>
      <c r="G782">
        <v>248.6</v>
      </c>
      <c r="H782" t="s">
        <v>58</v>
      </c>
      <c r="I782" t="s">
        <v>1405</v>
      </c>
      <c r="J782" t="s">
        <v>55</v>
      </c>
      <c r="K782" t="s">
        <v>60</v>
      </c>
      <c r="L782" t="s">
        <v>66</v>
      </c>
      <c r="M782" t="s">
        <v>79</v>
      </c>
      <c r="N782">
        <v>1491.6</v>
      </c>
    </row>
    <row r="783" spans="1:14" x14ac:dyDescent="0.35">
      <c r="A783" s="2">
        <v>45004</v>
      </c>
      <c r="B783" t="s">
        <v>1406</v>
      </c>
      <c r="C783" t="s">
        <v>51</v>
      </c>
      <c r="D783" t="s">
        <v>42</v>
      </c>
      <c r="E783" t="s">
        <v>92</v>
      </c>
      <c r="F783">
        <v>10</v>
      </c>
      <c r="G783">
        <v>307.43</v>
      </c>
      <c r="H783" t="s">
        <v>58</v>
      </c>
      <c r="I783" t="s">
        <v>1407</v>
      </c>
      <c r="J783" t="s">
        <v>97</v>
      </c>
      <c r="K783" t="s">
        <v>78</v>
      </c>
      <c r="L783" t="s">
        <v>28</v>
      </c>
      <c r="M783" t="s">
        <v>101</v>
      </c>
      <c r="N783">
        <v>3074.3</v>
      </c>
    </row>
    <row r="784" spans="1:14" x14ac:dyDescent="0.35">
      <c r="A784" s="2">
        <v>45734</v>
      </c>
      <c r="B784" t="s">
        <v>468</v>
      </c>
      <c r="C784" t="s">
        <v>89</v>
      </c>
      <c r="D784" t="s">
        <v>42</v>
      </c>
      <c r="E784" t="s">
        <v>43</v>
      </c>
      <c r="F784">
        <v>2</v>
      </c>
      <c r="G784">
        <v>37.5</v>
      </c>
      <c r="H784" t="s">
        <v>35</v>
      </c>
      <c r="I784" t="s">
        <v>1408</v>
      </c>
      <c r="J784" t="s">
        <v>94</v>
      </c>
      <c r="K784" t="s">
        <v>60</v>
      </c>
      <c r="L784" t="s">
        <v>66</v>
      </c>
      <c r="M784" t="s">
        <v>49</v>
      </c>
      <c r="N784">
        <v>75</v>
      </c>
    </row>
    <row r="785" spans="1:14" x14ac:dyDescent="0.35">
      <c r="A785" s="2">
        <v>45509</v>
      </c>
      <c r="B785" t="s">
        <v>665</v>
      </c>
      <c r="C785" t="s">
        <v>89</v>
      </c>
      <c r="D785" t="s">
        <v>52</v>
      </c>
      <c r="E785" t="s">
        <v>63</v>
      </c>
      <c r="F785">
        <v>8</v>
      </c>
      <c r="G785">
        <v>90.61</v>
      </c>
      <c r="H785" t="s">
        <v>58</v>
      </c>
      <c r="I785" t="s">
        <v>1409</v>
      </c>
      <c r="J785" t="s">
        <v>94</v>
      </c>
      <c r="K785" t="s">
        <v>27</v>
      </c>
      <c r="L785" t="s">
        <v>28</v>
      </c>
      <c r="M785" t="s">
        <v>29</v>
      </c>
      <c r="N785">
        <v>724.88</v>
      </c>
    </row>
    <row r="786" spans="1:14" x14ac:dyDescent="0.35">
      <c r="A786" s="2">
        <v>44949</v>
      </c>
      <c r="B786" t="s">
        <v>1410</v>
      </c>
      <c r="C786" t="s">
        <v>89</v>
      </c>
      <c r="D786" t="s">
        <v>42</v>
      </c>
      <c r="E786" t="s">
        <v>53</v>
      </c>
      <c r="F786">
        <v>4</v>
      </c>
      <c r="G786">
        <v>362.84</v>
      </c>
      <c r="H786" t="s">
        <v>64</v>
      </c>
      <c r="I786" t="s">
        <v>1411</v>
      </c>
      <c r="J786" t="s">
        <v>55</v>
      </c>
      <c r="K786" t="s">
        <v>27</v>
      </c>
      <c r="L786" t="s">
        <v>66</v>
      </c>
      <c r="M786" t="s">
        <v>29</v>
      </c>
      <c r="N786">
        <v>1451.36</v>
      </c>
    </row>
    <row r="787" spans="1:14" x14ac:dyDescent="0.35">
      <c r="A787" s="2">
        <v>45115</v>
      </c>
      <c r="B787" t="s">
        <v>603</v>
      </c>
      <c r="C787" t="s">
        <v>71</v>
      </c>
      <c r="D787" t="s">
        <v>22</v>
      </c>
      <c r="E787" t="s">
        <v>83</v>
      </c>
      <c r="F787">
        <v>2</v>
      </c>
      <c r="G787">
        <v>54.41</v>
      </c>
      <c r="H787" t="s">
        <v>24</v>
      </c>
      <c r="I787" t="s">
        <v>1412</v>
      </c>
      <c r="J787" t="s">
        <v>97</v>
      </c>
      <c r="K787" t="s">
        <v>38</v>
      </c>
      <c r="L787" t="s">
        <v>66</v>
      </c>
      <c r="M787" t="s">
        <v>79</v>
      </c>
      <c r="N787">
        <v>108.82</v>
      </c>
    </row>
    <row r="788" spans="1:14" x14ac:dyDescent="0.35">
      <c r="A788" s="2">
        <v>45358</v>
      </c>
      <c r="B788" t="s">
        <v>360</v>
      </c>
      <c r="C788" t="s">
        <v>81</v>
      </c>
      <c r="D788" t="s">
        <v>33</v>
      </c>
      <c r="E788" t="s">
        <v>92</v>
      </c>
      <c r="F788">
        <v>2</v>
      </c>
      <c r="G788">
        <v>110.95</v>
      </c>
      <c r="H788" t="s">
        <v>58</v>
      </c>
      <c r="I788" t="s">
        <v>1413</v>
      </c>
      <c r="J788" t="s">
        <v>37</v>
      </c>
      <c r="K788" t="s">
        <v>38</v>
      </c>
      <c r="L788" t="s">
        <v>66</v>
      </c>
      <c r="M788" t="s">
        <v>56</v>
      </c>
      <c r="N788">
        <v>221.9</v>
      </c>
    </row>
    <row r="789" spans="1:14" x14ac:dyDescent="0.35">
      <c r="A789" s="2">
        <v>45251</v>
      </c>
      <c r="B789" t="s">
        <v>486</v>
      </c>
      <c r="C789" t="s">
        <v>41</v>
      </c>
      <c r="D789" t="s">
        <v>33</v>
      </c>
      <c r="E789" t="s">
        <v>92</v>
      </c>
      <c r="F789">
        <v>6</v>
      </c>
      <c r="G789">
        <v>284.02999999999997</v>
      </c>
      <c r="H789" t="s">
        <v>58</v>
      </c>
      <c r="I789" t="s">
        <v>1414</v>
      </c>
      <c r="J789" t="s">
        <v>26</v>
      </c>
      <c r="K789" t="s">
        <v>78</v>
      </c>
      <c r="L789" t="s">
        <v>66</v>
      </c>
      <c r="M789" t="s">
        <v>49</v>
      </c>
      <c r="N789">
        <v>1704.18</v>
      </c>
    </row>
    <row r="790" spans="1:14" x14ac:dyDescent="0.35">
      <c r="A790" s="2">
        <v>45457</v>
      </c>
      <c r="B790" t="s">
        <v>220</v>
      </c>
      <c r="C790" t="s">
        <v>86</v>
      </c>
      <c r="D790" t="s">
        <v>42</v>
      </c>
      <c r="E790" t="s">
        <v>23</v>
      </c>
      <c r="F790">
        <v>3</v>
      </c>
      <c r="G790">
        <v>83.49</v>
      </c>
      <c r="H790" t="s">
        <v>24</v>
      </c>
      <c r="I790" t="s">
        <v>1415</v>
      </c>
      <c r="J790" t="s">
        <v>26</v>
      </c>
      <c r="K790" t="s">
        <v>60</v>
      </c>
      <c r="L790" t="s">
        <v>39</v>
      </c>
      <c r="M790" t="s">
        <v>61</v>
      </c>
      <c r="N790">
        <v>250.47</v>
      </c>
    </row>
    <row r="791" spans="1:14" x14ac:dyDescent="0.35">
      <c r="A791" s="2">
        <v>45080</v>
      </c>
      <c r="B791" t="s">
        <v>112</v>
      </c>
      <c r="C791" t="s">
        <v>51</v>
      </c>
      <c r="D791" t="s">
        <v>22</v>
      </c>
      <c r="E791" t="s">
        <v>83</v>
      </c>
      <c r="F791">
        <v>8</v>
      </c>
      <c r="G791">
        <v>274.38</v>
      </c>
      <c r="H791" t="s">
        <v>64</v>
      </c>
      <c r="I791" t="s">
        <v>1416</v>
      </c>
      <c r="J791" t="s">
        <v>26</v>
      </c>
      <c r="K791" t="s">
        <v>60</v>
      </c>
      <c r="L791" t="s">
        <v>28</v>
      </c>
      <c r="M791" t="s">
        <v>79</v>
      </c>
      <c r="N791">
        <v>2195.04</v>
      </c>
    </row>
    <row r="792" spans="1:14" x14ac:dyDescent="0.35">
      <c r="A792" s="2">
        <v>45700</v>
      </c>
      <c r="B792" t="s">
        <v>1417</v>
      </c>
      <c r="C792" t="s">
        <v>51</v>
      </c>
      <c r="D792" t="s">
        <v>42</v>
      </c>
      <c r="E792" t="s">
        <v>92</v>
      </c>
      <c r="F792">
        <v>5</v>
      </c>
      <c r="G792">
        <v>183.23</v>
      </c>
      <c r="H792" t="s">
        <v>35</v>
      </c>
      <c r="I792" t="s">
        <v>1418</v>
      </c>
      <c r="J792" t="s">
        <v>26</v>
      </c>
      <c r="K792" t="s">
        <v>78</v>
      </c>
      <c r="L792" t="s">
        <v>66</v>
      </c>
      <c r="M792" t="s">
        <v>67</v>
      </c>
      <c r="N792">
        <v>916.15</v>
      </c>
    </row>
    <row r="793" spans="1:14" x14ac:dyDescent="0.35">
      <c r="A793" s="2">
        <v>45454</v>
      </c>
      <c r="B793" t="s">
        <v>1419</v>
      </c>
      <c r="C793" t="s">
        <v>86</v>
      </c>
      <c r="D793" t="s">
        <v>52</v>
      </c>
      <c r="E793" t="s">
        <v>43</v>
      </c>
      <c r="F793">
        <v>2</v>
      </c>
      <c r="G793">
        <v>334.18</v>
      </c>
      <c r="H793" t="s">
        <v>58</v>
      </c>
      <c r="I793" t="s">
        <v>1420</v>
      </c>
      <c r="J793" t="s">
        <v>97</v>
      </c>
      <c r="K793" t="s">
        <v>27</v>
      </c>
      <c r="L793" t="s">
        <v>66</v>
      </c>
      <c r="M793" t="s">
        <v>49</v>
      </c>
      <c r="N793">
        <v>668.36</v>
      </c>
    </row>
    <row r="794" spans="1:14" x14ac:dyDescent="0.35">
      <c r="A794" s="2">
        <v>45270</v>
      </c>
      <c r="B794" t="s">
        <v>1421</v>
      </c>
      <c r="C794" t="s">
        <v>71</v>
      </c>
      <c r="D794" t="s">
        <v>22</v>
      </c>
      <c r="E794" t="s">
        <v>34</v>
      </c>
      <c r="F794">
        <v>9</v>
      </c>
      <c r="G794">
        <v>52.06</v>
      </c>
      <c r="H794" t="s">
        <v>24</v>
      </c>
      <c r="I794" t="s">
        <v>1422</v>
      </c>
      <c r="J794" t="s">
        <v>97</v>
      </c>
      <c r="K794" t="s">
        <v>27</v>
      </c>
      <c r="L794" t="s">
        <v>66</v>
      </c>
      <c r="M794" t="s">
        <v>101</v>
      </c>
      <c r="N794">
        <v>468.54</v>
      </c>
    </row>
    <row r="795" spans="1:14" x14ac:dyDescent="0.35">
      <c r="A795" s="2">
        <v>45254</v>
      </c>
      <c r="B795" t="s">
        <v>1257</v>
      </c>
      <c r="C795" t="s">
        <v>71</v>
      </c>
      <c r="D795" t="s">
        <v>52</v>
      </c>
      <c r="E795" t="s">
        <v>83</v>
      </c>
      <c r="F795">
        <v>7</v>
      </c>
      <c r="G795">
        <v>95.68</v>
      </c>
      <c r="H795" t="s">
        <v>58</v>
      </c>
      <c r="I795" t="s">
        <v>1423</v>
      </c>
      <c r="J795" t="s">
        <v>55</v>
      </c>
      <c r="K795" t="s">
        <v>78</v>
      </c>
      <c r="L795" t="s">
        <v>39</v>
      </c>
      <c r="M795" t="s">
        <v>61</v>
      </c>
      <c r="N795">
        <v>669.76</v>
      </c>
    </row>
    <row r="796" spans="1:14" x14ac:dyDescent="0.35">
      <c r="A796" s="2">
        <v>44938</v>
      </c>
      <c r="B796" t="s">
        <v>1424</v>
      </c>
      <c r="C796" t="s">
        <v>51</v>
      </c>
      <c r="D796" t="s">
        <v>22</v>
      </c>
      <c r="E796" t="s">
        <v>63</v>
      </c>
      <c r="F796">
        <v>3</v>
      </c>
      <c r="G796">
        <v>213.45</v>
      </c>
      <c r="H796" t="s">
        <v>44</v>
      </c>
      <c r="I796" t="s">
        <v>1425</v>
      </c>
      <c r="J796" t="s">
        <v>97</v>
      </c>
      <c r="K796" t="s">
        <v>60</v>
      </c>
      <c r="L796" t="s">
        <v>28</v>
      </c>
      <c r="M796" t="s">
        <v>56</v>
      </c>
      <c r="N796">
        <v>640.34999999999991</v>
      </c>
    </row>
    <row r="797" spans="1:14" x14ac:dyDescent="0.35">
      <c r="A797" s="2">
        <v>45382</v>
      </c>
      <c r="B797" t="s">
        <v>360</v>
      </c>
      <c r="C797" t="s">
        <v>51</v>
      </c>
      <c r="D797" t="s">
        <v>33</v>
      </c>
      <c r="E797" t="s">
        <v>53</v>
      </c>
      <c r="F797">
        <v>6</v>
      </c>
      <c r="G797">
        <v>331.06</v>
      </c>
      <c r="H797" t="s">
        <v>35</v>
      </c>
      <c r="I797" t="s">
        <v>1426</v>
      </c>
      <c r="J797" t="s">
        <v>26</v>
      </c>
      <c r="K797" t="s">
        <v>78</v>
      </c>
      <c r="L797" t="s">
        <v>66</v>
      </c>
      <c r="M797" t="s">
        <v>101</v>
      </c>
      <c r="N797">
        <v>1986.36</v>
      </c>
    </row>
    <row r="798" spans="1:14" x14ac:dyDescent="0.35">
      <c r="A798" s="2">
        <v>45399</v>
      </c>
      <c r="B798" t="s">
        <v>612</v>
      </c>
      <c r="C798" t="s">
        <v>86</v>
      </c>
      <c r="D798" t="s">
        <v>22</v>
      </c>
      <c r="E798" t="s">
        <v>63</v>
      </c>
      <c r="F798">
        <v>4</v>
      </c>
      <c r="G798">
        <v>232.8</v>
      </c>
      <c r="H798" t="s">
        <v>35</v>
      </c>
      <c r="I798" t="s">
        <v>1427</v>
      </c>
      <c r="J798" t="s">
        <v>26</v>
      </c>
      <c r="K798" t="s">
        <v>38</v>
      </c>
      <c r="L798" t="s">
        <v>39</v>
      </c>
      <c r="M798" t="s">
        <v>67</v>
      </c>
      <c r="N798">
        <v>931.2</v>
      </c>
    </row>
    <row r="799" spans="1:14" x14ac:dyDescent="0.35">
      <c r="A799" s="2">
        <v>45481</v>
      </c>
      <c r="B799" t="s">
        <v>137</v>
      </c>
      <c r="C799" t="s">
        <v>71</v>
      </c>
      <c r="D799" t="s">
        <v>42</v>
      </c>
      <c r="E799" t="s">
        <v>83</v>
      </c>
      <c r="F799">
        <v>8</v>
      </c>
      <c r="G799">
        <v>355.36</v>
      </c>
      <c r="H799" t="s">
        <v>64</v>
      </c>
      <c r="I799" t="s">
        <v>1428</v>
      </c>
      <c r="J799" t="s">
        <v>55</v>
      </c>
      <c r="K799" t="s">
        <v>60</v>
      </c>
      <c r="L799" t="s">
        <v>28</v>
      </c>
      <c r="M799" t="s">
        <v>29</v>
      </c>
      <c r="N799">
        <v>2842.88</v>
      </c>
    </row>
    <row r="800" spans="1:14" x14ac:dyDescent="0.35">
      <c r="A800" s="2">
        <v>45410</v>
      </c>
      <c r="B800" t="s">
        <v>564</v>
      </c>
      <c r="C800" t="s">
        <v>89</v>
      </c>
      <c r="D800" t="s">
        <v>52</v>
      </c>
      <c r="E800" t="s">
        <v>43</v>
      </c>
      <c r="F800">
        <v>10</v>
      </c>
      <c r="G800">
        <v>377.3</v>
      </c>
      <c r="H800" t="s">
        <v>44</v>
      </c>
      <c r="I800" t="s">
        <v>1429</v>
      </c>
      <c r="J800" t="s">
        <v>55</v>
      </c>
      <c r="K800" t="s">
        <v>27</v>
      </c>
      <c r="L800" t="s">
        <v>66</v>
      </c>
      <c r="M800" t="s">
        <v>101</v>
      </c>
      <c r="N800">
        <v>3773</v>
      </c>
    </row>
    <row r="801" spans="1:14" x14ac:dyDescent="0.35">
      <c r="A801" s="2">
        <v>45482</v>
      </c>
      <c r="B801" t="s">
        <v>1430</v>
      </c>
      <c r="C801" t="s">
        <v>106</v>
      </c>
      <c r="D801" t="s">
        <v>33</v>
      </c>
      <c r="E801" t="s">
        <v>34</v>
      </c>
      <c r="F801">
        <v>8</v>
      </c>
      <c r="G801">
        <v>330.84</v>
      </c>
      <c r="H801" t="s">
        <v>64</v>
      </c>
      <c r="I801" t="s">
        <v>1431</v>
      </c>
      <c r="J801" t="s">
        <v>26</v>
      </c>
      <c r="K801" t="s">
        <v>27</v>
      </c>
      <c r="L801" t="s">
        <v>39</v>
      </c>
      <c r="M801" t="s">
        <v>49</v>
      </c>
      <c r="N801">
        <v>2646.72</v>
      </c>
    </row>
    <row r="802" spans="1:14" x14ac:dyDescent="0.35">
      <c r="A802" s="2">
        <v>45125</v>
      </c>
      <c r="B802" t="s">
        <v>1154</v>
      </c>
      <c r="C802" t="s">
        <v>86</v>
      </c>
      <c r="D802" t="s">
        <v>42</v>
      </c>
      <c r="E802" t="s">
        <v>43</v>
      </c>
      <c r="F802">
        <v>3</v>
      </c>
      <c r="G802">
        <v>320.89999999999998</v>
      </c>
      <c r="H802" t="s">
        <v>44</v>
      </c>
      <c r="I802" t="s">
        <v>1432</v>
      </c>
      <c r="J802" t="s">
        <v>37</v>
      </c>
      <c r="K802" t="s">
        <v>38</v>
      </c>
      <c r="L802" t="s">
        <v>39</v>
      </c>
      <c r="M802" t="s">
        <v>49</v>
      </c>
      <c r="N802">
        <v>962.69999999999993</v>
      </c>
    </row>
    <row r="803" spans="1:14" x14ac:dyDescent="0.35">
      <c r="A803" s="2">
        <v>45297</v>
      </c>
      <c r="B803" t="s">
        <v>793</v>
      </c>
      <c r="C803" t="s">
        <v>41</v>
      </c>
      <c r="D803" t="s">
        <v>42</v>
      </c>
      <c r="E803" t="s">
        <v>23</v>
      </c>
      <c r="F803">
        <v>6</v>
      </c>
      <c r="G803">
        <v>236.45</v>
      </c>
      <c r="H803" t="s">
        <v>44</v>
      </c>
      <c r="I803" t="s">
        <v>1433</v>
      </c>
      <c r="J803" t="s">
        <v>55</v>
      </c>
      <c r="K803" t="s">
        <v>60</v>
      </c>
      <c r="L803" t="s">
        <v>39</v>
      </c>
      <c r="M803" t="s">
        <v>79</v>
      </c>
      <c r="N803">
        <v>1418.7</v>
      </c>
    </row>
    <row r="804" spans="1:14" x14ac:dyDescent="0.35">
      <c r="A804" s="2">
        <v>45608</v>
      </c>
      <c r="B804" t="s">
        <v>246</v>
      </c>
      <c r="C804" t="s">
        <v>74</v>
      </c>
      <c r="D804" t="s">
        <v>42</v>
      </c>
      <c r="E804" t="s">
        <v>53</v>
      </c>
      <c r="F804">
        <v>7</v>
      </c>
      <c r="G804">
        <v>152.72999999999999</v>
      </c>
      <c r="H804" t="s">
        <v>35</v>
      </c>
      <c r="I804" t="s">
        <v>1434</v>
      </c>
      <c r="J804" t="s">
        <v>26</v>
      </c>
      <c r="K804" t="s">
        <v>38</v>
      </c>
      <c r="L804" t="s">
        <v>39</v>
      </c>
      <c r="M804" t="s">
        <v>49</v>
      </c>
      <c r="N804">
        <v>1069.1099999999999</v>
      </c>
    </row>
    <row r="805" spans="1:14" x14ac:dyDescent="0.35">
      <c r="A805" s="2">
        <v>45658</v>
      </c>
      <c r="B805" t="s">
        <v>1435</v>
      </c>
      <c r="C805" t="s">
        <v>106</v>
      </c>
      <c r="D805" t="s">
        <v>22</v>
      </c>
      <c r="E805" t="s">
        <v>63</v>
      </c>
      <c r="F805">
        <v>5</v>
      </c>
      <c r="G805">
        <v>70.03</v>
      </c>
      <c r="H805" t="s">
        <v>64</v>
      </c>
      <c r="I805" t="s">
        <v>1436</v>
      </c>
      <c r="J805" t="s">
        <v>37</v>
      </c>
      <c r="K805" t="s">
        <v>60</v>
      </c>
      <c r="L805" t="s">
        <v>28</v>
      </c>
      <c r="M805" t="s">
        <v>67</v>
      </c>
      <c r="N805">
        <v>350.15</v>
      </c>
    </row>
    <row r="806" spans="1:14" x14ac:dyDescent="0.35">
      <c r="A806" s="2">
        <v>45395</v>
      </c>
      <c r="B806" t="s">
        <v>1437</v>
      </c>
      <c r="C806" t="s">
        <v>41</v>
      </c>
      <c r="D806" t="s">
        <v>33</v>
      </c>
      <c r="E806" t="s">
        <v>53</v>
      </c>
      <c r="F806">
        <v>9</v>
      </c>
      <c r="G806">
        <v>150.05000000000001</v>
      </c>
      <c r="H806" t="s">
        <v>44</v>
      </c>
      <c r="I806" t="s">
        <v>1438</v>
      </c>
      <c r="J806" t="s">
        <v>26</v>
      </c>
      <c r="K806" t="s">
        <v>60</v>
      </c>
      <c r="L806" t="s">
        <v>28</v>
      </c>
      <c r="M806" t="s">
        <v>79</v>
      </c>
      <c r="N806">
        <v>1350.45</v>
      </c>
    </row>
    <row r="807" spans="1:14" x14ac:dyDescent="0.35">
      <c r="A807" s="2">
        <v>45019</v>
      </c>
      <c r="B807" t="s">
        <v>281</v>
      </c>
      <c r="C807" t="s">
        <v>74</v>
      </c>
      <c r="D807" t="s">
        <v>22</v>
      </c>
      <c r="E807" t="s">
        <v>43</v>
      </c>
      <c r="F807">
        <v>1</v>
      </c>
      <c r="G807">
        <v>91.53</v>
      </c>
      <c r="H807" t="s">
        <v>58</v>
      </c>
      <c r="I807" t="s">
        <v>1439</v>
      </c>
      <c r="J807" t="s">
        <v>37</v>
      </c>
      <c r="K807" t="s">
        <v>60</v>
      </c>
      <c r="L807" t="s">
        <v>66</v>
      </c>
      <c r="M807" t="s">
        <v>29</v>
      </c>
      <c r="N807">
        <v>91.53</v>
      </c>
    </row>
    <row r="808" spans="1:14" x14ac:dyDescent="0.35">
      <c r="A808" s="2">
        <v>44947</v>
      </c>
      <c r="B808" t="s">
        <v>370</v>
      </c>
      <c r="C808" t="s">
        <v>81</v>
      </c>
      <c r="D808" t="s">
        <v>33</v>
      </c>
      <c r="E808" t="s">
        <v>23</v>
      </c>
      <c r="F808">
        <v>4</v>
      </c>
      <c r="G808">
        <v>264.5</v>
      </c>
      <c r="H808" t="s">
        <v>64</v>
      </c>
      <c r="I808" t="s">
        <v>1440</v>
      </c>
      <c r="J808" t="s">
        <v>55</v>
      </c>
      <c r="K808" t="s">
        <v>27</v>
      </c>
      <c r="L808" t="s">
        <v>28</v>
      </c>
      <c r="M808" t="s">
        <v>79</v>
      </c>
      <c r="N808">
        <v>1058</v>
      </c>
    </row>
    <row r="809" spans="1:14" x14ac:dyDescent="0.35">
      <c r="A809" s="2">
        <v>45708</v>
      </c>
      <c r="B809" t="s">
        <v>1441</v>
      </c>
      <c r="C809" t="s">
        <v>74</v>
      </c>
      <c r="D809" t="s">
        <v>42</v>
      </c>
      <c r="E809" t="s">
        <v>92</v>
      </c>
      <c r="F809">
        <v>3</v>
      </c>
      <c r="G809">
        <v>158.85</v>
      </c>
      <c r="H809" t="s">
        <v>24</v>
      </c>
      <c r="I809" t="s">
        <v>1442</v>
      </c>
      <c r="J809" t="s">
        <v>26</v>
      </c>
      <c r="K809" t="s">
        <v>60</v>
      </c>
      <c r="L809" t="s">
        <v>66</v>
      </c>
      <c r="M809" t="s">
        <v>56</v>
      </c>
      <c r="N809">
        <v>476.55</v>
      </c>
    </row>
    <row r="810" spans="1:14" x14ac:dyDescent="0.35">
      <c r="A810" s="2">
        <v>45547</v>
      </c>
      <c r="B810" t="s">
        <v>378</v>
      </c>
      <c r="C810" t="s">
        <v>89</v>
      </c>
      <c r="D810" t="s">
        <v>52</v>
      </c>
      <c r="E810" t="s">
        <v>43</v>
      </c>
      <c r="F810">
        <v>10</v>
      </c>
      <c r="G810">
        <v>78.58</v>
      </c>
      <c r="H810" t="s">
        <v>58</v>
      </c>
      <c r="I810" t="s">
        <v>1443</v>
      </c>
      <c r="J810" t="s">
        <v>97</v>
      </c>
      <c r="K810" t="s">
        <v>60</v>
      </c>
      <c r="L810" t="s">
        <v>66</v>
      </c>
      <c r="M810" t="s">
        <v>56</v>
      </c>
      <c r="N810">
        <v>785.8</v>
      </c>
    </row>
    <row r="811" spans="1:14" x14ac:dyDescent="0.35">
      <c r="A811" s="2">
        <v>45301</v>
      </c>
      <c r="B811" t="s">
        <v>815</v>
      </c>
      <c r="C811" t="s">
        <v>106</v>
      </c>
      <c r="D811" t="s">
        <v>33</v>
      </c>
      <c r="E811" t="s">
        <v>43</v>
      </c>
      <c r="F811">
        <v>10</v>
      </c>
      <c r="G811">
        <v>298.16000000000003</v>
      </c>
      <c r="H811" t="s">
        <v>64</v>
      </c>
      <c r="I811" t="s">
        <v>1444</v>
      </c>
      <c r="J811" t="s">
        <v>37</v>
      </c>
      <c r="K811" t="s">
        <v>78</v>
      </c>
      <c r="L811" t="s">
        <v>39</v>
      </c>
      <c r="M811" t="s">
        <v>67</v>
      </c>
      <c r="N811">
        <v>2981.6</v>
      </c>
    </row>
    <row r="812" spans="1:14" x14ac:dyDescent="0.35">
      <c r="A812" s="2">
        <v>45120</v>
      </c>
      <c r="B812" t="s">
        <v>238</v>
      </c>
      <c r="C812" t="s">
        <v>86</v>
      </c>
      <c r="D812" t="s">
        <v>52</v>
      </c>
      <c r="E812" t="s">
        <v>34</v>
      </c>
      <c r="F812">
        <v>3</v>
      </c>
      <c r="G812">
        <v>339.33</v>
      </c>
      <c r="H812" t="s">
        <v>64</v>
      </c>
      <c r="I812" t="s">
        <v>1445</v>
      </c>
      <c r="J812" t="s">
        <v>55</v>
      </c>
      <c r="K812" t="s">
        <v>78</v>
      </c>
      <c r="L812" t="s">
        <v>39</v>
      </c>
      <c r="M812" t="s">
        <v>56</v>
      </c>
      <c r="N812">
        <v>1017.99</v>
      </c>
    </row>
    <row r="813" spans="1:14" x14ac:dyDescent="0.35">
      <c r="A813" s="2">
        <v>45540</v>
      </c>
      <c r="B813" t="s">
        <v>1446</v>
      </c>
      <c r="C813" t="s">
        <v>71</v>
      </c>
      <c r="D813" t="s">
        <v>52</v>
      </c>
      <c r="E813" t="s">
        <v>23</v>
      </c>
      <c r="F813">
        <v>10</v>
      </c>
      <c r="G813">
        <v>239.02</v>
      </c>
      <c r="H813" t="s">
        <v>44</v>
      </c>
      <c r="I813" t="s">
        <v>1447</v>
      </c>
      <c r="J813" t="s">
        <v>26</v>
      </c>
      <c r="K813" t="s">
        <v>38</v>
      </c>
      <c r="L813" t="s">
        <v>28</v>
      </c>
      <c r="M813" t="s">
        <v>56</v>
      </c>
      <c r="N813">
        <v>2390.1999999999998</v>
      </c>
    </row>
    <row r="814" spans="1:14" x14ac:dyDescent="0.35">
      <c r="A814" s="2">
        <v>45615</v>
      </c>
      <c r="B814" t="s">
        <v>402</v>
      </c>
      <c r="C814" t="s">
        <v>89</v>
      </c>
      <c r="D814" t="s">
        <v>52</v>
      </c>
      <c r="E814" t="s">
        <v>23</v>
      </c>
      <c r="F814">
        <v>6</v>
      </c>
      <c r="G814">
        <v>33.96</v>
      </c>
      <c r="H814" t="s">
        <v>44</v>
      </c>
      <c r="I814" t="s">
        <v>1448</v>
      </c>
      <c r="J814" t="s">
        <v>55</v>
      </c>
      <c r="K814" t="s">
        <v>78</v>
      </c>
      <c r="L814" t="s">
        <v>39</v>
      </c>
      <c r="M814" t="s">
        <v>49</v>
      </c>
      <c r="N814">
        <v>203.76</v>
      </c>
    </row>
    <row r="815" spans="1:14" x14ac:dyDescent="0.35">
      <c r="A815" s="2">
        <v>45760</v>
      </c>
      <c r="B815" t="s">
        <v>370</v>
      </c>
      <c r="C815" t="s">
        <v>47</v>
      </c>
      <c r="D815" t="s">
        <v>33</v>
      </c>
      <c r="E815" t="s">
        <v>23</v>
      </c>
      <c r="F815">
        <v>6</v>
      </c>
      <c r="G815">
        <v>363.2</v>
      </c>
      <c r="H815" t="s">
        <v>64</v>
      </c>
      <c r="I815" t="s">
        <v>1449</v>
      </c>
      <c r="J815" t="s">
        <v>26</v>
      </c>
      <c r="K815" t="s">
        <v>27</v>
      </c>
      <c r="L815" t="s">
        <v>28</v>
      </c>
      <c r="M815" t="s">
        <v>101</v>
      </c>
      <c r="N815">
        <v>2179.1999999999998</v>
      </c>
    </row>
    <row r="816" spans="1:14" x14ac:dyDescent="0.35">
      <c r="A816" s="2">
        <v>44974</v>
      </c>
      <c r="B816" t="s">
        <v>1450</v>
      </c>
      <c r="C816" t="s">
        <v>81</v>
      </c>
      <c r="D816" t="s">
        <v>33</v>
      </c>
      <c r="E816" t="s">
        <v>83</v>
      </c>
      <c r="F816">
        <v>2</v>
      </c>
      <c r="G816">
        <v>219.89</v>
      </c>
      <c r="H816" t="s">
        <v>58</v>
      </c>
      <c r="I816" t="s">
        <v>1451</v>
      </c>
      <c r="J816" t="s">
        <v>94</v>
      </c>
      <c r="K816" t="s">
        <v>27</v>
      </c>
      <c r="L816" t="s">
        <v>28</v>
      </c>
      <c r="M816" t="s">
        <v>61</v>
      </c>
      <c r="N816">
        <v>439.78</v>
      </c>
    </row>
    <row r="817" spans="1:14" x14ac:dyDescent="0.35">
      <c r="A817" s="2">
        <v>45748</v>
      </c>
      <c r="B817" t="s">
        <v>1078</v>
      </c>
      <c r="C817" t="s">
        <v>51</v>
      </c>
      <c r="D817" t="s">
        <v>33</v>
      </c>
      <c r="E817" t="s">
        <v>23</v>
      </c>
      <c r="F817">
        <v>6</v>
      </c>
      <c r="G817">
        <v>78.16</v>
      </c>
      <c r="H817" t="s">
        <v>58</v>
      </c>
      <c r="I817" t="s">
        <v>1452</v>
      </c>
      <c r="J817" t="s">
        <v>94</v>
      </c>
      <c r="K817" t="s">
        <v>27</v>
      </c>
      <c r="L817" t="s">
        <v>28</v>
      </c>
      <c r="M817" t="s">
        <v>49</v>
      </c>
      <c r="N817">
        <v>468.96</v>
      </c>
    </row>
    <row r="818" spans="1:14" x14ac:dyDescent="0.35">
      <c r="A818" s="2">
        <v>45016</v>
      </c>
      <c r="B818" t="s">
        <v>1295</v>
      </c>
      <c r="C818" t="s">
        <v>81</v>
      </c>
      <c r="D818" t="s">
        <v>52</v>
      </c>
      <c r="E818" t="s">
        <v>23</v>
      </c>
      <c r="F818">
        <v>3</v>
      </c>
      <c r="G818">
        <v>26.29</v>
      </c>
      <c r="H818" t="s">
        <v>58</v>
      </c>
      <c r="I818" t="s">
        <v>1453</v>
      </c>
      <c r="J818" t="s">
        <v>55</v>
      </c>
      <c r="K818" t="s">
        <v>78</v>
      </c>
      <c r="L818" t="s">
        <v>28</v>
      </c>
      <c r="M818" t="s">
        <v>61</v>
      </c>
      <c r="N818">
        <v>78.87</v>
      </c>
    </row>
    <row r="819" spans="1:14" x14ac:dyDescent="0.35">
      <c r="A819" s="2">
        <v>45622</v>
      </c>
      <c r="B819" t="s">
        <v>1454</v>
      </c>
      <c r="C819" t="s">
        <v>81</v>
      </c>
      <c r="D819" t="s">
        <v>33</v>
      </c>
      <c r="E819" t="s">
        <v>83</v>
      </c>
      <c r="F819">
        <v>8</v>
      </c>
      <c r="G819">
        <v>30.71</v>
      </c>
      <c r="H819" t="s">
        <v>44</v>
      </c>
      <c r="I819" t="s">
        <v>1455</v>
      </c>
      <c r="J819" t="s">
        <v>26</v>
      </c>
      <c r="K819" t="s">
        <v>78</v>
      </c>
      <c r="L819" t="s">
        <v>39</v>
      </c>
      <c r="M819" t="s">
        <v>49</v>
      </c>
      <c r="N819">
        <v>245.68</v>
      </c>
    </row>
    <row r="820" spans="1:14" x14ac:dyDescent="0.35">
      <c r="A820" s="2">
        <v>45209</v>
      </c>
      <c r="B820" t="s">
        <v>847</v>
      </c>
      <c r="C820" t="s">
        <v>51</v>
      </c>
      <c r="D820" t="s">
        <v>22</v>
      </c>
      <c r="E820" t="s">
        <v>34</v>
      </c>
      <c r="F820">
        <v>7</v>
      </c>
      <c r="G820">
        <v>132.85</v>
      </c>
      <c r="H820" t="s">
        <v>24</v>
      </c>
      <c r="I820" t="s">
        <v>1456</v>
      </c>
      <c r="J820" t="s">
        <v>37</v>
      </c>
      <c r="K820" t="s">
        <v>38</v>
      </c>
      <c r="L820" t="s">
        <v>66</v>
      </c>
      <c r="M820" t="s">
        <v>49</v>
      </c>
      <c r="N820">
        <v>929.94999999999993</v>
      </c>
    </row>
    <row r="821" spans="1:14" x14ac:dyDescent="0.35">
      <c r="A821" s="2">
        <v>45367</v>
      </c>
      <c r="B821" t="s">
        <v>1018</v>
      </c>
      <c r="C821" t="s">
        <v>71</v>
      </c>
      <c r="D821" t="s">
        <v>42</v>
      </c>
      <c r="E821" t="s">
        <v>63</v>
      </c>
      <c r="F821">
        <v>6</v>
      </c>
      <c r="G821">
        <v>263.04000000000002</v>
      </c>
      <c r="H821" t="s">
        <v>58</v>
      </c>
      <c r="I821" t="s">
        <v>1457</v>
      </c>
      <c r="J821" t="s">
        <v>26</v>
      </c>
      <c r="K821" t="s">
        <v>60</v>
      </c>
      <c r="L821" t="s">
        <v>39</v>
      </c>
      <c r="M821" t="s">
        <v>79</v>
      </c>
      <c r="N821">
        <v>1578.24</v>
      </c>
    </row>
    <row r="822" spans="1:14" x14ac:dyDescent="0.35">
      <c r="A822" s="2">
        <v>45561</v>
      </c>
      <c r="B822" t="s">
        <v>1322</v>
      </c>
      <c r="C822" t="s">
        <v>81</v>
      </c>
      <c r="D822" t="s">
        <v>22</v>
      </c>
      <c r="E822" t="s">
        <v>92</v>
      </c>
      <c r="F822">
        <v>10</v>
      </c>
      <c r="G822">
        <v>343.56</v>
      </c>
      <c r="H822" t="s">
        <v>64</v>
      </c>
      <c r="I822" t="s">
        <v>1458</v>
      </c>
      <c r="J822" t="s">
        <v>97</v>
      </c>
      <c r="K822" t="s">
        <v>78</v>
      </c>
      <c r="L822" t="s">
        <v>39</v>
      </c>
      <c r="M822" t="s">
        <v>56</v>
      </c>
      <c r="N822">
        <v>3435.6</v>
      </c>
    </row>
    <row r="823" spans="1:14" x14ac:dyDescent="0.35">
      <c r="A823" s="2">
        <v>45825</v>
      </c>
      <c r="B823" t="s">
        <v>289</v>
      </c>
      <c r="C823" t="s">
        <v>74</v>
      </c>
      <c r="D823" t="s">
        <v>22</v>
      </c>
      <c r="E823" t="s">
        <v>43</v>
      </c>
      <c r="F823">
        <v>1</v>
      </c>
      <c r="G823">
        <v>356.83</v>
      </c>
      <c r="H823" t="s">
        <v>24</v>
      </c>
      <c r="I823" t="s">
        <v>1459</v>
      </c>
      <c r="J823" t="s">
        <v>94</v>
      </c>
      <c r="K823" t="s">
        <v>27</v>
      </c>
      <c r="L823" t="s">
        <v>28</v>
      </c>
      <c r="M823" t="s">
        <v>49</v>
      </c>
      <c r="N823">
        <v>356.83</v>
      </c>
    </row>
    <row r="824" spans="1:14" x14ac:dyDescent="0.35">
      <c r="A824" s="2">
        <v>45770</v>
      </c>
      <c r="B824" t="s">
        <v>566</v>
      </c>
      <c r="C824" t="s">
        <v>81</v>
      </c>
      <c r="D824" t="s">
        <v>33</v>
      </c>
      <c r="E824" t="s">
        <v>83</v>
      </c>
      <c r="F824">
        <v>4</v>
      </c>
      <c r="G824">
        <v>23.58</v>
      </c>
      <c r="H824" t="s">
        <v>44</v>
      </c>
      <c r="I824" t="s">
        <v>1460</v>
      </c>
      <c r="J824" t="s">
        <v>37</v>
      </c>
      <c r="K824" t="s">
        <v>38</v>
      </c>
      <c r="L824" t="s">
        <v>28</v>
      </c>
      <c r="M824" t="s">
        <v>67</v>
      </c>
      <c r="N824">
        <v>94.32</v>
      </c>
    </row>
    <row r="825" spans="1:14" x14ac:dyDescent="0.35">
      <c r="A825" s="2">
        <v>45287</v>
      </c>
      <c r="B825" t="s">
        <v>326</v>
      </c>
      <c r="C825" t="s">
        <v>81</v>
      </c>
      <c r="D825" t="s">
        <v>22</v>
      </c>
      <c r="E825" t="s">
        <v>53</v>
      </c>
      <c r="F825">
        <v>3</v>
      </c>
      <c r="G825">
        <v>125.95</v>
      </c>
      <c r="H825" t="s">
        <v>44</v>
      </c>
      <c r="I825" t="s">
        <v>1461</v>
      </c>
      <c r="J825" t="s">
        <v>37</v>
      </c>
      <c r="K825" t="s">
        <v>78</v>
      </c>
      <c r="L825" t="s">
        <v>28</v>
      </c>
      <c r="M825" t="s">
        <v>67</v>
      </c>
      <c r="N825">
        <v>377.85</v>
      </c>
    </row>
    <row r="826" spans="1:14" x14ac:dyDescent="0.35">
      <c r="A826" s="2">
        <v>44967</v>
      </c>
      <c r="B826" t="s">
        <v>847</v>
      </c>
      <c r="C826" t="s">
        <v>47</v>
      </c>
      <c r="D826" t="s">
        <v>33</v>
      </c>
      <c r="E826" t="s">
        <v>53</v>
      </c>
      <c r="F826">
        <v>5</v>
      </c>
      <c r="G826">
        <v>202.74</v>
      </c>
      <c r="H826" t="s">
        <v>64</v>
      </c>
      <c r="I826" t="s">
        <v>1462</v>
      </c>
      <c r="J826" t="s">
        <v>97</v>
      </c>
      <c r="K826" t="s">
        <v>78</v>
      </c>
      <c r="L826" t="s">
        <v>66</v>
      </c>
      <c r="M826" t="s">
        <v>61</v>
      </c>
      <c r="N826">
        <v>1013.7</v>
      </c>
    </row>
    <row r="827" spans="1:14" x14ac:dyDescent="0.35">
      <c r="A827" s="2">
        <v>45363</v>
      </c>
      <c r="B827" t="s">
        <v>999</v>
      </c>
      <c r="C827" t="s">
        <v>106</v>
      </c>
      <c r="D827" t="s">
        <v>52</v>
      </c>
      <c r="E827" t="s">
        <v>43</v>
      </c>
      <c r="F827">
        <v>3</v>
      </c>
      <c r="G827">
        <v>339.72</v>
      </c>
      <c r="H827" t="s">
        <v>44</v>
      </c>
      <c r="I827" t="s">
        <v>1463</v>
      </c>
      <c r="J827" t="s">
        <v>55</v>
      </c>
      <c r="K827" t="s">
        <v>60</v>
      </c>
      <c r="L827" t="s">
        <v>39</v>
      </c>
      <c r="M827" t="s">
        <v>49</v>
      </c>
      <c r="N827">
        <v>1019.16</v>
      </c>
    </row>
    <row r="828" spans="1:14" x14ac:dyDescent="0.35">
      <c r="A828" s="2">
        <v>45722</v>
      </c>
      <c r="B828" t="s">
        <v>131</v>
      </c>
      <c r="C828" t="s">
        <v>71</v>
      </c>
      <c r="D828" t="s">
        <v>42</v>
      </c>
      <c r="E828" t="s">
        <v>53</v>
      </c>
      <c r="F828">
        <v>8</v>
      </c>
      <c r="G828">
        <v>258.44</v>
      </c>
      <c r="H828" t="s">
        <v>24</v>
      </c>
      <c r="I828" t="s">
        <v>1464</v>
      </c>
      <c r="J828" t="s">
        <v>37</v>
      </c>
      <c r="K828" t="s">
        <v>27</v>
      </c>
      <c r="L828" t="s">
        <v>66</v>
      </c>
      <c r="M828" t="s">
        <v>56</v>
      </c>
      <c r="N828">
        <v>2067.52</v>
      </c>
    </row>
    <row r="829" spans="1:14" x14ac:dyDescent="0.35">
      <c r="A829" s="2">
        <v>45450</v>
      </c>
      <c r="B829" t="s">
        <v>461</v>
      </c>
      <c r="C829" t="s">
        <v>86</v>
      </c>
      <c r="D829" t="s">
        <v>52</v>
      </c>
      <c r="E829" t="s">
        <v>23</v>
      </c>
      <c r="F829">
        <v>7</v>
      </c>
      <c r="G829">
        <v>324.63</v>
      </c>
      <c r="H829" t="s">
        <v>24</v>
      </c>
      <c r="I829" t="s">
        <v>1465</v>
      </c>
      <c r="J829" t="s">
        <v>94</v>
      </c>
      <c r="K829" t="s">
        <v>60</v>
      </c>
      <c r="L829" t="s">
        <v>39</v>
      </c>
      <c r="M829" t="s">
        <v>61</v>
      </c>
      <c r="N829">
        <v>2272.41</v>
      </c>
    </row>
    <row r="830" spans="1:14" x14ac:dyDescent="0.35">
      <c r="A830" s="2">
        <v>45720</v>
      </c>
      <c r="B830" t="s">
        <v>1261</v>
      </c>
      <c r="C830" t="s">
        <v>74</v>
      </c>
      <c r="D830" t="s">
        <v>52</v>
      </c>
      <c r="E830" t="s">
        <v>34</v>
      </c>
      <c r="F830">
        <v>10</v>
      </c>
      <c r="G830">
        <v>218.99</v>
      </c>
      <c r="H830" t="s">
        <v>64</v>
      </c>
      <c r="I830" t="s">
        <v>1466</v>
      </c>
      <c r="J830" t="s">
        <v>26</v>
      </c>
      <c r="K830" t="s">
        <v>60</v>
      </c>
      <c r="L830" t="s">
        <v>39</v>
      </c>
      <c r="M830" t="s">
        <v>49</v>
      </c>
      <c r="N830">
        <v>2189.9</v>
      </c>
    </row>
    <row r="831" spans="1:14" x14ac:dyDescent="0.35">
      <c r="A831" s="2">
        <v>45260</v>
      </c>
      <c r="B831" t="s">
        <v>542</v>
      </c>
      <c r="C831" t="s">
        <v>71</v>
      </c>
      <c r="D831" t="s">
        <v>42</v>
      </c>
      <c r="E831" t="s">
        <v>92</v>
      </c>
      <c r="F831">
        <v>9</v>
      </c>
      <c r="G831">
        <v>304.14</v>
      </c>
      <c r="H831" t="s">
        <v>44</v>
      </c>
      <c r="I831" t="s">
        <v>1467</v>
      </c>
      <c r="J831" t="s">
        <v>97</v>
      </c>
      <c r="K831" t="s">
        <v>27</v>
      </c>
      <c r="L831" t="s">
        <v>66</v>
      </c>
      <c r="M831" t="s">
        <v>56</v>
      </c>
      <c r="N831">
        <v>2737.26</v>
      </c>
    </row>
    <row r="832" spans="1:14" x14ac:dyDescent="0.35">
      <c r="A832" s="2">
        <v>45293</v>
      </c>
      <c r="B832" t="s">
        <v>1221</v>
      </c>
      <c r="C832" t="s">
        <v>21</v>
      </c>
      <c r="D832" t="s">
        <v>33</v>
      </c>
      <c r="E832" t="s">
        <v>43</v>
      </c>
      <c r="F832">
        <v>9</v>
      </c>
      <c r="G832">
        <v>255.06</v>
      </c>
      <c r="H832" t="s">
        <v>58</v>
      </c>
      <c r="I832" t="s">
        <v>1468</v>
      </c>
      <c r="J832" t="s">
        <v>97</v>
      </c>
      <c r="K832" t="s">
        <v>27</v>
      </c>
      <c r="L832" t="s">
        <v>66</v>
      </c>
      <c r="M832" t="s">
        <v>49</v>
      </c>
      <c r="N832">
        <v>2295.54</v>
      </c>
    </row>
    <row r="833" spans="1:14" x14ac:dyDescent="0.35">
      <c r="A833" s="2">
        <v>45567</v>
      </c>
      <c r="B833" t="s">
        <v>1469</v>
      </c>
      <c r="C833" t="s">
        <v>106</v>
      </c>
      <c r="D833" t="s">
        <v>33</v>
      </c>
      <c r="E833" t="s">
        <v>53</v>
      </c>
      <c r="F833">
        <v>4</v>
      </c>
      <c r="G833">
        <v>306.20999999999998</v>
      </c>
      <c r="H833" t="s">
        <v>24</v>
      </c>
      <c r="I833" t="s">
        <v>1470</v>
      </c>
      <c r="J833" t="s">
        <v>94</v>
      </c>
      <c r="K833" t="s">
        <v>27</v>
      </c>
      <c r="L833" t="s">
        <v>28</v>
      </c>
      <c r="M833" t="s">
        <v>67</v>
      </c>
      <c r="N833">
        <v>1224.8399999999999</v>
      </c>
    </row>
    <row r="834" spans="1:14" x14ac:dyDescent="0.35">
      <c r="A834" s="2">
        <v>45473</v>
      </c>
      <c r="B834" t="s">
        <v>108</v>
      </c>
      <c r="C834" t="s">
        <v>89</v>
      </c>
      <c r="D834" t="s">
        <v>52</v>
      </c>
      <c r="E834" t="s">
        <v>34</v>
      </c>
      <c r="F834">
        <v>8</v>
      </c>
      <c r="G834">
        <v>368.84</v>
      </c>
      <c r="H834" t="s">
        <v>44</v>
      </c>
      <c r="I834" t="s">
        <v>1471</v>
      </c>
      <c r="J834" t="s">
        <v>97</v>
      </c>
      <c r="K834" t="s">
        <v>27</v>
      </c>
      <c r="L834" t="s">
        <v>39</v>
      </c>
      <c r="M834" t="s">
        <v>101</v>
      </c>
      <c r="N834">
        <v>2950.72</v>
      </c>
    </row>
    <row r="835" spans="1:14" x14ac:dyDescent="0.35">
      <c r="A835" s="2">
        <v>45687</v>
      </c>
      <c r="B835" t="s">
        <v>1472</v>
      </c>
      <c r="C835" t="s">
        <v>71</v>
      </c>
      <c r="D835" t="s">
        <v>22</v>
      </c>
      <c r="E835" t="s">
        <v>83</v>
      </c>
      <c r="F835">
        <v>1</v>
      </c>
      <c r="G835">
        <v>215.32</v>
      </c>
      <c r="H835" t="s">
        <v>64</v>
      </c>
      <c r="I835" t="s">
        <v>1473</v>
      </c>
      <c r="J835" t="s">
        <v>97</v>
      </c>
      <c r="K835" t="s">
        <v>60</v>
      </c>
      <c r="L835" t="s">
        <v>39</v>
      </c>
      <c r="M835" t="s">
        <v>56</v>
      </c>
      <c r="N835">
        <v>215.32</v>
      </c>
    </row>
    <row r="836" spans="1:14" x14ac:dyDescent="0.35">
      <c r="A836" s="2">
        <v>45595</v>
      </c>
      <c r="B836" t="s">
        <v>1228</v>
      </c>
      <c r="C836" t="s">
        <v>51</v>
      </c>
      <c r="D836" t="s">
        <v>52</v>
      </c>
      <c r="E836" t="s">
        <v>23</v>
      </c>
      <c r="F836">
        <v>10</v>
      </c>
      <c r="G836">
        <v>196.13</v>
      </c>
      <c r="H836" t="s">
        <v>24</v>
      </c>
      <c r="I836" t="s">
        <v>1474</v>
      </c>
      <c r="J836" t="s">
        <v>55</v>
      </c>
      <c r="K836" t="s">
        <v>60</v>
      </c>
      <c r="L836" t="s">
        <v>39</v>
      </c>
      <c r="M836" t="s">
        <v>67</v>
      </c>
      <c r="N836">
        <v>1961.3</v>
      </c>
    </row>
    <row r="837" spans="1:14" x14ac:dyDescent="0.35">
      <c r="A837" s="2">
        <v>45362</v>
      </c>
      <c r="B837" t="s">
        <v>1475</v>
      </c>
      <c r="C837" t="s">
        <v>47</v>
      </c>
      <c r="D837" t="s">
        <v>33</v>
      </c>
      <c r="E837" t="s">
        <v>23</v>
      </c>
      <c r="F837">
        <v>2</v>
      </c>
      <c r="G837">
        <v>135.56</v>
      </c>
      <c r="H837" t="s">
        <v>64</v>
      </c>
      <c r="I837" t="s">
        <v>1476</v>
      </c>
      <c r="J837" t="s">
        <v>97</v>
      </c>
      <c r="K837" t="s">
        <v>78</v>
      </c>
      <c r="L837" t="s">
        <v>39</v>
      </c>
      <c r="M837" t="s">
        <v>29</v>
      </c>
      <c r="N837">
        <v>271.12</v>
      </c>
    </row>
    <row r="838" spans="1:14" x14ac:dyDescent="0.35">
      <c r="A838" s="2">
        <v>45335</v>
      </c>
      <c r="B838" t="s">
        <v>607</v>
      </c>
      <c r="C838" t="s">
        <v>74</v>
      </c>
      <c r="D838" t="s">
        <v>52</v>
      </c>
      <c r="E838" t="s">
        <v>63</v>
      </c>
      <c r="F838">
        <v>7</v>
      </c>
      <c r="G838">
        <v>55.66</v>
      </c>
      <c r="H838" t="s">
        <v>64</v>
      </c>
      <c r="I838" t="s">
        <v>1477</v>
      </c>
      <c r="J838" t="s">
        <v>94</v>
      </c>
      <c r="K838" t="s">
        <v>60</v>
      </c>
      <c r="L838" t="s">
        <v>66</v>
      </c>
      <c r="M838" t="s">
        <v>49</v>
      </c>
      <c r="N838">
        <v>389.62</v>
      </c>
    </row>
    <row r="839" spans="1:14" x14ac:dyDescent="0.35">
      <c r="A839" s="2">
        <v>45579</v>
      </c>
      <c r="B839" t="s">
        <v>1478</v>
      </c>
      <c r="C839" t="s">
        <v>71</v>
      </c>
      <c r="D839" t="s">
        <v>33</v>
      </c>
      <c r="E839" t="s">
        <v>23</v>
      </c>
      <c r="F839">
        <v>6</v>
      </c>
      <c r="G839">
        <v>273.77</v>
      </c>
      <c r="H839" t="s">
        <v>64</v>
      </c>
      <c r="I839" t="s">
        <v>1479</v>
      </c>
      <c r="J839" t="s">
        <v>37</v>
      </c>
      <c r="K839" t="s">
        <v>78</v>
      </c>
      <c r="L839" t="s">
        <v>66</v>
      </c>
      <c r="M839" t="s">
        <v>29</v>
      </c>
      <c r="N839">
        <v>1642.62</v>
      </c>
    </row>
    <row r="840" spans="1:14" x14ac:dyDescent="0.35">
      <c r="A840" s="2">
        <v>45673</v>
      </c>
      <c r="B840" t="s">
        <v>1480</v>
      </c>
      <c r="C840" t="s">
        <v>106</v>
      </c>
      <c r="D840" t="s">
        <v>42</v>
      </c>
      <c r="E840" t="s">
        <v>43</v>
      </c>
      <c r="F840">
        <v>10</v>
      </c>
      <c r="G840">
        <v>327.45</v>
      </c>
      <c r="H840" t="s">
        <v>64</v>
      </c>
      <c r="I840" t="s">
        <v>1481</v>
      </c>
      <c r="J840" t="s">
        <v>97</v>
      </c>
      <c r="K840" t="s">
        <v>27</v>
      </c>
      <c r="L840" t="s">
        <v>28</v>
      </c>
      <c r="M840" t="s">
        <v>56</v>
      </c>
      <c r="N840">
        <v>3274.5</v>
      </c>
    </row>
    <row r="841" spans="1:14" x14ac:dyDescent="0.35">
      <c r="A841" s="2">
        <v>45075</v>
      </c>
      <c r="B841" t="s">
        <v>1446</v>
      </c>
      <c r="C841" t="s">
        <v>71</v>
      </c>
      <c r="D841" t="s">
        <v>42</v>
      </c>
      <c r="E841" t="s">
        <v>83</v>
      </c>
      <c r="F841">
        <v>8</v>
      </c>
      <c r="G841">
        <v>69.040000000000006</v>
      </c>
      <c r="H841" t="s">
        <v>58</v>
      </c>
      <c r="I841" t="s">
        <v>1482</v>
      </c>
      <c r="J841" t="s">
        <v>55</v>
      </c>
      <c r="K841" t="s">
        <v>78</v>
      </c>
      <c r="L841" t="s">
        <v>28</v>
      </c>
      <c r="M841" t="s">
        <v>29</v>
      </c>
      <c r="N841">
        <v>552.32000000000005</v>
      </c>
    </row>
    <row r="842" spans="1:14" x14ac:dyDescent="0.35">
      <c r="A842" s="2">
        <v>45538</v>
      </c>
      <c r="B842" t="s">
        <v>1483</v>
      </c>
      <c r="C842" t="s">
        <v>89</v>
      </c>
      <c r="D842" t="s">
        <v>52</v>
      </c>
      <c r="E842" t="s">
        <v>23</v>
      </c>
      <c r="F842">
        <v>8</v>
      </c>
      <c r="G842">
        <v>225.66</v>
      </c>
      <c r="H842" t="s">
        <v>58</v>
      </c>
      <c r="I842" t="s">
        <v>1484</v>
      </c>
      <c r="J842" t="s">
        <v>26</v>
      </c>
      <c r="K842" t="s">
        <v>38</v>
      </c>
      <c r="L842" t="s">
        <v>39</v>
      </c>
      <c r="M842" t="s">
        <v>49</v>
      </c>
      <c r="N842">
        <v>1805.28</v>
      </c>
    </row>
    <row r="843" spans="1:14" x14ac:dyDescent="0.35">
      <c r="A843" s="2">
        <v>45569</v>
      </c>
      <c r="B843" t="s">
        <v>1485</v>
      </c>
      <c r="C843" t="s">
        <v>74</v>
      </c>
      <c r="D843" t="s">
        <v>22</v>
      </c>
      <c r="E843" t="s">
        <v>83</v>
      </c>
      <c r="F843">
        <v>8</v>
      </c>
      <c r="G843">
        <v>364.36</v>
      </c>
      <c r="H843" t="s">
        <v>24</v>
      </c>
      <c r="I843" t="s">
        <v>1486</v>
      </c>
      <c r="J843" t="s">
        <v>37</v>
      </c>
      <c r="K843" t="s">
        <v>60</v>
      </c>
      <c r="L843" t="s">
        <v>28</v>
      </c>
      <c r="M843" t="s">
        <v>61</v>
      </c>
      <c r="N843">
        <v>2914.88</v>
      </c>
    </row>
    <row r="844" spans="1:14" x14ac:dyDescent="0.35">
      <c r="A844" s="2">
        <v>45336</v>
      </c>
      <c r="B844" t="s">
        <v>172</v>
      </c>
      <c r="C844" t="s">
        <v>106</v>
      </c>
      <c r="D844" t="s">
        <v>42</v>
      </c>
      <c r="E844" t="s">
        <v>23</v>
      </c>
      <c r="F844">
        <v>9</v>
      </c>
      <c r="G844">
        <v>341.96</v>
      </c>
      <c r="H844" t="s">
        <v>24</v>
      </c>
      <c r="I844" t="s">
        <v>1487</v>
      </c>
      <c r="J844" t="s">
        <v>26</v>
      </c>
      <c r="K844" t="s">
        <v>60</v>
      </c>
      <c r="L844" t="s">
        <v>28</v>
      </c>
      <c r="M844" t="s">
        <v>67</v>
      </c>
      <c r="N844">
        <v>3077.64</v>
      </c>
    </row>
    <row r="845" spans="1:14" x14ac:dyDescent="0.35">
      <c r="A845" s="2">
        <v>45404</v>
      </c>
      <c r="B845" t="s">
        <v>1322</v>
      </c>
      <c r="C845" t="s">
        <v>51</v>
      </c>
      <c r="D845" t="s">
        <v>33</v>
      </c>
      <c r="E845" t="s">
        <v>43</v>
      </c>
      <c r="F845">
        <v>2</v>
      </c>
      <c r="G845">
        <v>220.74</v>
      </c>
      <c r="H845" t="s">
        <v>64</v>
      </c>
      <c r="I845" t="s">
        <v>1488</v>
      </c>
      <c r="J845" t="s">
        <v>26</v>
      </c>
      <c r="K845" t="s">
        <v>78</v>
      </c>
      <c r="L845" t="s">
        <v>39</v>
      </c>
      <c r="M845" t="s">
        <v>29</v>
      </c>
      <c r="N845">
        <v>441.48</v>
      </c>
    </row>
    <row r="846" spans="1:14" x14ac:dyDescent="0.35">
      <c r="A846" s="2">
        <v>45127</v>
      </c>
      <c r="B846" t="s">
        <v>256</v>
      </c>
      <c r="C846" t="s">
        <v>41</v>
      </c>
      <c r="D846" t="s">
        <v>22</v>
      </c>
      <c r="E846" t="s">
        <v>83</v>
      </c>
      <c r="F846">
        <v>1</v>
      </c>
      <c r="G846">
        <v>222.88</v>
      </c>
      <c r="H846" t="s">
        <v>58</v>
      </c>
      <c r="I846" t="s">
        <v>1489</v>
      </c>
      <c r="J846" t="s">
        <v>37</v>
      </c>
      <c r="K846" t="s">
        <v>60</v>
      </c>
      <c r="L846" t="s">
        <v>28</v>
      </c>
      <c r="M846" t="s">
        <v>56</v>
      </c>
      <c r="N846">
        <v>222.88</v>
      </c>
    </row>
    <row r="847" spans="1:14" x14ac:dyDescent="0.35">
      <c r="A847" s="2">
        <v>45592</v>
      </c>
      <c r="B847" t="s">
        <v>757</v>
      </c>
      <c r="C847" t="s">
        <v>106</v>
      </c>
      <c r="D847" t="s">
        <v>33</v>
      </c>
      <c r="E847" t="s">
        <v>34</v>
      </c>
      <c r="F847">
        <v>4</v>
      </c>
      <c r="G847">
        <v>155.65</v>
      </c>
      <c r="H847" t="s">
        <v>44</v>
      </c>
      <c r="I847" t="s">
        <v>1490</v>
      </c>
      <c r="J847" t="s">
        <v>97</v>
      </c>
      <c r="K847" t="s">
        <v>38</v>
      </c>
      <c r="L847" t="s">
        <v>39</v>
      </c>
      <c r="M847" t="s">
        <v>101</v>
      </c>
      <c r="N847">
        <v>622.6</v>
      </c>
    </row>
    <row r="848" spans="1:14" x14ac:dyDescent="0.35">
      <c r="A848" s="2">
        <v>45282</v>
      </c>
      <c r="B848" t="s">
        <v>1215</v>
      </c>
      <c r="C848" t="s">
        <v>21</v>
      </c>
      <c r="D848" t="s">
        <v>52</v>
      </c>
      <c r="E848" t="s">
        <v>23</v>
      </c>
      <c r="F848">
        <v>6</v>
      </c>
      <c r="G848">
        <v>391.4</v>
      </c>
      <c r="H848" t="s">
        <v>44</v>
      </c>
      <c r="I848" t="s">
        <v>1491</v>
      </c>
      <c r="J848" t="s">
        <v>94</v>
      </c>
      <c r="K848" t="s">
        <v>38</v>
      </c>
      <c r="L848" t="s">
        <v>39</v>
      </c>
      <c r="M848" t="s">
        <v>61</v>
      </c>
      <c r="N848">
        <v>2348.4</v>
      </c>
    </row>
    <row r="849" spans="1:14" x14ac:dyDescent="0.35">
      <c r="A849" s="2">
        <v>45088</v>
      </c>
      <c r="B849" t="s">
        <v>226</v>
      </c>
      <c r="C849" t="s">
        <v>71</v>
      </c>
      <c r="D849" t="s">
        <v>42</v>
      </c>
      <c r="E849" t="s">
        <v>83</v>
      </c>
      <c r="F849">
        <v>4</v>
      </c>
      <c r="G849">
        <v>230.11</v>
      </c>
      <c r="H849" t="s">
        <v>64</v>
      </c>
      <c r="I849" t="s">
        <v>1492</v>
      </c>
      <c r="J849" t="s">
        <v>94</v>
      </c>
      <c r="K849" t="s">
        <v>78</v>
      </c>
      <c r="L849" t="s">
        <v>28</v>
      </c>
      <c r="M849" t="s">
        <v>101</v>
      </c>
      <c r="N849">
        <v>920.44</v>
      </c>
    </row>
    <row r="850" spans="1:14" x14ac:dyDescent="0.35">
      <c r="A850" s="2">
        <v>45231</v>
      </c>
      <c r="B850" t="s">
        <v>1493</v>
      </c>
      <c r="C850" t="s">
        <v>47</v>
      </c>
      <c r="D850" t="s">
        <v>52</v>
      </c>
      <c r="E850" t="s">
        <v>43</v>
      </c>
      <c r="F850">
        <v>6</v>
      </c>
      <c r="G850">
        <v>360.69</v>
      </c>
      <c r="H850" t="s">
        <v>58</v>
      </c>
      <c r="I850" t="s">
        <v>1494</v>
      </c>
      <c r="J850" t="s">
        <v>26</v>
      </c>
      <c r="K850" t="s">
        <v>60</v>
      </c>
      <c r="L850" t="s">
        <v>39</v>
      </c>
      <c r="M850" t="s">
        <v>67</v>
      </c>
      <c r="N850">
        <v>2164.14</v>
      </c>
    </row>
    <row r="851" spans="1:14" x14ac:dyDescent="0.35">
      <c r="A851" s="2">
        <v>45281</v>
      </c>
      <c r="B851" t="s">
        <v>1248</v>
      </c>
      <c r="C851" t="s">
        <v>41</v>
      </c>
      <c r="D851" t="s">
        <v>52</v>
      </c>
      <c r="E851" t="s">
        <v>23</v>
      </c>
      <c r="F851">
        <v>3</v>
      </c>
      <c r="G851">
        <v>276.33999999999997</v>
      </c>
      <c r="H851" t="s">
        <v>58</v>
      </c>
      <c r="I851" t="s">
        <v>1495</v>
      </c>
      <c r="J851" t="s">
        <v>55</v>
      </c>
      <c r="K851" t="s">
        <v>78</v>
      </c>
      <c r="L851" t="s">
        <v>28</v>
      </c>
      <c r="M851" t="s">
        <v>56</v>
      </c>
      <c r="N851">
        <v>829.02</v>
      </c>
    </row>
    <row r="852" spans="1:14" x14ac:dyDescent="0.35">
      <c r="A852" s="2">
        <v>45178</v>
      </c>
      <c r="B852" t="s">
        <v>1281</v>
      </c>
      <c r="C852" t="s">
        <v>81</v>
      </c>
      <c r="D852" t="s">
        <v>42</v>
      </c>
      <c r="E852" t="s">
        <v>43</v>
      </c>
      <c r="F852">
        <v>2</v>
      </c>
      <c r="G852">
        <v>178.88</v>
      </c>
      <c r="H852" t="s">
        <v>35</v>
      </c>
      <c r="I852" t="s">
        <v>1496</v>
      </c>
      <c r="J852" t="s">
        <v>55</v>
      </c>
      <c r="K852" t="s">
        <v>78</v>
      </c>
      <c r="L852" t="s">
        <v>28</v>
      </c>
      <c r="M852" t="s">
        <v>79</v>
      </c>
      <c r="N852">
        <v>357.76</v>
      </c>
    </row>
    <row r="853" spans="1:14" x14ac:dyDescent="0.35">
      <c r="A853" s="2">
        <v>44983</v>
      </c>
      <c r="B853" t="s">
        <v>271</v>
      </c>
      <c r="C853" t="s">
        <v>74</v>
      </c>
      <c r="D853" t="s">
        <v>52</v>
      </c>
      <c r="E853" t="s">
        <v>34</v>
      </c>
      <c r="F853">
        <v>6</v>
      </c>
      <c r="G853">
        <v>96.53</v>
      </c>
      <c r="H853" t="s">
        <v>64</v>
      </c>
      <c r="I853" t="s">
        <v>1497</v>
      </c>
      <c r="J853" t="s">
        <v>37</v>
      </c>
      <c r="K853" t="s">
        <v>38</v>
      </c>
      <c r="L853" t="s">
        <v>66</v>
      </c>
      <c r="M853" t="s">
        <v>101</v>
      </c>
      <c r="N853">
        <v>579.18000000000006</v>
      </c>
    </row>
    <row r="854" spans="1:14" x14ac:dyDescent="0.35">
      <c r="A854" s="2">
        <v>45273</v>
      </c>
      <c r="B854" t="s">
        <v>757</v>
      </c>
      <c r="C854" t="s">
        <v>41</v>
      </c>
      <c r="D854" t="s">
        <v>22</v>
      </c>
      <c r="E854" t="s">
        <v>23</v>
      </c>
      <c r="F854">
        <v>2</v>
      </c>
      <c r="G854">
        <v>52.8</v>
      </c>
      <c r="H854" t="s">
        <v>64</v>
      </c>
      <c r="I854" t="s">
        <v>1498</v>
      </c>
      <c r="J854" t="s">
        <v>37</v>
      </c>
      <c r="K854" t="s">
        <v>78</v>
      </c>
      <c r="L854" t="s">
        <v>39</v>
      </c>
      <c r="M854" t="s">
        <v>67</v>
      </c>
      <c r="N854">
        <v>105.6</v>
      </c>
    </row>
    <row r="855" spans="1:14" x14ac:dyDescent="0.35">
      <c r="A855" s="2">
        <v>45278</v>
      </c>
      <c r="B855" t="s">
        <v>1499</v>
      </c>
      <c r="C855" t="s">
        <v>71</v>
      </c>
      <c r="D855" t="s">
        <v>22</v>
      </c>
      <c r="E855" t="s">
        <v>23</v>
      </c>
      <c r="F855">
        <v>10</v>
      </c>
      <c r="G855">
        <v>213.74</v>
      </c>
      <c r="H855" t="s">
        <v>24</v>
      </c>
      <c r="I855" t="s">
        <v>1500</v>
      </c>
      <c r="J855" t="s">
        <v>55</v>
      </c>
      <c r="K855" t="s">
        <v>78</v>
      </c>
      <c r="L855" t="s">
        <v>66</v>
      </c>
      <c r="M855" t="s">
        <v>29</v>
      </c>
      <c r="N855">
        <v>2137.4</v>
      </c>
    </row>
    <row r="856" spans="1:14" x14ac:dyDescent="0.35">
      <c r="A856" s="2">
        <v>45579</v>
      </c>
      <c r="B856" t="s">
        <v>70</v>
      </c>
      <c r="C856" t="s">
        <v>106</v>
      </c>
      <c r="D856" t="s">
        <v>33</v>
      </c>
      <c r="E856" t="s">
        <v>23</v>
      </c>
      <c r="F856">
        <v>3</v>
      </c>
      <c r="G856">
        <v>12.98</v>
      </c>
      <c r="H856" t="s">
        <v>64</v>
      </c>
      <c r="I856" t="s">
        <v>1501</v>
      </c>
      <c r="J856" t="s">
        <v>37</v>
      </c>
      <c r="K856" t="s">
        <v>78</v>
      </c>
      <c r="L856" t="s">
        <v>28</v>
      </c>
      <c r="M856" t="s">
        <v>29</v>
      </c>
      <c r="N856">
        <v>38.94</v>
      </c>
    </row>
    <row r="857" spans="1:14" x14ac:dyDescent="0.35">
      <c r="A857" s="2">
        <v>45056</v>
      </c>
      <c r="B857" t="s">
        <v>1502</v>
      </c>
      <c r="C857" t="s">
        <v>106</v>
      </c>
      <c r="D857" t="s">
        <v>33</v>
      </c>
      <c r="E857" t="s">
        <v>43</v>
      </c>
      <c r="F857">
        <v>7</v>
      </c>
      <c r="G857">
        <v>293.77</v>
      </c>
      <c r="H857" t="s">
        <v>64</v>
      </c>
      <c r="I857" t="s">
        <v>1503</v>
      </c>
      <c r="J857" t="s">
        <v>37</v>
      </c>
      <c r="K857" t="s">
        <v>60</v>
      </c>
      <c r="L857" t="s">
        <v>66</v>
      </c>
      <c r="M857" t="s">
        <v>67</v>
      </c>
      <c r="N857">
        <v>2056.39</v>
      </c>
    </row>
    <row r="858" spans="1:14" x14ac:dyDescent="0.35">
      <c r="A858" s="2">
        <v>45242</v>
      </c>
      <c r="B858" t="s">
        <v>999</v>
      </c>
      <c r="C858" t="s">
        <v>89</v>
      </c>
      <c r="D858" t="s">
        <v>22</v>
      </c>
      <c r="E858" t="s">
        <v>63</v>
      </c>
      <c r="F858">
        <v>5</v>
      </c>
      <c r="G858">
        <v>288.70999999999998</v>
      </c>
      <c r="H858" t="s">
        <v>44</v>
      </c>
      <c r="I858" t="s">
        <v>1504</v>
      </c>
      <c r="J858" t="s">
        <v>37</v>
      </c>
      <c r="K858" t="s">
        <v>27</v>
      </c>
      <c r="L858" t="s">
        <v>39</v>
      </c>
      <c r="M858" t="s">
        <v>101</v>
      </c>
      <c r="N858">
        <v>1443.55</v>
      </c>
    </row>
    <row r="859" spans="1:14" x14ac:dyDescent="0.35">
      <c r="A859" s="2">
        <v>45649</v>
      </c>
      <c r="B859" t="s">
        <v>573</v>
      </c>
      <c r="C859" t="s">
        <v>106</v>
      </c>
      <c r="D859" t="s">
        <v>42</v>
      </c>
      <c r="E859" t="s">
        <v>83</v>
      </c>
      <c r="F859">
        <v>7</v>
      </c>
      <c r="G859">
        <v>47.88</v>
      </c>
      <c r="H859" t="s">
        <v>64</v>
      </c>
      <c r="I859" t="s">
        <v>1505</v>
      </c>
      <c r="J859" t="s">
        <v>94</v>
      </c>
      <c r="K859" t="s">
        <v>38</v>
      </c>
      <c r="L859" t="s">
        <v>66</v>
      </c>
      <c r="M859" t="s">
        <v>29</v>
      </c>
      <c r="N859">
        <v>335.16</v>
      </c>
    </row>
    <row r="860" spans="1:14" x14ac:dyDescent="0.35">
      <c r="A860" s="2">
        <v>45680</v>
      </c>
      <c r="B860" t="s">
        <v>1506</v>
      </c>
      <c r="C860" t="s">
        <v>51</v>
      </c>
      <c r="D860" t="s">
        <v>52</v>
      </c>
      <c r="E860" t="s">
        <v>43</v>
      </c>
      <c r="F860">
        <v>1</v>
      </c>
      <c r="G860">
        <v>355.54</v>
      </c>
      <c r="H860" t="s">
        <v>24</v>
      </c>
      <c r="I860" t="s">
        <v>1507</v>
      </c>
      <c r="J860" t="s">
        <v>26</v>
      </c>
      <c r="K860" t="s">
        <v>60</v>
      </c>
      <c r="L860" t="s">
        <v>39</v>
      </c>
      <c r="M860" t="s">
        <v>56</v>
      </c>
      <c r="N860">
        <v>355.54</v>
      </c>
    </row>
    <row r="861" spans="1:14" x14ac:dyDescent="0.35">
      <c r="A861" s="2">
        <v>45493</v>
      </c>
      <c r="B861" t="s">
        <v>376</v>
      </c>
      <c r="C861" t="s">
        <v>41</v>
      </c>
      <c r="D861" t="s">
        <v>42</v>
      </c>
      <c r="E861" t="s">
        <v>34</v>
      </c>
      <c r="F861">
        <v>3</v>
      </c>
      <c r="G861">
        <v>331.3</v>
      </c>
      <c r="H861" t="s">
        <v>44</v>
      </c>
      <c r="I861" t="s">
        <v>1508</v>
      </c>
      <c r="J861" t="s">
        <v>94</v>
      </c>
      <c r="K861" t="s">
        <v>78</v>
      </c>
      <c r="L861" t="s">
        <v>66</v>
      </c>
      <c r="M861" t="s">
        <v>79</v>
      </c>
      <c r="N861">
        <v>993.90000000000009</v>
      </c>
    </row>
    <row r="862" spans="1:14" x14ac:dyDescent="0.35">
      <c r="A862" s="2">
        <v>45183</v>
      </c>
      <c r="B862" t="s">
        <v>340</v>
      </c>
      <c r="C862" t="s">
        <v>71</v>
      </c>
      <c r="D862" t="s">
        <v>42</v>
      </c>
      <c r="E862" t="s">
        <v>92</v>
      </c>
      <c r="F862">
        <v>3</v>
      </c>
      <c r="G862">
        <v>26.97</v>
      </c>
      <c r="H862" t="s">
        <v>64</v>
      </c>
      <c r="I862" t="s">
        <v>1509</v>
      </c>
      <c r="J862" t="s">
        <v>55</v>
      </c>
      <c r="K862" t="s">
        <v>78</v>
      </c>
      <c r="L862" t="s">
        <v>28</v>
      </c>
      <c r="M862" t="s">
        <v>56</v>
      </c>
      <c r="N862">
        <v>80.91</v>
      </c>
    </row>
    <row r="863" spans="1:14" x14ac:dyDescent="0.35">
      <c r="A863" s="2">
        <v>45559</v>
      </c>
      <c r="B863" t="s">
        <v>1510</v>
      </c>
      <c r="C863" t="s">
        <v>81</v>
      </c>
      <c r="D863" t="s">
        <v>33</v>
      </c>
      <c r="E863" t="s">
        <v>43</v>
      </c>
      <c r="F863">
        <v>5</v>
      </c>
      <c r="G863">
        <v>394.6</v>
      </c>
      <c r="H863" t="s">
        <v>35</v>
      </c>
      <c r="I863" t="s">
        <v>1511</v>
      </c>
      <c r="J863" t="s">
        <v>55</v>
      </c>
      <c r="K863" t="s">
        <v>38</v>
      </c>
      <c r="L863" t="s">
        <v>66</v>
      </c>
      <c r="M863" t="s">
        <v>49</v>
      </c>
      <c r="N863">
        <v>1973</v>
      </c>
    </row>
    <row r="864" spans="1:14" x14ac:dyDescent="0.35">
      <c r="A864" s="2">
        <v>45393</v>
      </c>
      <c r="B864" t="s">
        <v>1512</v>
      </c>
      <c r="C864" t="s">
        <v>51</v>
      </c>
      <c r="D864" t="s">
        <v>52</v>
      </c>
      <c r="E864" t="s">
        <v>53</v>
      </c>
      <c r="F864">
        <v>7</v>
      </c>
      <c r="G864">
        <v>235.07</v>
      </c>
      <c r="H864" t="s">
        <v>64</v>
      </c>
      <c r="I864" t="s">
        <v>1513</v>
      </c>
      <c r="J864" t="s">
        <v>97</v>
      </c>
      <c r="K864" t="s">
        <v>60</v>
      </c>
      <c r="L864" t="s">
        <v>66</v>
      </c>
      <c r="M864" t="s">
        <v>56</v>
      </c>
      <c r="N864">
        <v>1645.49</v>
      </c>
    </row>
    <row r="865" spans="1:14" x14ac:dyDescent="0.35">
      <c r="A865" s="2">
        <v>45656</v>
      </c>
      <c r="B865" t="s">
        <v>1514</v>
      </c>
      <c r="C865" t="s">
        <v>106</v>
      </c>
      <c r="D865" t="s">
        <v>22</v>
      </c>
      <c r="E865" t="s">
        <v>83</v>
      </c>
      <c r="F865">
        <v>9</v>
      </c>
      <c r="G865">
        <v>354.65</v>
      </c>
      <c r="H865" t="s">
        <v>44</v>
      </c>
      <c r="I865" t="s">
        <v>1515</v>
      </c>
      <c r="J865" t="s">
        <v>55</v>
      </c>
      <c r="K865" t="s">
        <v>60</v>
      </c>
      <c r="L865" t="s">
        <v>66</v>
      </c>
      <c r="M865" t="s">
        <v>29</v>
      </c>
      <c r="N865">
        <v>3191.85</v>
      </c>
    </row>
    <row r="866" spans="1:14" x14ac:dyDescent="0.35">
      <c r="A866" s="2">
        <v>45601</v>
      </c>
      <c r="B866" t="s">
        <v>877</v>
      </c>
      <c r="C866" t="s">
        <v>21</v>
      </c>
      <c r="D866" t="s">
        <v>42</v>
      </c>
      <c r="E866" t="s">
        <v>63</v>
      </c>
      <c r="F866">
        <v>4</v>
      </c>
      <c r="G866">
        <v>177.34</v>
      </c>
      <c r="H866" t="s">
        <v>24</v>
      </c>
      <c r="I866" t="s">
        <v>1516</v>
      </c>
      <c r="J866" t="s">
        <v>94</v>
      </c>
      <c r="K866" t="s">
        <v>78</v>
      </c>
      <c r="L866" t="s">
        <v>66</v>
      </c>
      <c r="M866" t="s">
        <v>49</v>
      </c>
      <c r="N866">
        <v>709.36</v>
      </c>
    </row>
    <row r="867" spans="1:14" x14ac:dyDescent="0.35">
      <c r="A867" s="2">
        <v>45752</v>
      </c>
      <c r="B867" t="s">
        <v>673</v>
      </c>
      <c r="C867" t="s">
        <v>47</v>
      </c>
      <c r="D867" t="s">
        <v>52</v>
      </c>
      <c r="E867" t="s">
        <v>53</v>
      </c>
      <c r="F867">
        <v>2</v>
      </c>
      <c r="G867">
        <v>69.27</v>
      </c>
      <c r="H867" t="s">
        <v>24</v>
      </c>
      <c r="I867" t="s">
        <v>1517</v>
      </c>
      <c r="J867" t="s">
        <v>26</v>
      </c>
      <c r="K867" t="s">
        <v>78</v>
      </c>
      <c r="L867" t="s">
        <v>28</v>
      </c>
      <c r="M867" t="s">
        <v>79</v>
      </c>
      <c r="N867">
        <v>138.54</v>
      </c>
    </row>
    <row r="868" spans="1:14" x14ac:dyDescent="0.35">
      <c r="A868" s="2">
        <v>45668</v>
      </c>
      <c r="B868" t="s">
        <v>1518</v>
      </c>
      <c r="C868" t="s">
        <v>71</v>
      </c>
      <c r="D868" t="s">
        <v>22</v>
      </c>
      <c r="E868" t="s">
        <v>63</v>
      </c>
      <c r="F868">
        <v>6</v>
      </c>
      <c r="G868">
        <v>180.53</v>
      </c>
      <c r="H868" t="s">
        <v>35</v>
      </c>
      <c r="I868" t="s">
        <v>1519</v>
      </c>
      <c r="J868" t="s">
        <v>55</v>
      </c>
      <c r="K868" t="s">
        <v>78</v>
      </c>
      <c r="L868" t="s">
        <v>28</v>
      </c>
      <c r="M868" t="s">
        <v>79</v>
      </c>
      <c r="N868">
        <v>1083.18</v>
      </c>
    </row>
    <row r="869" spans="1:14" x14ac:dyDescent="0.35">
      <c r="A869" s="2">
        <v>45816</v>
      </c>
      <c r="B869" t="s">
        <v>1317</v>
      </c>
      <c r="C869" t="s">
        <v>106</v>
      </c>
      <c r="D869" t="s">
        <v>22</v>
      </c>
      <c r="E869" t="s">
        <v>43</v>
      </c>
      <c r="F869">
        <v>1</v>
      </c>
      <c r="G869">
        <v>249.98</v>
      </c>
      <c r="H869" t="s">
        <v>64</v>
      </c>
      <c r="I869" t="s">
        <v>1520</v>
      </c>
      <c r="J869" t="s">
        <v>55</v>
      </c>
      <c r="K869" t="s">
        <v>60</v>
      </c>
      <c r="L869" t="s">
        <v>39</v>
      </c>
      <c r="M869" t="s">
        <v>101</v>
      </c>
      <c r="N869">
        <v>249.98</v>
      </c>
    </row>
    <row r="870" spans="1:14" x14ac:dyDescent="0.35">
      <c r="A870" s="2">
        <v>45521</v>
      </c>
      <c r="B870" t="s">
        <v>775</v>
      </c>
      <c r="C870" t="s">
        <v>74</v>
      </c>
      <c r="D870" t="s">
        <v>52</v>
      </c>
      <c r="E870" t="s">
        <v>34</v>
      </c>
      <c r="F870">
        <v>2</v>
      </c>
      <c r="G870">
        <v>159.78</v>
      </c>
      <c r="H870" t="s">
        <v>44</v>
      </c>
      <c r="I870" t="s">
        <v>1521</v>
      </c>
      <c r="J870" t="s">
        <v>37</v>
      </c>
      <c r="K870" t="s">
        <v>78</v>
      </c>
      <c r="L870" t="s">
        <v>39</v>
      </c>
      <c r="M870" t="s">
        <v>79</v>
      </c>
      <c r="N870">
        <v>319.56</v>
      </c>
    </row>
    <row r="871" spans="1:14" x14ac:dyDescent="0.35">
      <c r="A871" s="2">
        <v>45673</v>
      </c>
      <c r="B871" t="s">
        <v>244</v>
      </c>
      <c r="C871" t="s">
        <v>106</v>
      </c>
      <c r="D871" t="s">
        <v>52</v>
      </c>
      <c r="E871" t="s">
        <v>83</v>
      </c>
      <c r="F871">
        <v>1</v>
      </c>
      <c r="G871">
        <v>385.99</v>
      </c>
      <c r="H871" t="s">
        <v>44</v>
      </c>
      <c r="I871" t="s">
        <v>1522</v>
      </c>
      <c r="J871" t="s">
        <v>94</v>
      </c>
      <c r="K871" t="s">
        <v>78</v>
      </c>
      <c r="L871" t="s">
        <v>39</v>
      </c>
      <c r="M871" t="s">
        <v>56</v>
      </c>
      <c r="N871">
        <v>385.99</v>
      </c>
    </row>
    <row r="872" spans="1:14" x14ac:dyDescent="0.35">
      <c r="A872" s="2">
        <v>45414</v>
      </c>
      <c r="B872" t="s">
        <v>840</v>
      </c>
      <c r="C872" t="s">
        <v>89</v>
      </c>
      <c r="D872" t="s">
        <v>52</v>
      </c>
      <c r="E872" t="s">
        <v>23</v>
      </c>
      <c r="F872">
        <v>10</v>
      </c>
      <c r="G872">
        <v>138.86000000000001</v>
      </c>
      <c r="H872" t="s">
        <v>64</v>
      </c>
      <c r="I872" t="s">
        <v>1523</v>
      </c>
      <c r="J872" t="s">
        <v>55</v>
      </c>
      <c r="K872" t="s">
        <v>78</v>
      </c>
      <c r="L872" t="s">
        <v>28</v>
      </c>
      <c r="M872" t="s">
        <v>56</v>
      </c>
      <c r="N872">
        <v>1388.6</v>
      </c>
    </row>
    <row r="873" spans="1:14" x14ac:dyDescent="0.35">
      <c r="A873" s="2">
        <v>45197</v>
      </c>
      <c r="B873" t="s">
        <v>110</v>
      </c>
      <c r="C873" t="s">
        <v>21</v>
      </c>
      <c r="D873" t="s">
        <v>33</v>
      </c>
      <c r="E873" t="s">
        <v>92</v>
      </c>
      <c r="F873">
        <v>4</v>
      </c>
      <c r="G873">
        <v>90.29</v>
      </c>
      <c r="H873" t="s">
        <v>24</v>
      </c>
      <c r="I873" t="s">
        <v>1524</v>
      </c>
      <c r="J873" t="s">
        <v>94</v>
      </c>
      <c r="K873" t="s">
        <v>27</v>
      </c>
      <c r="L873" t="s">
        <v>28</v>
      </c>
      <c r="M873" t="s">
        <v>56</v>
      </c>
      <c r="N873">
        <v>361.16</v>
      </c>
    </row>
    <row r="874" spans="1:14" x14ac:dyDescent="0.35">
      <c r="A874" s="2">
        <v>45003</v>
      </c>
      <c r="B874" t="s">
        <v>412</v>
      </c>
      <c r="C874" t="s">
        <v>81</v>
      </c>
      <c r="D874" t="s">
        <v>33</v>
      </c>
      <c r="E874" t="s">
        <v>83</v>
      </c>
      <c r="F874">
        <v>6</v>
      </c>
      <c r="G874">
        <v>159.58000000000001</v>
      </c>
      <c r="H874" t="s">
        <v>35</v>
      </c>
      <c r="I874" t="s">
        <v>1525</v>
      </c>
      <c r="J874" t="s">
        <v>37</v>
      </c>
      <c r="K874" t="s">
        <v>78</v>
      </c>
      <c r="L874" t="s">
        <v>39</v>
      </c>
      <c r="M874" t="s">
        <v>79</v>
      </c>
      <c r="N874">
        <v>957.48</v>
      </c>
    </row>
    <row r="875" spans="1:14" x14ac:dyDescent="0.35">
      <c r="A875" s="2">
        <v>45292</v>
      </c>
      <c r="B875" t="s">
        <v>743</v>
      </c>
      <c r="C875" t="s">
        <v>86</v>
      </c>
      <c r="D875" t="s">
        <v>33</v>
      </c>
      <c r="E875" t="s">
        <v>23</v>
      </c>
      <c r="F875">
        <v>8</v>
      </c>
      <c r="G875">
        <v>151.31</v>
      </c>
      <c r="H875" t="s">
        <v>24</v>
      </c>
      <c r="I875" t="s">
        <v>1526</v>
      </c>
      <c r="J875" t="s">
        <v>94</v>
      </c>
      <c r="K875" t="s">
        <v>60</v>
      </c>
      <c r="L875" t="s">
        <v>39</v>
      </c>
      <c r="M875" t="s">
        <v>29</v>
      </c>
      <c r="N875">
        <v>1210.48</v>
      </c>
    </row>
    <row r="876" spans="1:14" x14ac:dyDescent="0.35">
      <c r="A876" s="2">
        <v>45258</v>
      </c>
      <c r="B876" t="s">
        <v>1527</v>
      </c>
      <c r="C876" t="s">
        <v>21</v>
      </c>
      <c r="D876" t="s">
        <v>42</v>
      </c>
      <c r="E876" t="s">
        <v>92</v>
      </c>
      <c r="F876">
        <v>10</v>
      </c>
      <c r="G876">
        <v>79.69</v>
      </c>
      <c r="H876" t="s">
        <v>44</v>
      </c>
      <c r="I876" t="s">
        <v>1528</v>
      </c>
      <c r="J876" t="s">
        <v>55</v>
      </c>
      <c r="K876" t="s">
        <v>38</v>
      </c>
      <c r="L876" t="s">
        <v>28</v>
      </c>
      <c r="M876" t="s">
        <v>49</v>
      </c>
      <c r="N876">
        <v>796.9</v>
      </c>
    </row>
    <row r="877" spans="1:14" x14ac:dyDescent="0.35">
      <c r="A877" s="2">
        <v>45222</v>
      </c>
      <c r="B877" t="s">
        <v>906</v>
      </c>
      <c r="C877" t="s">
        <v>21</v>
      </c>
      <c r="D877" t="s">
        <v>33</v>
      </c>
      <c r="E877" t="s">
        <v>92</v>
      </c>
      <c r="F877">
        <v>10</v>
      </c>
      <c r="G877">
        <v>324.83</v>
      </c>
      <c r="H877" t="s">
        <v>44</v>
      </c>
      <c r="I877" t="s">
        <v>1529</v>
      </c>
      <c r="J877" t="s">
        <v>55</v>
      </c>
      <c r="K877" t="s">
        <v>78</v>
      </c>
      <c r="L877" t="s">
        <v>66</v>
      </c>
      <c r="M877" t="s">
        <v>29</v>
      </c>
      <c r="N877">
        <v>3248.3</v>
      </c>
    </row>
    <row r="878" spans="1:14" x14ac:dyDescent="0.35">
      <c r="A878" s="2">
        <v>45496</v>
      </c>
      <c r="B878" t="s">
        <v>1530</v>
      </c>
      <c r="C878" t="s">
        <v>89</v>
      </c>
      <c r="D878" t="s">
        <v>22</v>
      </c>
      <c r="E878" t="s">
        <v>92</v>
      </c>
      <c r="F878">
        <v>1</v>
      </c>
      <c r="G878">
        <v>147.84</v>
      </c>
      <c r="H878" t="s">
        <v>24</v>
      </c>
      <c r="I878" t="s">
        <v>1531</v>
      </c>
      <c r="J878" t="s">
        <v>97</v>
      </c>
      <c r="K878" t="s">
        <v>60</v>
      </c>
      <c r="L878" t="s">
        <v>39</v>
      </c>
      <c r="M878" t="s">
        <v>49</v>
      </c>
      <c r="N878">
        <v>147.84</v>
      </c>
    </row>
    <row r="879" spans="1:14" x14ac:dyDescent="0.35">
      <c r="A879" s="2">
        <v>45223</v>
      </c>
      <c r="B879" t="s">
        <v>441</v>
      </c>
      <c r="C879" t="s">
        <v>71</v>
      </c>
      <c r="D879" t="s">
        <v>33</v>
      </c>
      <c r="E879" t="s">
        <v>23</v>
      </c>
      <c r="F879">
        <v>7</v>
      </c>
      <c r="G879">
        <v>285.42</v>
      </c>
      <c r="H879" t="s">
        <v>58</v>
      </c>
      <c r="I879" t="s">
        <v>1532</v>
      </c>
      <c r="J879" t="s">
        <v>97</v>
      </c>
      <c r="K879" t="s">
        <v>27</v>
      </c>
      <c r="L879" t="s">
        <v>28</v>
      </c>
      <c r="M879" t="s">
        <v>49</v>
      </c>
      <c r="N879">
        <v>1997.94</v>
      </c>
    </row>
    <row r="880" spans="1:14" x14ac:dyDescent="0.35">
      <c r="A880" s="2">
        <v>45550</v>
      </c>
      <c r="B880" t="s">
        <v>1010</v>
      </c>
      <c r="C880" t="s">
        <v>106</v>
      </c>
      <c r="D880" t="s">
        <v>42</v>
      </c>
      <c r="E880" t="s">
        <v>53</v>
      </c>
      <c r="F880">
        <v>4</v>
      </c>
      <c r="G880">
        <v>160.51</v>
      </c>
      <c r="H880" t="s">
        <v>64</v>
      </c>
      <c r="I880" t="s">
        <v>1533</v>
      </c>
      <c r="J880" t="s">
        <v>97</v>
      </c>
      <c r="K880" t="s">
        <v>38</v>
      </c>
      <c r="L880" t="s">
        <v>39</v>
      </c>
      <c r="M880" t="s">
        <v>101</v>
      </c>
      <c r="N880">
        <v>642.04</v>
      </c>
    </row>
    <row r="881" spans="1:14" x14ac:dyDescent="0.35">
      <c r="A881" s="2">
        <v>45594</v>
      </c>
      <c r="B881" t="s">
        <v>661</v>
      </c>
      <c r="C881" t="s">
        <v>41</v>
      </c>
      <c r="D881" t="s">
        <v>52</v>
      </c>
      <c r="E881" t="s">
        <v>34</v>
      </c>
      <c r="F881">
        <v>2</v>
      </c>
      <c r="G881">
        <v>394.52</v>
      </c>
      <c r="H881" t="s">
        <v>24</v>
      </c>
      <c r="I881" t="s">
        <v>1534</v>
      </c>
      <c r="J881" t="s">
        <v>97</v>
      </c>
      <c r="K881" t="s">
        <v>27</v>
      </c>
      <c r="L881" t="s">
        <v>39</v>
      </c>
      <c r="M881" t="s">
        <v>49</v>
      </c>
      <c r="N881">
        <v>789.04</v>
      </c>
    </row>
    <row r="882" spans="1:14" x14ac:dyDescent="0.35">
      <c r="A882" s="2">
        <v>45767</v>
      </c>
      <c r="B882" t="s">
        <v>354</v>
      </c>
      <c r="C882" t="s">
        <v>41</v>
      </c>
      <c r="D882" t="s">
        <v>33</v>
      </c>
      <c r="E882" t="s">
        <v>34</v>
      </c>
      <c r="F882">
        <v>10</v>
      </c>
      <c r="G882">
        <v>170.14</v>
      </c>
      <c r="H882" t="s">
        <v>44</v>
      </c>
      <c r="I882" t="s">
        <v>1535</v>
      </c>
      <c r="J882" t="s">
        <v>55</v>
      </c>
      <c r="K882" t="s">
        <v>78</v>
      </c>
      <c r="L882" t="s">
        <v>28</v>
      </c>
      <c r="M882" t="s">
        <v>101</v>
      </c>
      <c r="N882">
        <v>1701.4</v>
      </c>
    </row>
    <row r="883" spans="1:14" x14ac:dyDescent="0.35">
      <c r="A883" s="2">
        <v>45405</v>
      </c>
      <c r="B883" t="s">
        <v>1485</v>
      </c>
      <c r="C883" t="s">
        <v>47</v>
      </c>
      <c r="D883" t="s">
        <v>33</v>
      </c>
      <c r="E883" t="s">
        <v>23</v>
      </c>
      <c r="F883">
        <v>10</v>
      </c>
      <c r="G883">
        <v>144.38999999999999</v>
      </c>
      <c r="H883" t="s">
        <v>64</v>
      </c>
      <c r="I883" t="s">
        <v>1536</v>
      </c>
      <c r="J883" t="s">
        <v>97</v>
      </c>
      <c r="K883" t="s">
        <v>60</v>
      </c>
      <c r="L883" t="s">
        <v>28</v>
      </c>
      <c r="M883" t="s">
        <v>49</v>
      </c>
      <c r="N883">
        <v>1443.9</v>
      </c>
    </row>
    <row r="884" spans="1:14" x14ac:dyDescent="0.35">
      <c r="A884" s="2">
        <v>45156</v>
      </c>
      <c r="B884" t="s">
        <v>663</v>
      </c>
      <c r="C884" t="s">
        <v>47</v>
      </c>
      <c r="D884" t="s">
        <v>52</v>
      </c>
      <c r="E884" t="s">
        <v>23</v>
      </c>
      <c r="F884">
        <v>7</v>
      </c>
      <c r="G884">
        <v>355.97</v>
      </c>
      <c r="H884" t="s">
        <v>44</v>
      </c>
      <c r="I884" t="s">
        <v>1537</v>
      </c>
      <c r="J884" t="s">
        <v>94</v>
      </c>
      <c r="K884" t="s">
        <v>78</v>
      </c>
      <c r="L884" t="s">
        <v>66</v>
      </c>
      <c r="M884" t="s">
        <v>61</v>
      </c>
      <c r="N884">
        <v>2491.79</v>
      </c>
    </row>
    <row r="885" spans="1:14" x14ac:dyDescent="0.35">
      <c r="A885" s="2">
        <v>45213</v>
      </c>
      <c r="B885" t="s">
        <v>1152</v>
      </c>
      <c r="C885" t="s">
        <v>74</v>
      </c>
      <c r="D885" t="s">
        <v>33</v>
      </c>
      <c r="E885" t="s">
        <v>34</v>
      </c>
      <c r="F885">
        <v>1</v>
      </c>
      <c r="G885">
        <v>319.26</v>
      </c>
      <c r="H885" t="s">
        <v>24</v>
      </c>
      <c r="I885" t="s">
        <v>1538</v>
      </c>
      <c r="J885" t="s">
        <v>26</v>
      </c>
      <c r="K885" t="s">
        <v>78</v>
      </c>
      <c r="L885" t="s">
        <v>28</v>
      </c>
      <c r="M885" t="s">
        <v>79</v>
      </c>
      <c r="N885">
        <v>319.26</v>
      </c>
    </row>
    <row r="886" spans="1:14" x14ac:dyDescent="0.35">
      <c r="A886" s="2">
        <v>45345</v>
      </c>
      <c r="B886" t="s">
        <v>1349</v>
      </c>
      <c r="C886" t="s">
        <v>47</v>
      </c>
      <c r="D886" t="s">
        <v>42</v>
      </c>
      <c r="E886" t="s">
        <v>83</v>
      </c>
      <c r="F886">
        <v>4</v>
      </c>
      <c r="G886">
        <v>96.13</v>
      </c>
      <c r="H886" t="s">
        <v>58</v>
      </c>
      <c r="I886" t="s">
        <v>1539</v>
      </c>
      <c r="J886" t="s">
        <v>26</v>
      </c>
      <c r="K886" t="s">
        <v>78</v>
      </c>
      <c r="L886" t="s">
        <v>66</v>
      </c>
      <c r="M886" t="s">
        <v>61</v>
      </c>
      <c r="N886">
        <v>384.52</v>
      </c>
    </row>
    <row r="887" spans="1:14" x14ac:dyDescent="0.35">
      <c r="A887" s="2">
        <v>45166</v>
      </c>
      <c r="B887" t="s">
        <v>1540</v>
      </c>
      <c r="C887" t="s">
        <v>81</v>
      </c>
      <c r="D887" t="s">
        <v>52</v>
      </c>
      <c r="E887" t="s">
        <v>83</v>
      </c>
      <c r="F887">
        <v>6</v>
      </c>
      <c r="G887">
        <v>160.47</v>
      </c>
      <c r="H887" t="s">
        <v>44</v>
      </c>
      <c r="I887" t="s">
        <v>1541</v>
      </c>
      <c r="J887" t="s">
        <v>26</v>
      </c>
      <c r="K887" t="s">
        <v>38</v>
      </c>
      <c r="L887" t="s">
        <v>28</v>
      </c>
      <c r="M887" t="s">
        <v>29</v>
      </c>
      <c r="N887">
        <v>962.81999999999994</v>
      </c>
    </row>
    <row r="888" spans="1:14" x14ac:dyDescent="0.35">
      <c r="A888" s="2">
        <v>45391</v>
      </c>
      <c r="B888" t="s">
        <v>46</v>
      </c>
      <c r="C888" t="s">
        <v>21</v>
      </c>
      <c r="D888" t="s">
        <v>42</v>
      </c>
      <c r="E888" t="s">
        <v>53</v>
      </c>
      <c r="F888">
        <v>2</v>
      </c>
      <c r="G888">
        <v>288.11</v>
      </c>
      <c r="H888" t="s">
        <v>44</v>
      </c>
      <c r="I888" t="s">
        <v>1542</v>
      </c>
      <c r="J888" t="s">
        <v>26</v>
      </c>
      <c r="K888" t="s">
        <v>27</v>
      </c>
      <c r="L888" t="s">
        <v>39</v>
      </c>
      <c r="M888" t="s">
        <v>49</v>
      </c>
      <c r="N888">
        <v>576.22</v>
      </c>
    </row>
    <row r="889" spans="1:14" x14ac:dyDescent="0.35">
      <c r="A889" s="2">
        <v>45341</v>
      </c>
      <c r="B889" t="s">
        <v>847</v>
      </c>
      <c r="C889" t="s">
        <v>41</v>
      </c>
      <c r="D889" t="s">
        <v>22</v>
      </c>
      <c r="E889" t="s">
        <v>53</v>
      </c>
      <c r="F889">
        <v>4</v>
      </c>
      <c r="G889">
        <v>97.8</v>
      </c>
      <c r="H889" t="s">
        <v>64</v>
      </c>
      <c r="I889" t="s">
        <v>1543</v>
      </c>
      <c r="J889" t="s">
        <v>26</v>
      </c>
      <c r="K889" t="s">
        <v>38</v>
      </c>
      <c r="L889" t="s">
        <v>66</v>
      </c>
      <c r="M889" t="s">
        <v>29</v>
      </c>
      <c r="N889">
        <v>391.2</v>
      </c>
    </row>
    <row r="890" spans="1:14" x14ac:dyDescent="0.35">
      <c r="A890" s="2">
        <v>45276</v>
      </c>
      <c r="B890" t="s">
        <v>338</v>
      </c>
      <c r="C890" t="s">
        <v>71</v>
      </c>
      <c r="D890" t="s">
        <v>42</v>
      </c>
      <c r="E890" t="s">
        <v>92</v>
      </c>
      <c r="F890">
        <v>1</v>
      </c>
      <c r="G890">
        <v>228.94</v>
      </c>
      <c r="H890" t="s">
        <v>58</v>
      </c>
      <c r="I890" t="s">
        <v>1544</v>
      </c>
      <c r="J890" t="s">
        <v>26</v>
      </c>
      <c r="K890" t="s">
        <v>60</v>
      </c>
      <c r="L890" t="s">
        <v>39</v>
      </c>
      <c r="M890" t="s">
        <v>79</v>
      </c>
      <c r="N890">
        <v>228.94</v>
      </c>
    </row>
    <row r="891" spans="1:14" x14ac:dyDescent="0.35">
      <c r="A891" s="2">
        <v>45137</v>
      </c>
      <c r="B891" t="s">
        <v>573</v>
      </c>
      <c r="C891" t="s">
        <v>89</v>
      </c>
      <c r="D891" t="s">
        <v>52</v>
      </c>
      <c r="E891" t="s">
        <v>63</v>
      </c>
      <c r="F891">
        <v>4</v>
      </c>
      <c r="G891">
        <v>326.36</v>
      </c>
      <c r="H891" t="s">
        <v>35</v>
      </c>
      <c r="I891" t="s">
        <v>1545</v>
      </c>
      <c r="J891" t="s">
        <v>94</v>
      </c>
      <c r="K891" t="s">
        <v>78</v>
      </c>
      <c r="L891" t="s">
        <v>66</v>
      </c>
      <c r="M891" t="s">
        <v>101</v>
      </c>
      <c r="N891">
        <v>1305.44</v>
      </c>
    </row>
    <row r="892" spans="1:14" x14ac:dyDescent="0.35">
      <c r="A892" s="2">
        <v>44952</v>
      </c>
      <c r="B892" t="s">
        <v>687</v>
      </c>
      <c r="C892" t="s">
        <v>71</v>
      </c>
      <c r="D892" t="s">
        <v>42</v>
      </c>
      <c r="E892" t="s">
        <v>43</v>
      </c>
      <c r="F892">
        <v>8</v>
      </c>
      <c r="G892">
        <v>100.89</v>
      </c>
      <c r="H892" t="s">
        <v>24</v>
      </c>
      <c r="I892" t="s">
        <v>1546</v>
      </c>
      <c r="J892" t="s">
        <v>37</v>
      </c>
      <c r="K892" t="s">
        <v>27</v>
      </c>
      <c r="L892" t="s">
        <v>39</v>
      </c>
      <c r="M892" t="s">
        <v>56</v>
      </c>
      <c r="N892">
        <v>807.12</v>
      </c>
    </row>
    <row r="893" spans="1:14" x14ac:dyDescent="0.35">
      <c r="A893" s="2">
        <v>45836</v>
      </c>
      <c r="B893" t="s">
        <v>1547</v>
      </c>
      <c r="C893" t="s">
        <v>41</v>
      </c>
      <c r="D893" t="s">
        <v>33</v>
      </c>
      <c r="E893" t="s">
        <v>43</v>
      </c>
      <c r="F893">
        <v>6</v>
      </c>
      <c r="G893">
        <v>153.65</v>
      </c>
      <c r="H893" t="s">
        <v>24</v>
      </c>
      <c r="I893" t="s">
        <v>1548</v>
      </c>
      <c r="J893" t="s">
        <v>94</v>
      </c>
      <c r="K893" t="s">
        <v>78</v>
      </c>
      <c r="L893" t="s">
        <v>39</v>
      </c>
      <c r="M893" t="s">
        <v>79</v>
      </c>
      <c r="N893">
        <v>921.90000000000009</v>
      </c>
    </row>
    <row r="894" spans="1:14" x14ac:dyDescent="0.35">
      <c r="A894" s="2">
        <v>45343</v>
      </c>
      <c r="B894" t="s">
        <v>1322</v>
      </c>
      <c r="C894" t="s">
        <v>47</v>
      </c>
      <c r="D894" t="s">
        <v>42</v>
      </c>
      <c r="E894" t="s">
        <v>34</v>
      </c>
      <c r="F894">
        <v>4</v>
      </c>
      <c r="G894">
        <v>335.28</v>
      </c>
      <c r="H894" t="s">
        <v>35</v>
      </c>
      <c r="I894" t="s">
        <v>1549</v>
      </c>
      <c r="J894" t="s">
        <v>26</v>
      </c>
      <c r="K894" t="s">
        <v>60</v>
      </c>
      <c r="L894" t="s">
        <v>39</v>
      </c>
      <c r="M894" t="s">
        <v>67</v>
      </c>
      <c r="N894">
        <v>1341.12</v>
      </c>
    </row>
    <row r="895" spans="1:14" x14ac:dyDescent="0.35">
      <c r="A895" s="2">
        <v>45799</v>
      </c>
      <c r="B895" t="s">
        <v>261</v>
      </c>
      <c r="C895" t="s">
        <v>106</v>
      </c>
      <c r="D895" t="s">
        <v>52</v>
      </c>
      <c r="E895" t="s">
        <v>63</v>
      </c>
      <c r="F895">
        <v>8</v>
      </c>
      <c r="G895">
        <v>351.15</v>
      </c>
      <c r="H895" t="s">
        <v>44</v>
      </c>
      <c r="I895" t="s">
        <v>1550</v>
      </c>
      <c r="J895" t="s">
        <v>26</v>
      </c>
      <c r="K895" t="s">
        <v>60</v>
      </c>
      <c r="L895" t="s">
        <v>39</v>
      </c>
      <c r="M895" t="s">
        <v>56</v>
      </c>
      <c r="N895">
        <v>2809.2</v>
      </c>
    </row>
    <row r="896" spans="1:14" x14ac:dyDescent="0.35">
      <c r="A896" s="2">
        <v>45508</v>
      </c>
      <c r="B896" t="s">
        <v>886</v>
      </c>
      <c r="C896" t="s">
        <v>71</v>
      </c>
      <c r="D896" t="s">
        <v>52</v>
      </c>
      <c r="E896" t="s">
        <v>92</v>
      </c>
      <c r="F896">
        <v>2</v>
      </c>
      <c r="G896">
        <v>202</v>
      </c>
      <c r="H896" t="s">
        <v>35</v>
      </c>
      <c r="I896" t="s">
        <v>1551</v>
      </c>
      <c r="J896" t="s">
        <v>55</v>
      </c>
      <c r="K896" t="s">
        <v>38</v>
      </c>
      <c r="L896" t="s">
        <v>66</v>
      </c>
      <c r="M896" t="s">
        <v>101</v>
      </c>
      <c r="N896">
        <v>404</v>
      </c>
    </row>
    <row r="897" spans="1:14" x14ac:dyDescent="0.35">
      <c r="A897" s="2">
        <v>45709</v>
      </c>
      <c r="B897" t="s">
        <v>1311</v>
      </c>
      <c r="C897" t="s">
        <v>41</v>
      </c>
      <c r="D897" t="s">
        <v>52</v>
      </c>
      <c r="E897" t="s">
        <v>63</v>
      </c>
      <c r="F897">
        <v>6</v>
      </c>
      <c r="G897">
        <v>192.41</v>
      </c>
      <c r="H897" t="s">
        <v>64</v>
      </c>
      <c r="I897" t="s">
        <v>1552</v>
      </c>
      <c r="J897" t="s">
        <v>94</v>
      </c>
      <c r="K897" t="s">
        <v>60</v>
      </c>
      <c r="L897" t="s">
        <v>39</v>
      </c>
      <c r="M897" t="s">
        <v>61</v>
      </c>
      <c r="N897">
        <v>1154.46</v>
      </c>
    </row>
    <row r="898" spans="1:14" x14ac:dyDescent="0.35">
      <c r="A898" s="2">
        <v>45037</v>
      </c>
      <c r="B898" t="s">
        <v>70</v>
      </c>
      <c r="C898" t="s">
        <v>47</v>
      </c>
      <c r="D898" t="s">
        <v>42</v>
      </c>
      <c r="E898" t="s">
        <v>63</v>
      </c>
      <c r="F898">
        <v>9</v>
      </c>
      <c r="G898">
        <v>206.01</v>
      </c>
      <c r="H898" t="s">
        <v>58</v>
      </c>
      <c r="I898" t="s">
        <v>1553</v>
      </c>
      <c r="J898" t="s">
        <v>55</v>
      </c>
      <c r="K898" t="s">
        <v>78</v>
      </c>
      <c r="L898" t="s">
        <v>28</v>
      </c>
      <c r="M898" t="s">
        <v>61</v>
      </c>
      <c r="N898">
        <v>1854.09</v>
      </c>
    </row>
    <row r="899" spans="1:14" x14ac:dyDescent="0.35">
      <c r="A899" s="2">
        <v>45000</v>
      </c>
      <c r="B899" t="s">
        <v>1554</v>
      </c>
      <c r="C899" t="s">
        <v>47</v>
      </c>
      <c r="D899" t="s">
        <v>33</v>
      </c>
      <c r="E899" t="s">
        <v>34</v>
      </c>
      <c r="F899">
        <v>3</v>
      </c>
      <c r="G899">
        <v>375.43</v>
      </c>
      <c r="H899" t="s">
        <v>35</v>
      </c>
      <c r="I899" t="s">
        <v>1555</v>
      </c>
      <c r="J899" t="s">
        <v>55</v>
      </c>
      <c r="K899" t="s">
        <v>38</v>
      </c>
      <c r="L899" t="s">
        <v>39</v>
      </c>
      <c r="M899" t="s">
        <v>67</v>
      </c>
      <c r="N899">
        <v>1126.29</v>
      </c>
    </row>
    <row r="900" spans="1:14" x14ac:dyDescent="0.35">
      <c r="A900" s="2">
        <v>45625</v>
      </c>
      <c r="B900" t="s">
        <v>1556</v>
      </c>
      <c r="C900" t="s">
        <v>21</v>
      </c>
      <c r="D900" t="s">
        <v>33</v>
      </c>
      <c r="E900" t="s">
        <v>53</v>
      </c>
      <c r="F900">
        <v>7</v>
      </c>
      <c r="G900">
        <v>98.82</v>
      </c>
      <c r="H900" t="s">
        <v>35</v>
      </c>
      <c r="I900" t="s">
        <v>1557</v>
      </c>
      <c r="J900" t="s">
        <v>37</v>
      </c>
      <c r="K900" t="s">
        <v>78</v>
      </c>
      <c r="L900" t="s">
        <v>28</v>
      </c>
      <c r="M900" t="s">
        <v>61</v>
      </c>
      <c r="N900">
        <v>691.74</v>
      </c>
    </row>
    <row r="901" spans="1:14" x14ac:dyDescent="0.35">
      <c r="A901" s="2">
        <v>45193</v>
      </c>
      <c r="B901" t="s">
        <v>957</v>
      </c>
      <c r="C901" t="s">
        <v>74</v>
      </c>
      <c r="D901" t="s">
        <v>42</v>
      </c>
      <c r="E901" t="s">
        <v>43</v>
      </c>
      <c r="F901">
        <v>8</v>
      </c>
      <c r="G901">
        <v>141.12</v>
      </c>
      <c r="H901" t="s">
        <v>64</v>
      </c>
      <c r="I901" t="s">
        <v>1558</v>
      </c>
      <c r="J901" t="s">
        <v>97</v>
      </c>
      <c r="K901" t="s">
        <v>38</v>
      </c>
      <c r="L901" t="s">
        <v>39</v>
      </c>
      <c r="M901" t="s">
        <v>101</v>
      </c>
      <c r="N901">
        <v>1128.96</v>
      </c>
    </row>
    <row r="902" spans="1:14" x14ac:dyDescent="0.35">
      <c r="A902" s="2">
        <v>45352</v>
      </c>
      <c r="B902" t="s">
        <v>697</v>
      </c>
      <c r="C902" t="s">
        <v>71</v>
      </c>
      <c r="D902" t="s">
        <v>52</v>
      </c>
      <c r="E902" t="s">
        <v>83</v>
      </c>
      <c r="F902">
        <v>4</v>
      </c>
      <c r="G902">
        <v>388.12</v>
      </c>
      <c r="H902" t="s">
        <v>44</v>
      </c>
      <c r="I902" t="s">
        <v>1559</v>
      </c>
      <c r="J902" t="s">
        <v>97</v>
      </c>
      <c r="K902" t="s">
        <v>27</v>
      </c>
      <c r="L902" t="s">
        <v>66</v>
      </c>
      <c r="M902" t="s">
        <v>61</v>
      </c>
      <c r="N902">
        <v>1552.48</v>
      </c>
    </row>
    <row r="903" spans="1:14" x14ac:dyDescent="0.35">
      <c r="A903" s="2">
        <v>45009</v>
      </c>
      <c r="B903" t="s">
        <v>1560</v>
      </c>
      <c r="C903" t="s">
        <v>74</v>
      </c>
      <c r="D903" t="s">
        <v>22</v>
      </c>
      <c r="E903" t="s">
        <v>63</v>
      </c>
      <c r="F903">
        <v>4</v>
      </c>
      <c r="G903">
        <v>372.75</v>
      </c>
      <c r="H903" t="s">
        <v>58</v>
      </c>
      <c r="I903" t="s">
        <v>1561</v>
      </c>
      <c r="J903" t="s">
        <v>37</v>
      </c>
      <c r="K903" t="s">
        <v>38</v>
      </c>
      <c r="L903" t="s">
        <v>66</v>
      </c>
      <c r="M903" t="s">
        <v>61</v>
      </c>
      <c r="N903">
        <v>1491</v>
      </c>
    </row>
    <row r="904" spans="1:14" x14ac:dyDescent="0.35">
      <c r="A904" s="2">
        <v>45643</v>
      </c>
      <c r="B904" t="s">
        <v>1014</v>
      </c>
      <c r="C904" t="s">
        <v>41</v>
      </c>
      <c r="D904" t="s">
        <v>22</v>
      </c>
      <c r="E904" t="s">
        <v>83</v>
      </c>
      <c r="F904">
        <v>1</v>
      </c>
      <c r="G904">
        <v>120.47</v>
      </c>
      <c r="H904" t="s">
        <v>64</v>
      </c>
      <c r="I904" t="s">
        <v>1562</v>
      </c>
      <c r="J904" t="s">
        <v>94</v>
      </c>
      <c r="K904" t="s">
        <v>27</v>
      </c>
      <c r="L904" t="s">
        <v>28</v>
      </c>
      <c r="M904" t="s">
        <v>49</v>
      </c>
      <c r="N904">
        <v>120.47</v>
      </c>
    </row>
    <row r="905" spans="1:14" x14ac:dyDescent="0.35">
      <c r="A905" s="2">
        <v>45761</v>
      </c>
      <c r="B905" t="s">
        <v>681</v>
      </c>
      <c r="C905" t="s">
        <v>81</v>
      </c>
      <c r="D905" t="s">
        <v>42</v>
      </c>
      <c r="E905" t="s">
        <v>53</v>
      </c>
      <c r="F905">
        <v>2</v>
      </c>
      <c r="G905">
        <v>86.6</v>
      </c>
      <c r="H905" t="s">
        <v>24</v>
      </c>
      <c r="I905" t="s">
        <v>1563</v>
      </c>
      <c r="J905" t="s">
        <v>37</v>
      </c>
      <c r="K905" t="s">
        <v>60</v>
      </c>
      <c r="L905" t="s">
        <v>39</v>
      </c>
      <c r="M905" t="s">
        <v>29</v>
      </c>
      <c r="N905">
        <v>173.2</v>
      </c>
    </row>
    <row r="906" spans="1:14" x14ac:dyDescent="0.35">
      <c r="A906" s="2">
        <v>44998</v>
      </c>
      <c r="B906" t="s">
        <v>1564</v>
      </c>
      <c r="C906" t="s">
        <v>74</v>
      </c>
      <c r="D906" t="s">
        <v>52</v>
      </c>
      <c r="E906" t="s">
        <v>92</v>
      </c>
      <c r="F906">
        <v>5</v>
      </c>
      <c r="G906">
        <v>140.38999999999999</v>
      </c>
      <c r="H906" t="s">
        <v>58</v>
      </c>
      <c r="I906" t="s">
        <v>1565</v>
      </c>
      <c r="J906" t="s">
        <v>97</v>
      </c>
      <c r="K906" t="s">
        <v>78</v>
      </c>
      <c r="L906" t="s">
        <v>28</v>
      </c>
      <c r="M906" t="s">
        <v>29</v>
      </c>
      <c r="N906">
        <v>701.94999999999993</v>
      </c>
    </row>
    <row r="907" spans="1:14" x14ac:dyDescent="0.35">
      <c r="A907" s="2">
        <v>45266</v>
      </c>
      <c r="B907" t="s">
        <v>757</v>
      </c>
      <c r="C907" t="s">
        <v>89</v>
      </c>
      <c r="D907" t="s">
        <v>33</v>
      </c>
      <c r="E907" t="s">
        <v>92</v>
      </c>
      <c r="F907">
        <v>6</v>
      </c>
      <c r="G907">
        <v>152.18</v>
      </c>
      <c r="H907" t="s">
        <v>64</v>
      </c>
      <c r="I907" t="s">
        <v>1566</v>
      </c>
      <c r="J907" t="s">
        <v>94</v>
      </c>
      <c r="K907" t="s">
        <v>60</v>
      </c>
      <c r="L907" t="s">
        <v>39</v>
      </c>
      <c r="M907" t="s">
        <v>67</v>
      </c>
      <c r="N907">
        <v>913.08</v>
      </c>
    </row>
    <row r="908" spans="1:14" x14ac:dyDescent="0.35">
      <c r="A908" s="2">
        <v>45522</v>
      </c>
      <c r="B908" t="s">
        <v>605</v>
      </c>
      <c r="C908" t="s">
        <v>86</v>
      </c>
      <c r="D908" t="s">
        <v>52</v>
      </c>
      <c r="E908" t="s">
        <v>63</v>
      </c>
      <c r="F908">
        <v>10</v>
      </c>
      <c r="G908">
        <v>72.47</v>
      </c>
      <c r="H908" t="s">
        <v>58</v>
      </c>
      <c r="I908" t="s">
        <v>1567</v>
      </c>
      <c r="J908" t="s">
        <v>37</v>
      </c>
      <c r="K908" t="s">
        <v>78</v>
      </c>
      <c r="L908" t="s">
        <v>28</v>
      </c>
      <c r="M908" t="s">
        <v>101</v>
      </c>
      <c r="N908">
        <v>724.7</v>
      </c>
    </row>
    <row r="909" spans="1:14" x14ac:dyDescent="0.35">
      <c r="A909" s="2">
        <v>45106</v>
      </c>
      <c r="B909" t="s">
        <v>1002</v>
      </c>
      <c r="C909" t="s">
        <v>47</v>
      </c>
      <c r="D909" t="s">
        <v>33</v>
      </c>
      <c r="E909" t="s">
        <v>34</v>
      </c>
      <c r="F909">
        <v>6</v>
      </c>
      <c r="G909">
        <v>249.3</v>
      </c>
      <c r="H909" t="s">
        <v>44</v>
      </c>
      <c r="I909" t="s">
        <v>1568</v>
      </c>
      <c r="J909" t="s">
        <v>26</v>
      </c>
      <c r="K909" t="s">
        <v>60</v>
      </c>
      <c r="L909" t="s">
        <v>28</v>
      </c>
      <c r="M909" t="s">
        <v>56</v>
      </c>
      <c r="N909">
        <v>1495.8</v>
      </c>
    </row>
    <row r="910" spans="1:14" x14ac:dyDescent="0.35">
      <c r="A910" s="2">
        <v>45193</v>
      </c>
      <c r="B910" t="s">
        <v>40</v>
      </c>
      <c r="C910" t="s">
        <v>71</v>
      </c>
      <c r="D910" t="s">
        <v>33</v>
      </c>
      <c r="E910" t="s">
        <v>53</v>
      </c>
      <c r="F910">
        <v>10</v>
      </c>
      <c r="G910">
        <v>42.45</v>
      </c>
      <c r="H910" t="s">
        <v>58</v>
      </c>
      <c r="I910" t="s">
        <v>1569</v>
      </c>
      <c r="J910" t="s">
        <v>97</v>
      </c>
      <c r="K910" t="s">
        <v>78</v>
      </c>
      <c r="L910" t="s">
        <v>39</v>
      </c>
      <c r="M910" t="s">
        <v>101</v>
      </c>
      <c r="N910">
        <v>424.5</v>
      </c>
    </row>
    <row r="911" spans="1:14" x14ac:dyDescent="0.35">
      <c r="A911" s="2">
        <v>44940</v>
      </c>
      <c r="B911" t="s">
        <v>804</v>
      </c>
      <c r="C911" t="s">
        <v>41</v>
      </c>
      <c r="D911" t="s">
        <v>42</v>
      </c>
      <c r="E911" t="s">
        <v>92</v>
      </c>
      <c r="F911">
        <v>6</v>
      </c>
      <c r="G911">
        <v>152.63</v>
      </c>
      <c r="H911" t="s">
        <v>44</v>
      </c>
      <c r="I911" t="s">
        <v>1570</v>
      </c>
      <c r="J911" t="s">
        <v>55</v>
      </c>
      <c r="K911" t="s">
        <v>60</v>
      </c>
      <c r="L911" t="s">
        <v>66</v>
      </c>
      <c r="M911" t="s">
        <v>79</v>
      </c>
      <c r="N911">
        <v>915.78</v>
      </c>
    </row>
    <row r="912" spans="1:14" x14ac:dyDescent="0.35">
      <c r="A912" s="2">
        <v>45593</v>
      </c>
      <c r="B912" t="s">
        <v>658</v>
      </c>
      <c r="C912" t="s">
        <v>41</v>
      </c>
      <c r="D912" t="s">
        <v>33</v>
      </c>
      <c r="E912" t="s">
        <v>92</v>
      </c>
      <c r="F912">
        <v>5</v>
      </c>
      <c r="G912">
        <v>91.27</v>
      </c>
      <c r="H912" t="s">
        <v>24</v>
      </c>
      <c r="I912" t="s">
        <v>1571</v>
      </c>
      <c r="J912" t="s">
        <v>55</v>
      </c>
      <c r="K912" t="s">
        <v>38</v>
      </c>
      <c r="L912" t="s">
        <v>39</v>
      </c>
      <c r="M912" t="s">
        <v>29</v>
      </c>
      <c r="N912">
        <v>456.35</v>
      </c>
    </row>
    <row r="913" spans="1:14" x14ac:dyDescent="0.35">
      <c r="A913" s="2">
        <v>45439</v>
      </c>
      <c r="B913" t="s">
        <v>1572</v>
      </c>
      <c r="C913" t="s">
        <v>21</v>
      </c>
      <c r="D913" t="s">
        <v>22</v>
      </c>
      <c r="E913" t="s">
        <v>83</v>
      </c>
      <c r="F913">
        <v>5</v>
      </c>
      <c r="G913">
        <v>155.88</v>
      </c>
      <c r="H913" t="s">
        <v>58</v>
      </c>
      <c r="I913" t="s">
        <v>1573</v>
      </c>
      <c r="J913" t="s">
        <v>97</v>
      </c>
      <c r="K913" t="s">
        <v>38</v>
      </c>
      <c r="L913" t="s">
        <v>28</v>
      </c>
      <c r="M913" t="s">
        <v>29</v>
      </c>
      <c r="N913">
        <v>779.4</v>
      </c>
    </row>
    <row r="914" spans="1:14" x14ac:dyDescent="0.35">
      <c r="A914" s="2">
        <v>45170</v>
      </c>
      <c r="B914" t="s">
        <v>918</v>
      </c>
      <c r="C914" t="s">
        <v>81</v>
      </c>
      <c r="D914" t="s">
        <v>42</v>
      </c>
      <c r="E914" t="s">
        <v>63</v>
      </c>
      <c r="F914">
        <v>3</v>
      </c>
      <c r="G914">
        <v>167.77</v>
      </c>
      <c r="H914" t="s">
        <v>24</v>
      </c>
      <c r="I914" t="s">
        <v>1574</v>
      </c>
      <c r="J914" t="s">
        <v>94</v>
      </c>
      <c r="K914" t="s">
        <v>78</v>
      </c>
      <c r="L914" t="s">
        <v>28</v>
      </c>
      <c r="M914" t="s">
        <v>61</v>
      </c>
      <c r="N914">
        <v>503.31000000000012</v>
      </c>
    </row>
    <row r="915" spans="1:14" x14ac:dyDescent="0.35">
      <c r="A915" s="2">
        <v>45670</v>
      </c>
      <c r="B915" t="s">
        <v>987</v>
      </c>
      <c r="C915" t="s">
        <v>41</v>
      </c>
      <c r="D915" t="s">
        <v>42</v>
      </c>
      <c r="E915" t="s">
        <v>63</v>
      </c>
      <c r="F915">
        <v>3</v>
      </c>
      <c r="G915">
        <v>389.45</v>
      </c>
      <c r="H915" t="s">
        <v>44</v>
      </c>
      <c r="I915" t="s">
        <v>1575</v>
      </c>
      <c r="J915" t="s">
        <v>26</v>
      </c>
      <c r="K915" t="s">
        <v>78</v>
      </c>
      <c r="L915" t="s">
        <v>28</v>
      </c>
      <c r="M915" t="s">
        <v>29</v>
      </c>
      <c r="N915">
        <v>1168.3499999999999</v>
      </c>
    </row>
    <row r="916" spans="1:14" x14ac:dyDescent="0.35">
      <c r="A916" s="2">
        <v>45523</v>
      </c>
      <c r="B916" t="s">
        <v>963</v>
      </c>
      <c r="C916" t="s">
        <v>74</v>
      </c>
      <c r="D916" t="s">
        <v>22</v>
      </c>
      <c r="E916" t="s">
        <v>92</v>
      </c>
      <c r="F916">
        <v>1</v>
      </c>
      <c r="G916">
        <v>113.57</v>
      </c>
      <c r="H916" t="s">
        <v>44</v>
      </c>
      <c r="I916" t="s">
        <v>1576</v>
      </c>
      <c r="J916" t="s">
        <v>37</v>
      </c>
      <c r="K916" t="s">
        <v>38</v>
      </c>
      <c r="L916" t="s">
        <v>39</v>
      </c>
      <c r="M916" t="s">
        <v>29</v>
      </c>
      <c r="N916">
        <v>113.57</v>
      </c>
    </row>
    <row r="917" spans="1:14" x14ac:dyDescent="0.35">
      <c r="A917" s="2">
        <v>45631</v>
      </c>
      <c r="B917" t="s">
        <v>180</v>
      </c>
      <c r="C917" t="s">
        <v>81</v>
      </c>
      <c r="D917" t="s">
        <v>33</v>
      </c>
      <c r="E917" t="s">
        <v>43</v>
      </c>
      <c r="F917">
        <v>1</v>
      </c>
      <c r="G917">
        <v>11.97</v>
      </c>
      <c r="H917" t="s">
        <v>44</v>
      </c>
      <c r="I917" t="s">
        <v>1577</v>
      </c>
      <c r="J917" t="s">
        <v>55</v>
      </c>
      <c r="K917" t="s">
        <v>38</v>
      </c>
      <c r="L917" t="s">
        <v>39</v>
      </c>
      <c r="M917" t="s">
        <v>56</v>
      </c>
      <c r="N917">
        <v>11.97</v>
      </c>
    </row>
    <row r="918" spans="1:14" x14ac:dyDescent="0.35">
      <c r="A918" s="2">
        <v>45519</v>
      </c>
      <c r="B918" t="s">
        <v>1578</v>
      </c>
      <c r="C918" t="s">
        <v>51</v>
      </c>
      <c r="D918" t="s">
        <v>52</v>
      </c>
      <c r="E918" t="s">
        <v>53</v>
      </c>
      <c r="F918">
        <v>2</v>
      </c>
      <c r="G918">
        <v>389.92</v>
      </c>
      <c r="H918" t="s">
        <v>35</v>
      </c>
      <c r="I918" t="s">
        <v>1579</v>
      </c>
      <c r="J918" t="s">
        <v>55</v>
      </c>
      <c r="K918" t="s">
        <v>78</v>
      </c>
      <c r="L918" t="s">
        <v>66</v>
      </c>
      <c r="M918" t="s">
        <v>56</v>
      </c>
      <c r="N918">
        <v>779.84</v>
      </c>
    </row>
    <row r="919" spans="1:14" x14ac:dyDescent="0.35">
      <c r="A919" s="2">
        <v>45635</v>
      </c>
      <c r="B919" t="s">
        <v>400</v>
      </c>
      <c r="C919" t="s">
        <v>89</v>
      </c>
      <c r="D919" t="s">
        <v>33</v>
      </c>
      <c r="E919" t="s">
        <v>53</v>
      </c>
      <c r="F919">
        <v>10</v>
      </c>
      <c r="G919">
        <v>301.79000000000002</v>
      </c>
      <c r="H919" t="s">
        <v>58</v>
      </c>
      <c r="I919" t="s">
        <v>1580</v>
      </c>
      <c r="J919" t="s">
        <v>97</v>
      </c>
      <c r="K919" t="s">
        <v>60</v>
      </c>
      <c r="L919" t="s">
        <v>28</v>
      </c>
      <c r="M919" t="s">
        <v>29</v>
      </c>
      <c r="N919">
        <v>3017.9</v>
      </c>
    </row>
    <row r="920" spans="1:14" x14ac:dyDescent="0.35">
      <c r="A920" s="2">
        <v>45238</v>
      </c>
      <c r="B920" t="s">
        <v>1154</v>
      </c>
      <c r="C920" t="s">
        <v>86</v>
      </c>
      <c r="D920" t="s">
        <v>52</v>
      </c>
      <c r="E920" t="s">
        <v>23</v>
      </c>
      <c r="F920">
        <v>3</v>
      </c>
      <c r="G920">
        <v>140.91</v>
      </c>
      <c r="H920" t="s">
        <v>24</v>
      </c>
      <c r="I920" t="s">
        <v>1581</v>
      </c>
      <c r="J920" t="s">
        <v>97</v>
      </c>
      <c r="K920" t="s">
        <v>38</v>
      </c>
      <c r="L920" t="s">
        <v>39</v>
      </c>
      <c r="M920" t="s">
        <v>67</v>
      </c>
      <c r="N920">
        <v>422.73</v>
      </c>
    </row>
    <row r="921" spans="1:14" x14ac:dyDescent="0.35">
      <c r="A921" s="2">
        <v>45720</v>
      </c>
      <c r="B921" t="s">
        <v>1062</v>
      </c>
      <c r="C921" t="s">
        <v>41</v>
      </c>
      <c r="D921" t="s">
        <v>22</v>
      </c>
      <c r="E921" t="s">
        <v>43</v>
      </c>
      <c r="F921">
        <v>4</v>
      </c>
      <c r="G921">
        <v>384.08</v>
      </c>
      <c r="H921" t="s">
        <v>35</v>
      </c>
      <c r="I921" t="s">
        <v>1582</v>
      </c>
      <c r="J921" t="s">
        <v>26</v>
      </c>
      <c r="K921" t="s">
        <v>78</v>
      </c>
      <c r="L921" t="s">
        <v>28</v>
      </c>
      <c r="M921" t="s">
        <v>49</v>
      </c>
      <c r="N921">
        <v>1536.32</v>
      </c>
    </row>
    <row r="922" spans="1:14" x14ac:dyDescent="0.35">
      <c r="A922" s="2">
        <v>45092</v>
      </c>
      <c r="B922" t="s">
        <v>1369</v>
      </c>
      <c r="C922" t="s">
        <v>47</v>
      </c>
      <c r="D922" t="s">
        <v>42</v>
      </c>
      <c r="E922" t="s">
        <v>63</v>
      </c>
      <c r="F922">
        <v>6</v>
      </c>
      <c r="G922">
        <v>199.51</v>
      </c>
      <c r="H922" t="s">
        <v>24</v>
      </c>
      <c r="I922" t="s">
        <v>1583</v>
      </c>
      <c r="J922" t="s">
        <v>97</v>
      </c>
      <c r="K922" t="s">
        <v>38</v>
      </c>
      <c r="L922" t="s">
        <v>28</v>
      </c>
      <c r="M922" t="s">
        <v>56</v>
      </c>
      <c r="N922">
        <v>1197.06</v>
      </c>
    </row>
    <row r="923" spans="1:14" x14ac:dyDescent="0.35">
      <c r="A923" s="2">
        <v>45351</v>
      </c>
      <c r="B923" t="s">
        <v>1584</v>
      </c>
      <c r="C923" t="s">
        <v>47</v>
      </c>
      <c r="D923" t="s">
        <v>42</v>
      </c>
      <c r="E923" t="s">
        <v>23</v>
      </c>
      <c r="F923">
        <v>3</v>
      </c>
      <c r="G923">
        <v>246.73</v>
      </c>
      <c r="H923" t="s">
        <v>64</v>
      </c>
      <c r="I923" t="s">
        <v>1585</v>
      </c>
      <c r="J923" t="s">
        <v>97</v>
      </c>
      <c r="K923" t="s">
        <v>60</v>
      </c>
      <c r="L923" t="s">
        <v>39</v>
      </c>
      <c r="M923" t="s">
        <v>56</v>
      </c>
      <c r="N923">
        <v>740.18999999999994</v>
      </c>
    </row>
    <row r="924" spans="1:14" x14ac:dyDescent="0.35">
      <c r="A924" s="2">
        <v>44941</v>
      </c>
      <c r="B924" t="s">
        <v>1586</v>
      </c>
      <c r="C924" t="s">
        <v>71</v>
      </c>
      <c r="D924" t="s">
        <v>22</v>
      </c>
      <c r="E924" t="s">
        <v>23</v>
      </c>
      <c r="F924">
        <v>6</v>
      </c>
      <c r="G924">
        <v>172.81</v>
      </c>
      <c r="H924" t="s">
        <v>35</v>
      </c>
      <c r="I924" t="s">
        <v>1587</v>
      </c>
      <c r="J924" t="s">
        <v>97</v>
      </c>
      <c r="K924" t="s">
        <v>78</v>
      </c>
      <c r="L924" t="s">
        <v>39</v>
      </c>
      <c r="M924" t="s">
        <v>101</v>
      </c>
      <c r="N924">
        <v>1036.8599999999999</v>
      </c>
    </row>
    <row r="925" spans="1:14" x14ac:dyDescent="0.35">
      <c r="A925" s="2">
        <v>45009</v>
      </c>
      <c r="B925" t="s">
        <v>433</v>
      </c>
      <c r="C925" t="s">
        <v>89</v>
      </c>
      <c r="D925" t="s">
        <v>33</v>
      </c>
      <c r="E925" t="s">
        <v>23</v>
      </c>
      <c r="F925">
        <v>4</v>
      </c>
      <c r="G925">
        <v>393</v>
      </c>
      <c r="H925" t="s">
        <v>58</v>
      </c>
      <c r="I925" t="s">
        <v>1588</v>
      </c>
      <c r="J925" t="s">
        <v>94</v>
      </c>
      <c r="K925" t="s">
        <v>27</v>
      </c>
      <c r="L925" t="s">
        <v>66</v>
      </c>
      <c r="M925" t="s">
        <v>61</v>
      </c>
      <c r="N925">
        <v>1572</v>
      </c>
    </row>
    <row r="926" spans="1:14" x14ac:dyDescent="0.35">
      <c r="A926" s="2">
        <v>45198</v>
      </c>
      <c r="B926" t="s">
        <v>1589</v>
      </c>
      <c r="C926" t="s">
        <v>81</v>
      </c>
      <c r="D926" t="s">
        <v>22</v>
      </c>
      <c r="E926" t="s">
        <v>53</v>
      </c>
      <c r="F926">
        <v>10</v>
      </c>
      <c r="G926">
        <v>223.88</v>
      </c>
      <c r="H926" t="s">
        <v>58</v>
      </c>
      <c r="I926" t="s">
        <v>1590</v>
      </c>
      <c r="J926" t="s">
        <v>97</v>
      </c>
      <c r="K926" t="s">
        <v>38</v>
      </c>
      <c r="L926" t="s">
        <v>39</v>
      </c>
      <c r="M926" t="s">
        <v>61</v>
      </c>
      <c r="N926">
        <v>2238.8000000000002</v>
      </c>
    </row>
    <row r="927" spans="1:14" x14ac:dyDescent="0.35">
      <c r="A927" s="2">
        <v>44971</v>
      </c>
      <c r="B927" t="s">
        <v>1084</v>
      </c>
      <c r="C927" t="s">
        <v>41</v>
      </c>
      <c r="D927" t="s">
        <v>33</v>
      </c>
      <c r="E927" t="s">
        <v>83</v>
      </c>
      <c r="F927">
        <v>2</v>
      </c>
      <c r="G927">
        <v>144.82</v>
      </c>
      <c r="H927" t="s">
        <v>24</v>
      </c>
      <c r="I927" t="s">
        <v>1591</v>
      </c>
      <c r="J927" t="s">
        <v>55</v>
      </c>
      <c r="K927" t="s">
        <v>38</v>
      </c>
      <c r="L927" t="s">
        <v>39</v>
      </c>
      <c r="M927" t="s">
        <v>49</v>
      </c>
      <c r="N927">
        <v>289.64</v>
      </c>
    </row>
    <row r="928" spans="1:14" x14ac:dyDescent="0.35">
      <c r="A928" s="2">
        <v>45729</v>
      </c>
      <c r="B928" t="s">
        <v>598</v>
      </c>
      <c r="C928" t="s">
        <v>47</v>
      </c>
      <c r="D928" t="s">
        <v>42</v>
      </c>
      <c r="E928" t="s">
        <v>43</v>
      </c>
      <c r="F928">
        <v>7</v>
      </c>
      <c r="G928">
        <v>97.22</v>
      </c>
      <c r="H928" t="s">
        <v>64</v>
      </c>
      <c r="I928" t="s">
        <v>1592</v>
      </c>
      <c r="J928" t="s">
        <v>94</v>
      </c>
      <c r="K928" t="s">
        <v>78</v>
      </c>
      <c r="L928" t="s">
        <v>39</v>
      </c>
      <c r="M928" t="s">
        <v>56</v>
      </c>
      <c r="N928">
        <v>680.54</v>
      </c>
    </row>
    <row r="929" spans="1:14" x14ac:dyDescent="0.35">
      <c r="A929" s="2">
        <v>45244</v>
      </c>
      <c r="B929" t="s">
        <v>299</v>
      </c>
      <c r="C929" t="s">
        <v>74</v>
      </c>
      <c r="D929" t="s">
        <v>22</v>
      </c>
      <c r="E929" t="s">
        <v>83</v>
      </c>
      <c r="F929">
        <v>3</v>
      </c>
      <c r="G929">
        <v>276.7</v>
      </c>
      <c r="H929" t="s">
        <v>44</v>
      </c>
      <c r="I929" t="s">
        <v>1593</v>
      </c>
      <c r="J929" t="s">
        <v>37</v>
      </c>
      <c r="K929" t="s">
        <v>38</v>
      </c>
      <c r="L929" t="s">
        <v>28</v>
      </c>
      <c r="M929" t="s">
        <v>49</v>
      </c>
      <c r="N929">
        <v>830.09999999999991</v>
      </c>
    </row>
    <row r="930" spans="1:14" x14ac:dyDescent="0.35">
      <c r="A930" s="2">
        <v>45337</v>
      </c>
      <c r="B930" t="s">
        <v>1594</v>
      </c>
      <c r="C930" t="s">
        <v>106</v>
      </c>
      <c r="D930" t="s">
        <v>52</v>
      </c>
      <c r="E930" t="s">
        <v>23</v>
      </c>
      <c r="F930">
        <v>7</v>
      </c>
      <c r="G930">
        <v>192.28</v>
      </c>
      <c r="H930" t="s">
        <v>64</v>
      </c>
      <c r="I930" t="s">
        <v>1595</v>
      </c>
      <c r="J930" t="s">
        <v>26</v>
      </c>
      <c r="K930" t="s">
        <v>38</v>
      </c>
      <c r="L930" t="s">
        <v>28</v>
      </c>
      <c r="M930" t="s">
        <v>56</v>
      </c>
      <c r="N930">
        <v>1345.96</v>
      </c>
    </row>
    <row r="931" spans="1:14" x14ac:dyDescent="0.35">
      <c r="A931" s="2">
        <v>45668</v>
      </c>
      <c r="B931" t="s">
        <v>174</v>
      </c>
      <c r="C931" t="s">
        <v>86</v>
      </c>
      <c r="D931" t="s">
        <v>52</v>
      </c>
      <c r="E931" t="s">
        <v>63</v>
      </c>
      <c r="F931">
        <v>7</v>
      </c>
      <c r="G931">
        <v>123.1</v>
      </c>
      <c r="H931" t="s">
        <v>44</v>
      </c>
      <c r="I931" t="s">
        <v>1596</v>
      </c>
      <c r="J931" t="s">
        <v>37</v>
      </c>
      <c r="K931" t="s">
        <v>27</v>
      </c>
      <c r="L931" t="s">
        <v>28</v>
      </c>
      <c r="M931" t="s">
        <v>79</v>
      </c>
      <c r="N931">
        <v>861.69999999999993</v>
      </c>
    </row>
    <row r="932" spans="1:14" x14ac:dyDescent="0.35">
      <c r="A932" s="2">
        <v>45349</v>
      </c>
      <c r="B932" t="s">
        <v>1514</v>
      </c>
      <c r="C932" t="s">
        <v>47</v>
      </c>
      <c r="D932" t="s">
        <v>52</v>
      </c>
      <c r="E932" t="s">
        <v>53</v>
      </c>
      <c r="F932">
        <v>3</v>
      </c>
      <c r="G932">
        <v>339.25</v>
      </c>
      <c r="H932" t="s">
        <v>35</v>
      </c>
      <c r="I932" t="s">
        <v>1597</v>
      </c>
      <c r="J932" t="s">
        <v>94</v>
      </c>
      <c r="K932" t="s">
        <v>27</v>
      </c>
      <c r="L932" t="s">
        <v>66</v>
      </c>
      <c r="M932" t="s">
        <v>49</v>
      </c>
      <c r="N932">
        <v>1017.75</v>
      </c>
    </row>
    <row r="933" spans="1:14" x14ac:dyDescent="0.35">
      <c r="A933" s="2">
        <v>45369</v>
      </c>
      <c r="B933" t="s">
        <v>187</v>
      </c>
      <c r="C933" t="s">
        <v>89</v>
      </c>
      <c r="D933" t="s">
        <v>33</v>
      </c>
      <c r="E933" t="s">
        <v>43</v>
      </c>
      <c r="F933">
        <v>5</v>
      </c>
      <c r="G933">
        <v>329.67</v>
      </c>
      <c r="H933" t="s">
        <v>64</v>
      </c>
      <c r="I933" t="s">
        <v>1598</v>
      </c>
      <c r="J933" t="s">
        <v>97</v>
      </c>
      <c r="K933" t="s">
        <v>78</v>
      </c>
      <c r="L933" t="s">
        <v>28</v>
      </c>
      <c r="M933" t="s">
        <v>29</v>
      </c>
      <c r="N933">
        <v>1648.35</v>
      </c>
    </row>
    <row r="934" spans="1:14" x14ac:dyDescent="0.35">
      <c r="A934" s="2">
        <v>45491</v>
      </c>
      <c r="B934" t="s">
        <v>614</v>
      </c>
      <c r="C934" t="s">
        <v>51</v>
      </c>
      <c r="D934" t="s">
        <v>42</v>
      </c>
      <c r="E934" t="s">
        <v>43</v>
      </c>
      <c r="F934">
        <v>2</v>
      </c>
      <c r="G934">
        <v>85.7</v>
      </c>
      <c r="H934" t="s">
        <v>44</v>
      </c>
      <c r="I934" t="s">
        <v>1599</v>
      </c>
      <c r="J934" t="s">
        <v>97</v>
      </c>
      <c r="K934" t="s">
        <v>78</v>
      </c>
      <c r="L934" t="s">
        <v>28</v>
      </c>
      <c r="M934" t="s">
        <v>56</v>
      </c>
      <c r="N934">
        <v>171.4</v>
      </c>
    </row>
    <row r="935" spans="1:14" x14ac:dyDescent="0.35">
      <c r="A935" s="2">
        <v>44949</v>
      </c>
      <c r="B935" t="s">
        <v>342</v>
      </c>
      <c r="C935" t="s">
        <v>41</v>
      </c>
      <c r="D935" t="s">
        <v>42</v>
      </c>
      <c r="E935" t="s">
        <v>43</v>
      </c>
      <c r="F935">
        <v>8</v>
      </c>
      <c r="G935">
        <v>81.87</v>
      </c>
      <c r="H935" t="s">
        <v>64</v>
      </c>
      <c r="I935" t="s">
        <v>1600</v>
      </c>
      <c r="J935" t="s">
        <v>37</v>
      </c>
      <c r="K935" t="s">
        <v>27</v>
      </c>
      <c r="L935" t="s">
        <v>28</v>
      </c>
      <c r="M935" t="s">
        <v>29</v>
      </c>
      <c r="N935">
        <v>654.96</v>
      </c>
    </row>
    <row r="936" spans="1:14" x14ac:dyDescent="0.35">
      <c r="A936" s="2">
        <v>45348</v>
      </c>
      <c r="B936" t="s">
        <v>1601</v>
      </c>
      <c r="C936" t="s">
        <v>106</v>
      </c>
      <c r="D936" t="s">
        <v>42</v>
      </c>
      <c r="E936" t="s">
        <v>92</v>
      </c>
      <c r="F936">
        <v>1</v>
      </c>
      <c r="G936">
        <v>20.69</v>
      </c>
      <c r="H936" t="s">
        <v>58</v>
      </c>
      <c r="I936" t="s">
        <v>1602</v>
      </c>
      <c r="J936" t="s">
        <v>26</v>
      </c>
      <c r="K936" t="s">
        <v>38</v>
      </c>
      <c r="L936" t="s">
        <v>39</v>
      </c>
      <c r="M936" t="s">
        <v>29</v>
      </c>
      <c r="N936">
        <v>20.69</v>
      </c>
    </row>
    <row r="937" spans="1:14" x14ac:dyDescent="0.35">
      <c r="A937" s="2">
        <v>45148</v>
      </c>
      <c r="B937" t="s">
        <v>429</v>
      </c>
      <c r="C937" t="s">
        <v>51</v>
      </c>
      <c r="D937" t="s">
        <v>33</v>
      </c>
      <c r="E937" t="s">
        <v>43</v>
      </c>
      <c r="F937">
        <v>2</v>
      </c>
      <c r="G937">
        <v>82.94</v>
      </c>
      <c r="H937" t="s">
        <v>35</v>
      </c>
      <c r="I937" t="s">
        <v>1603</v>
      </c>
      <c r="J937" t="s">
        <v>26</v>
      </c>
      <c r="K937" t="s">
        <v>78</v>
      </c>
      <c r="L937" t="s">
        <v>39</v>
      </c>
      <c r="M937" t="s">
        <v>56</v>
      </c>
      <c r="N937">
        <v>165.88</v>
      </c>
    </row>
    <row r="938" spans="1:14" x14ac:dyDescent="0.35">
      <c r="A938" s="2">
        <v>45761</v>
      </c>
      <c r="B938" t="s">
        <v>1604</v>
      </c>
      <c r="C938" t="s">
        <v>74</v>
      </c>
      <c r="D938" t="s">
        <v>42</v>
      </c>
      <c r="E938" t="s">
        <v>92</v>
      </c>
      <c r="F938">
        <v>8</v>
      </c>
      <c r="G938">
        <v>25.34</v>
      </c>
      <c r="H938" t="s">
        <v>64</v>
      </c>
      <c r="I938" t="s">
        <v>1605</v>
      </c>
      <c r="J938" t="s">
        <v>37</v>
      </c>
      <c r="K938" t="s">
        <v>60</v>
      </c>
      <c r="L938" t="s">
        <v>39</v>
      </c>
      <c r="M938" t="s">
        <v>29</v>
      </c>
      <c r="N938">
        <v>202.72</v>
      </c>
    </row>
    <row r="939" spans="1:14" x14ac:dyDescent="0.35">
      <c r="A939" s="2">
        <v>45505</v>
      </c>
      <c r="B939" t="s">
        <v>234</v>
      </c>
      <c r="C939" t="s">
        <v>51</v>
      </c>
      <c r="D939" t="s">
        <v>42</v>
      </c>
      <c r="E939" t="s">
        <v>83</v>
      </c>
      <c r="F939">
        <v>7</v>
      </c>
      <c r="G939">
        <v>47.17</v>
      </c>
      <c r="H939" t="s">
        <v>35</v>
      </c>
      <c r="I939" t="s">
        <v>1606</v>
      </c>
      <c r="J939" t="s">
        <v>94</v>
      </c>
      <c r="K939" t="s">
        <v>60</v>
      </c>
      <c r="L939" t="s">
        <v>39</v>
      </c>
      <c r="M939" t="s">
        <v>56</v>
      </c>
      <c r="N939">
        <v>330.19</v>
      </c>
    </row>
    <row r="940" spans="1:14" x14ac:dyDescent="0.35">
      <c r="A940" s="2">
        <v>45465</v>
      </c>
      <c r="B940" t="s">
        <v>847</v>
      </c>
      <c r="C940" t="s">
        <v>86</v>
      </c>
      <c r="D940" t="s">
        <v>42</v>
      </c>
      <c r="E940" t="s">
        <v>53</v>
      </c>
      <c r="F940">
        <v>1</v>
      </c>
      <c r="G940">
        <v>154.27000000000001</v>
      </c>
      <c r="H940" t="s">
        <v>44</v>
      </c>
      <c r="I940" t="s">
        <v>1607</v>
      </c>
      <c r="J940" t="s">
        <v>55</v>
      </c>
      <c r="K940" t="s">
        <v>78</v>
      </c>
      <c r="L940" t="s">
        <v>66</v>
      </c>
      <c r="M940" t="s">
        <v>79</v>
      </c>
      <c r="N940">
        <v>154.27000000000001</v>
      </c>
    </row>
    <row r="941" spans="1:14" x14ac:dyDescent="0.35">
      <c r="A941" s="2">
        <v>45514</v>
      </c>
      <c r="B941" t="s">
        <v>1608</v>
      </c>
      <c r="C941" t="s">
        <v>47</v>
      </c>
      <c r="D941" t="s">
        <v>52</v>
      </c>
      <c r="E941" t="s">
        <v>63</v>
      </c>
      <c r="F941">
        <v>1</v>
      </c>
      <c r="G941">
        <v>168.73</v>
      </c>
      <c r="H941" t="s">
        <v>35</v>
      </c>
      <c r="I941" t="s">
        <v>1609</v>
      </c>
      <c r="J941" t="s">
        <v>55</v>
      </c>
      <c r="K941" t="s">
        <v>38</v>
      </c>
      <c r="L941" t="s">
        <v>39</v>
      </c>
      <c r="M941" t="s">
        <v>79</v>
      </c>
      <c r="N941">
        <v>168.73</v>
      </c>
    </row>
    <row r="942" spans="1:14" x14ac:dyDescent="0.35">
      <c r="A942" s="2">
        <v>45721</v>
      </c>
      <c r="B942" t="s">
        <v>319</v>
      </c>
      <c r="C942" t="s">
        <v>41</v>
      </c>
      <c r="D942" t="s">
        <v>42</v>
      </c>
      <c r="E942" t="s">
        <v>43</v>
      </c>
      <c r="F942">
        <v>9</v>
      </c>
      <c r="G942">
        <v>72.36</v>
      </c>
      <c r="H942" t="s">
        <v>64</v>
      </c>
      <c r="I942" t="s">
        <v>1610</v>
      </c>
      <c r="J942" t="s">
        <v>94</v>
      </c>
      <c r="K942" t="s">
        <v>38</v>
      </c>
      <c r="L942" t="s">
        <v>28</v>
      </c>
      <c r="M942" t="s">
        <v>67</v>
      </c>
      <c r="N942">
        <v>651.24</v>
      </c>
    </row>
    <row r="943" spans="1:14" x14ac:dyDescent="0.35">
      <c r="A943" s="2">
        <v>45613</v>
      </c>
      <c r="B943" t="s">
        <v>1611</v>
      </c>
      <c r="C943" t="s">
        <v>106</v>
      </c>
      <c r="D943" t="s">
        <v>22</v>
      </c>
      <c r="E943" t="s">
        <v>34</v>
      </c>
      <c r="F943">
        <v>6</v>
      </c>
      <c r="G943">
        <v>314.56</v>
      </c>
      <c r="H943" t="s">
        <v>24</v>
      </c>
      <c r="I943" t="s">
        <v>1612</v>
      </c>
      <c r="J943" t="s">
        <v>55</v>
      </c>
      <c r="K943" t="s">
        <v>27</v>
      </c>
      <c r="L943" t="s">
        <v>39</v>
      </c>
      <c r="M943" t="s">
        <v>101</v>
      </c>
      <c r="N943">
        <v>1887.36</v>
      </c>
    </row>
    <row r="944" spans="1:14" x14ac:dyDescent="0.35">
      <c r="A944" s="2">
        <v>45319</v>
      </c>
      <c r="B944" t="s">
        <v>653</v>
      </c>
      <c r="C944" t="s">
        <v>81</v>
      </c>
      <c r="D944" t="s">
        <v>42</v>
      </c>
      <c r="E944" t="s">
        <v>63</v>
      </c>
      <c r="F944">
        <v>7</v>
      </c>
      <c r="G944">
        <v>263.89999999999998</v>
      </c>
      <c r="H944" t="s">
        <v>58</v>
      </c>
      <c r="I944" t="s">
        <v>1613</v>
      </c>
      <c r="J944" t="s">
        <v>55</v>
      </c>
      <c r="K944" t="s">
        <v>60</v>
      </c>
      <c r="L944" t="s">
        <v>39</v>
      </c>
      <c r="M944" t="s">
        <v>101</v>
      </c>
      <c r="N944">
        <v>1847.3</v>
      </c>
    </row>
    <row r="945" spans="1:14" x14ac:dyDescent="0.35">
      <c r="A945" s="2">
        <v>44972</v>
      </c>
      <c r="B945" t="s">
        <v>1614</v>
      </c>
      <c r="C945" t="s">
        <v>81</v>
      </c>
      <c r="D945" t="s">
        <v>22</v>
      </c>
      <c r="E945" t="s">
        <v>43</v>
      </c>
      <c r="F945">
        <v>10</v>
      </c>
      <c r="G945">
        <v>330.66</v>
      </c>
      <c r="H945" t="s">
        <v>24</v>
      </c>
      <c r="I945" t="s">
        <v>1615</v>
      </c>
      <c r="J945" t="s">
        <v>55</v>
      </c>
      <c r="K945" t="s">
        <v>60</v>
      </c>
      <c r="L945" t="s">
        <v>66</v>
      </c>
      <c r="M945" t="s">
        <v>67</v>
      </c>
      <c r="N945">
        <v>3306.6</v>
      </c>
    </row>
    <row r="946" spans="1:14" x14ac:dyDescent="0.35">
      <c r="A946" s="2">
        <v>45563</v>
      </c>
      <c r="B946" t="s">
        <v>433</v>
      </c>
      <c r="C946" t="s">
        <v>86</v>
      </c>
      <c r="D946" t="s">
        <v>22</v>
      </c>
      <c r="E946" t="s">
        <v>43</v>
      </c>
      <c r="F946">
        <v>10</v>
      </c>
      <c r="G946">
        <v>60.63</v>
      </c>
      <c r="H946" t="s">
        <v>24</v>
      </c>
      <c r="I946" t="s">
        <v>1616</v>
      </c>
      <c r="J946" t="s">
        <v>55</v>
      </c>
      <c r="K946" t="s">
        <v>60</v>
      </c>
      <c r="L946" t="s">
        <v>66</v>
      </c>
      <c r="M946" t="s">
        <v>79</v>
      </c>
      <c r="N946">
        <v>606.30000000000007</v>
      </c>
    </row>
    <row r="947" spans="1:14" x14ac:dyDescent="0.35">
      <c r="A947" s="2">
        <v>45265</v>
      </c>
      <c r="B947" t="s">
        <v>1213</v>
      </c>
      <c r="C947" t="s">
        <v>51</v>
      </c>
      <c r="D947" t="s">
        <v>22</v>
      </c>
      <c r="E947" t="s">
        <v>63</v>
      </c>
      <c r="F947">
        <v>4</v>
      </c>
      <c r="G947">
        <v>161.58000000000001</v>
      </c>
      <c r="H947" t="s">
        <v>58</v>
      </c>
      <c r="I947" t="s">
        <v>1617</v>
      </c>
      <c r="J947" t="s">
        <v>37</v>
      </c>
      <c r="K947" t="s">
        <v>60</v>
      </c>
      <c r="L947" t="s">
        <v>39</v>
      </c>
      <c r="M947" t="s">
        <v>49</v>
      </c>
      <c r="N947">
        <v>646.32000000000005</v>
      </c>
    </row>
    <row r="948" spans="1:14" x14ac:dyDescent="0.35">
      <c r="A948" s="2">
        <v>45435</v>
      </c>
      <c r="B948" t="s">
        <v>1604</v>
      </c>
      <c r="C948" t="s">
        <v>47</v>
      </c>
      <c r="D948" t="s">
        <v>42</v>
      </c>
      <c r="E948" t="s">
        <v>34</v>
      </c>
      <c r="F948">
        <v>5</v>
      </c>
      <c r="G948">
        <v>40.39</v>
      </c>
      <c r="H948" t="s">
        <v>44</v>
      </c>
      <c r="I948" t="s">
        <v>1618</v>
      </c>
      <c r="J948" t="s">
        <v>37</v>
      </c>
      <c r="K948" t="s">
        <v>78</v>
      </c>
      <c r="L948" t="s">
        <v>39</v>
      </c>
      <c r="M948" t="s">
        <v>56</v>
      </c>
      <c r="N948">
        <v>201.95</v>
      </c>
    </row>
    <row r="949" spans="1:14" x14ac:dyDescent="0.35">
      <c r="A949" s="2">
        <v>45353</v>
      </c>
      <c r="B949" t="s">
        <v>1619</v>
      </c>
      <c r="C949" t="s">
        <v>74</v>
      </c>
      <c r="D949" t="s">
        <v>52</v>
      </c>
      <c r="E949" t="s">
        <v>63</v>
      </c>
      <c r="F949">
        <v>8</v>
      </c>
      <c r="G949">
        <v>43.32</v>
      </c>
      <c r="H949" t="s">
        <v>64</v>
      </c>
      <c r="I949" t="s">
        <v>1620</v>
      </c>
      <c r="J949" t="s">
        <v>55</v>
      </c>
      <c r="K949" t="s">
        <v>38</v>
      </c>
      <c r="L949" t="s">
        <v>39</v>
      </c>
      <c r="M949" t="s">
        <v>79</v>
      </c>
      <c r="N949">
        <v>346.56</v>
      </c>
    </row>
    <row r="950" spans="1:14" x14ac:dyDescent="0.35">
      <c r="A950" s="2">
        <v>45750</v>
      </c>
      <c r="B950" t="s">
        <v>338</v>
      </c>
      <c r="C950" t="s">
        <v>106</v>
      </c>
      <c r="D950" t="s">
        <v>22</v>
      </c>
      <c r="E950" t="s">
        <v>83</v>
      </c>
      <c r="F950">
        <v>5</v>
      </c>
      <c r="G950">
        <v>281.55</v>
      </c>
      <c r="H950" t="s">
        <v>44</v>
      </c>
      <c r="I950" t="s">
        <v>1621</v>
      </c>
      <c r="J950" t="s">
        <v>26</v>
      </c>
      <c r="K950" t="s">
        <v>27</v>
      </c>
      <c r="L950" t="s">
        <v>39</v>
      </c>
      <c r="M950" t="s">
        <v>56</v>
      </c>
      <c r="N950">
        <v>1407.75</v>
      </c>
    </row>
    <row r="951" spans="1:14" x14ac:dyDescent="0.35">
      <c r="A951" s="2">
        <v>45463</v>
      </c>
      <c r="B951" t="s">
        <v>315</v>
      </c>
      <c r="C951" t="s">
        <v>106</v>
      </c>
      <c r="D951" t="s">
        <v>22</v>
      </c>
      <c r="E951" t="s">
        <v>83</v>
      </c>
      <c r="F951">
        <v>8</v>
      </c>
      <c r="G951">
        <v>12.14</v>
      </c>
      <c r="H951" t="s">
        <v>24</v>
      </c>
      <c r="I951" t="s">
        <v>1622</v>
      </c>
      <c r="J951" t="s">
        <v>97</v>
      </c>
      <c r="K951" t="s">
        <v>27</v>
      </c>
      <c r="L951" t="s">
        <v>66</v>
      </c>
      <c r="M951" t="s">
        <v>56</v>
      </c>
      <c r="N951">
        <v>97.12</v>
      </c>
    </row>
    <row r="952" spans="1:14" x14ac:dyDescent="0.35">
      <c r="A952" s="2">
        <v>45696</v>
      </c>
      <c r="B952" t="s">
        <v>1623</v>
      </c>
      <c r="C952" t="s">
        <v>47</v>
      </c>
      <c r="D952" t="s">
        <v>52</v>
      </c>
      <c r="E952" t="s">
        <v>92</v>
      </c>
      <c r="F952">
        <v>3</v>
      </c>
      <c r="G952">
        <v>92.98</v>
      </c>
      <c r="H952" t="s">
        <v>58</v>
      </c>
      <c r="I952" t="s">
        <v>1624</v>
      </c>
      <c r="J952" t="s">
        <v>37</v>
      </c>
      <c r="K952" t="s">
        <v>78</v>
      </c>
      <c r="L952" t="s">
        <v>28</v>
      </c>
      <c r="M952" t="s">
        <v>79</v>
      </c>
      <c r="N952">
        <v>278.94</v>
      </c>
    </row>
    <row r="953" spans="1:14" x14ac:dyDescent="0.35">
      <c r="A953" s="2">
        <v>45728</v>
      </c>
      <c r="B953" t="s">
        <v>135</v>
      </c>
      <c r="C953" t="s">
        <v>74</v>
      </c>
      <c r="D953" t="s">
        <v>42</v>
      </c>
      <c r="E953" t="s">
        <v>34</v>
      </c>
      <c r="F953">
        <v>1</v>
      </c>
      <c r="G953">
        <v>240.4</v>
      </c>
      <c r="H953" t="s">
        <v>44</v>
      </c>
      <c r="I953" t="s">
        <v>1625</v>
      </c>
      <c r="J953" t="s">
        <v>94</v>
      </c>
      <c r="K953" t="s">
        <v>60</v>
      </c>
      <c r="L953" t="s">
        <v>39</v>
      </c>
      <c r="M953" t="s">
        <v>67</v>
      </c>
      <c r="N953">
        <v>240.4</v>
      </c>
    </row>
    <row r="954" spans="1:14" x14ac:dyDescent="0.35">
      <c r="A954" s="2">
        <v>45284</v>
      </c>
      <c r="B954" t="s">
        <v>854</v>
      </c>
      <c r="C954" t="s">
        <v>47</v>
      </c>
      <c r="D954" t="s">
        <v>52</v>
      </c>
      <c r="E954" t="s">
        <v>63</v>
      </c>
      <c r="F954">
        <v>4</v>
      </c>
      <c r="G954">
        <v>397.6</v>
      </c>
      <c r="H954" t="s">
        <v>58</v>
      </c>
      <c r="I954" t="s">
        <v>1626</v>
      </c>
      <c r="J954" t="s">
        <v>97</v>
      </c>
      <c r="K954" t="s">
        <v>78</v>
      </c>
      <c r="L954" t="s">
        <v>28</v>
      </c>
      <c r="M954" t="s">
        <v>101</v>
      </c>
      <c r="N954">
        <v>1590.4</v>
      </c>
    </row>
    <row r="955" spans="1:14" x14ac:dyDescent="0.35">
      <c r="A955" s="2">
        <v>45735</v>
      </c>
      <c r="B955" t="s">
        <v>254</v>
      </c>
      <c r="C955" t="s">
        <v>81</v>
      </c>
      <c r="D955" t="s">
        <v>22</v>
      </c>
      <c r="E955" t="s">
        <v>53</v>
      </c>
      <c r="F955">
        <v>2</v>
      </c>
      <c r="G955">
        <v>386.74</v>
      </c>
      <c r="H955" t="s">
        <v>64</v>
      </c>
      <c r="I955" t="s">
        <v>1627</v>
      </c>
      <c r="J955" t="s">
        <v>37</v>
      </c>
      <c r="K955" t="s">
        <v>27</v>
      </c>
      <c r="L955" t="s">
        <v>66</v>
      </c>
      <c r="M955" t="s">
        <v>67</v>
      </c>
      <c r="N955">
        <v>773.48</v>
      </c>
    </row>
    <row r="956" spans="1:14" x14ac:dyDescent="0.35">
      <c r="A956" s="2">
        <v>45133</v>
      </c>
      <c r="B956" t="s">
        <v>1234</v>
      </c>
      <c r="C956" t="s">
        <v>71</v>
      </c>
      <c r="D956" t="s">
        <v>33</v>
      </c>
      <c r="E956" t="s">
        <v>83</v>
      </c>
      <c r="F956">
        <v>7</v>
      </c>
      <c r="G956">
        <v>131.63</v>
      </c>
      <c r="H956" t="s">
        <v>64</v>
      </c>
      <c r="I956" t="s">
        <v>1628</v>
      </c>
      <c r="J956" t="s">
        <v>94</v>
      </c>
      <c r="K956" t="s">
        <v>27</v>
      </c>
      <c r="L956" t="s">
        <v>28</v>
      </c>
      <c r="M956" t="s">
        <v>67</v>
      </c>
      <c r="N956">
        <v>921.41</v>
      </c>
    </row>
    <row r="957" spans="1:14" x14ac:dyDescent="0.35">
      <c r="A957" s="2">
        <v>45103</v>
      </c>
      <c r="B957" t="s">
        <v>802</v>
      </c>
      <c r="C957" t="s">
        <v>41</v>
      </c>
      <c r="D957" t="s">
        <v>52</v>
      </c>
      <c r="E957" t="s">
        <v>83</v>
      </c>
      <c r="F957">
        <v>4</v>
      </c>
      <c r="G957">
        <v>139.81</v>
      </c>
      <c r="H957" t="s">
        <v>58</v>
      </c>
      <c r="I957" t="s">
        <v>1629</v>
      </c>
      <c r="J957" t="s">
        <v>55</v>
      </c>
      <c r="K957" t="s">
        <v>27</v>
      </c>
      <c r="L957" t="s">
        <v>28</v>
      </c>
      <c r="M957" t="s">
        <v>29</v>
      </c>
      <c r="N957">
        <v>559.24</v>
      </c>
    </row>
    <row r="958" spans="1:14" x14ac:dyDescent="0.35">
      <c r="A958" s="2">
        <v>45243</v>
      </c>
      <c r="B958" t="s">
        <v>344</v>
      </c>
      <c r="C958" t="s">
        <v>106</v>
      </c>
      <c r="D958" t="s">
        <v>33</v>
      </c>
      <c r="E958" t="s">
        <v>43</v>
      </c>
      <c r="F958">
        <v>5</v>
      </c>
      <c r="G958">
        <v>328.34</v>
      </c>
      <c r="H958" t="s">
        <v>35</v>
      </c>
      <c r="I958" t="s">
        <v>1630</v>
      </c>
      <c r="J958" t="s">
        <v>26</v>
      </c>
      <c r="K958" t="s">
        <v>60</v>
      </c>
      <c r="L958" t="s">
        <v>39</v>
      </c>
      <c r="M958" t="s">
        <v>29</v>
      </c>
      <c r="N958">
        <v>1641.7</v>
      </c>
    </row>
    <row r="959" spans="1:14" x14ac:dyDescent="0.35">
      <c r="A959" s="2">
        <v>45631</v>
      </c>
      <c r="B959" t="s">
        <v>1631</v>
      </c>
      <c r="C959" t="s">
        <v>86</v>
      </c>
      <c r="D959" t="s">
        <v>42</v>
      </c>
      <c r="E959" t="s">
        <v>23</v>
      </c>
      <c r="F959">
        <v>5</v>
      </c>
      <c r="G959">
        <v>211.16</v>
      </c>
      <c r="H959" t="s">
        <v>44</v>
      </c>
      <c r="I959" t="s">
        <v>1632</v>
      </c>
      <c r="J959" t="s">
        <v>94</v>
      </c>
      <c r="K959" t="s">
        <v>60</v>
      </c>
      <c r="L959" t="s">
        <v>66</v>
      </c>
      <c r="M959" t="s">
        <v>56</v>
      </c>
      <c r="N959">
        <v>1055.8</v>
      </c>
    </row>
    <row r="960" spans="1:14" x14ac:dyDescent="0.35">
      <c r="A960" s="2">
        <v>45555</v>
      </c>
      <c r="B960" t="s">
        <v>808</v>
      </c>
      <c r="C960" t="s">
        <v>74</v>
      </c>
      <c r="D960" t="s">
        <v>22</v>
      </c>
      <c r="E960" t="s">
        <v>23</v>
      </c>
      <c r="F960">
        <v>10</v>
      </c>
      <c r="G960">
        <v>203.44</v>
      </c>
      <c r="H960" t="s">
        <v>58</v>
      </c>
      <c r="I960" t="s">
        <v>1633</v>
      </c>
      <c r="J960" t="s">
        <v>26</v>
      </c>
      <c r="K960" t="s">
        <v>78</v>
      </c>
      <c r="L960" t="s">
        <v>28</v>
      </c>
      <c r="M960" t="s">
        <v>61</v>
      </c>
      <c r="N960">
        <v>2034.4</v>
      </c>
    </row>
    <row r="961" spans="1:14" x14ac:dyDescent="0.35">
      <c r="A961" s="2">
        <v>45596</v>
      </c>
      <c r="B961" t="s">
        <v>1564</v>
      </c>
      <c r="C961" t="s">
        <v>51</v>
      </c>
      <c r="D961" t="s">
        <v>22</v>
      </c>
      <c r="E961" t="s">
        <v>63</v>
      </c>
      <c r="F961">
        <v>9</v>
      </c>
      <c r="G961">
        <v>328.18</v>
      </c>
      <c r="H961" t="s">
        <v>44</v>
      </c>
      <c r="I961" t="s">
        <v>1634</v>
      </c>
      <c r="J961" t="s">
        <v>26</v>
      </c>
      <c r="K961" t="s">
        <v>60</v>
      </c>
      <c r="L961" t="s">
        <v>28</v>
      </c>
      <c r="M961" t="s">
        <v>56</v>
      </c>
      <c r="N961">
        <v>2953.62</v>
      </c>
    </row>
    <row r="962" spans="1:14" x14ac:dyDescent="0.35">
      <c r="A962" s="2">
        <v>45025</v>
      </c>
      <c r="B962" t="s">
        <v>1472</v>
      </c>
      <c r="C962" t="s">
        <v>106</v>
      </c>
      <c r="D962" t="s">
        <v>42</v>
      </c>
      <c r="E962" t="s">
        <v>43</v>
      </c>
      <c r="F962">
        <v>10</v>
      </c>
      <c r="G962">
        <v>229.46</v>
      </c>
      <c r="H962" t="s">
        <v>58</v>
      </c>
      <c r="I962" t="s">
        <v>1635</v>
      </c>
      <c r="J962" t="s">
        <v>97</v>
      </c>
      <c r="K962" t="s">
        <v>60</v>
      </c>
      <c r="L962" t="s">
        <v>39</v>
      </c>
      <c r="M962" t="s">
        <v>101</v>
      </c>
      <c r="N962">
        <v>2294.6</v>
      </c>
    </row>
    <row r="963" spans="1:14" x14ac:dyDescent="0.35">
      <c r="A963" s="2">
        <v>45789</v>
      </c>
      <c r="B963" t="s">
        <v>713</v>
      </c>
      <c r="C963" t="s">
        <v>74</v>
      </c>
      <c r="D963" t="s">
        <v>42</v>
      </c>
      <c r="E963" t="s">
        <v>83</v>
      </c>
      <c r="F963">
        <v>3</v>
      </c>
      <c r="G963">
        <v>315.20999999999998</v>
      </c>
      <c r="H963" t="s">
        <v>58</v>
      </c>
      <c r="I963" t="s">
        <v>1636</v>
      </c>
      <c r="J963" t="s">
        <v>55</v>
      </c>
      <c r="K963" t="s">
        <v>60</v>
      </c>
      <c r="L963" t="s">
        <v>39</v>
      </c>
      <c r="M963" t="s">
        <v>29</v>
      </c>
      <c r="N963">
        <v>945.62999999999988</v>
      </c>
    </row>
    <row r="964" spans="1:14" x14ac:dyDescent="0.35">
      <c r="A964" s="2">
        <v>45188</v>
      </c>
      <c r="B964" t="s">
        <v>1338</v>
      </c>
      <c r="C964" t="s">
        <v>86</v>
      </c>
      <c r="D964" t="s">
        <v>33</v>
      </c>
      <c r="E964" t="s">
        <v>23</v>
      </c>
      <c r="F964">
        <v>8</v>
      </c>
      <c r="G964">
        <v>372.17</v>
      </c>
      <c r="H964" t="s">
        <v>58</v>
      </c>
      <c r="I964" t="s">
        <v>1637</v>
      </c>
      <c r="J964" t="s">
        <v>55</v>
      </c>
      <c r="K964" t="s">
        <v>60</v>
      </c>
      <c r="L964" t="s">
        <v>39</v>
      </c>
      <c r="M964" t="s">
        <v>49</v>
      </c>
      <c r="N964">
        <v>2977.36</v>
      </c>
    </row>
    <row r="965" spans="1:14" x14ac:dyDescent="0.35">
      <c r="A965" s="2">
        <v>45379</v>
      </c>
      <c r="B965" t="s">
        <v>484</v>
      </c>
      <c r="C965" t="s">
        <v>89</v>
      </c>
      <c r="D965" t="s">
        <v>42</v>
      </c>
      <c r="E965" t="s">
        <v>63</v>
      </c>
      <c r="F965">
        <v>8</v>
      </c>
      <c r="G965">
        <v>235.9</v>
      </c>
      <c r="H965" t="s">
        <v>44</v>
      </c>
      <c r="I965" t="s">
        <v>1638</v>
      </c>
      <c r="J965" t="s">
        <v>94</v>
      </c>
      <c r="K965" t="s">
        <v>27</v>
      </c>
      <c r="L965" t="s">
        <v>66</v>
      </c>
      <c r="M965" t="s">
        <v>56</v>
      </c>
      <c r="N965">
        <v>1887.2</v>
      </c>
    </row>
    <row r="966" spans="1:14" x14ac:dyDescent="0.35">
      <c r="A966" s="2">
        <v>44986</v>
      </c>
      <c r="B966" t="s">
        <v>1639</v>
      </c>
      <c r="C966" t="s">
        <v>106</v>
      </c>
      <c r="D966" t="s">
        <v>33</v>
      </c>
      <c r="E966" t="s">
        <v>34</v>
      </c>
      <c r="F966">
        <v>5</v>
      </c>
      <c r="G966">
        <v>13.65</v>
      </c>
      <c r="H966" t="s">
        <v>64</v>
      </c>
      <c r="I966" t="s">
        <v>1640</v>
      </c>
      <c r="J966" t="s">
        <v>97</v>
      </c>
      <c r="K966" t="s">
        <v>27</v>
      </c>
      <c r="L966" t="s">
        <v>28</v>
      </c>
      <c r="M966" t="s">
        <v>67</v>
      </c>
      <c r="N966">
        <v>68.25</v>
      </c>
    </row>
    <row r="967" spans="1:14" x14ac:dyDescent="0.35">
      <c r="A967" s="2">
        <v>45609</v>
      </c>
      <c r="B967" t="s">
        <v>170</v>
      </c>
      <c r="C967" t="s">
        <v>47</v>
      </c>
      <c r="D967" t="s">
        <v>42</v>
      </c>
      <c r="E967" t="s">
        <v>63</v>
      </c>
      <c r="F967">
        <v>6</v>
      </c>
      <c r="G967">
        <v>158.08000000000001</v>
      </c>
      <c r="H967" t="s">
        <v>58</v>
      </c>
      <c r="I967" t="s">
        <v>1641</v>
      </c>
      <c r="J967" t="s">
        <v>94</v>
      </c>
      <c r="K967" t="s">
        <v>60</v>
      </c>
      <c r="L967" t="s">
        <v>39</v>
      </c>
      <c r="M967" t="s">
        <v>67</v>
      </c>
      <c r="N967">
        <v>948.48</v>
      </c>
    </row>
    <row r="968" spans="1:14" x14ac:dyDescent="0.35">
      <c r="A968" s="2">
        <v>45621</v>
      </c>
      <c r="B968" t="s">
        <v>1057</v>
      </c>
      <c r="C968" t="s">
        <v>89</v>
      </c>
      <c r="D968" t="s">
        <v>22</v>
      </c>
      <c r="E968" t="s">
        <v>92</v>
      </c>
      <c r="F968">
        <v>6</v>
      </c>
      <c r="G968">
        <v>321.57</v>
      </c>
      <c r="H968" t="s">
        <v>64</v>
      </c>
      <c r="I968" t="s">
        <v>1642</v>
      </c>
      <c r="J968" t="s">
        <v>26</v>
      </c>
      <c r="K968" t="s">
        <v>78</v>
      </c>
      <c r="L968" t="s">
        <v>66</v>
      </c>
      <c r="M968" t="s">
        <v>29</v>
      </c>
      <c r="N968">
        <v>1929.42</v>
      </c>
    </row>
    <row r="969" spans="1:14" x14ac:dyDescent="0.35">
      <c r="A969" s="2">
        <v>45834</v>
      </c>
      <c r="B969" t="s">
        <v>112</v>
      </c>
      <c r="C969" t="s">
        <v>106</v>
      </c>
      <c r="D969" t="s">
        <v>42</v>
      </c>
      <c r="E969" t="s">
        <v>34</v>
      </c>
      <c r="F969">
        <v>6</v>
      </c>
      <c r="G969">
        <v>261.27</v>
      </c>
      <c r="H969" t="s">
        <v>58</v>
      </c>
      <c r="I969" t="s">
        <v>1643</v>
      </c>
      <c r="J969" t="s">
        <v>97</v>
      </c>
      <c r="K969" t="s">
        <v>38</v>
      </c>
      <c r="L969" t="s">
        <v>28</v>
      </c>
      <c r="M969" t="s">
        <v>56</v>
      </c>
      <c r="N969">
        <v>1567.62</v>
      </c>
    </row>
    <row r="970" spans="1:14" x14ac:dyDescent="0.35">
      <c r="A970" s="2">
        <v>45670</v>
      </c>
      <c r="B970" t="s">
        <v>110</v>
      </c>
      <c r="C970" t="s">
        <v>74</v>
      </c>
      <c r="D970" t="s">
        <v>42</v>
      </c>
      <c r="E970" t="s">
        <v>34</v>
      </c>
      <c r="F970">
        <v>4</v>
      </c>
      <c r="G970">
        <v>327.87</v>
      </c>
      <c r="H970" t="s">
        <v>35</v>
      </c>
      <c r="I970" t="s">
        <v>1644</v>
      </c>
      <c r="J970" t="s">
        <v>26</v>
      </c>
      <c r="K970" t="s">
        <v>60</v>
      </c>
      <c r="L970" t="s">
        <v>28</v>
      </c>
      <c r="M970" t="s">
        <v>29</v>
      </c>
      <c r="N970">
        <v>1311.48</v>
      </c>
    </row>
    <row r="971" spans="1:14" x14ac:dyDescent="0.35">
      <c r="A971" s="2">
        <v>45730</v>
      </c>
      <c r="B971" t="s">
        <v>1645</v>
      </c>
      <c r="C971" t="s">
        <v>51</v>
      </c>
      <c r="D971" t="s">
        <v>42</v>
      </c>
      <c r="E971" t="s">
        <v>83</v>
      </c>
      <c r="F971">
        <v>3</v>
      </c>
      <c r="G971">
        <v>16.25</v>
      </c>
      <c r="H971" t="s">
        <v>58</v>
      </c>
      <c r="I971" t="s">
        <v>1646</v>
      </c>
      <c r="J971" t="s">
        <v>94</v>
      </c>
      <c r="K971" t="s">
        <v>78</v>
      </c>
      <c r="L971" t="s">
        <v>39</v>
      </c>
      <c r="M971" t="s">
        <v>61</v>
      </c>
      <c r="N971">
        <v>48.75</v>
      </c>
    </row>
    <row r="972" spans="1:14" x14ac:dyDescent="0.35">
      <c r="A972" s="2">
        <v>45007</v>
      </c>
      <c r="B972" t="s">
        <v>125</v>
      </c>
      <c r="C972" t="s">
        <v>41</v>
      </c>
      <c r="D972" t="s">
        <v>42</v>
      </c>
      <c r="E972" t="s">
        <v>23</v>
      </c>
      <c r="F972">
        <v>10</v>
      </c>
      <c r="G972">
        <v>38.83</v>
      </c>
      <c r="H972" t="s">
        <v>64</v>
      </c>
      <c r="I972" t="s">
        <v>1647</v>
      </c>
      <c r="J972" t="s">
        <v>26</v>
      </c>
      <c r="K972" t="s">
        <v>78</v>
      </c>
      <c r="L972" t="s">
        <v>39</v>
      </c>
      <c r="M972" t="s">
        <v>67</v>
      </c>
      <c r="N972">
        <v>388.3</v>
      </c>
    </row>
    <row r="973" spans="1:14" x14ac:dyDescent="0.35">
      <c r="A973" s="2">
        <v>45702</v>
      </c>
      <c r="B973" t="s">
        <v>530</v>
      </c>
      <c r="C973" t="s">
        <v>86</v>
      </c>
      <c r="D973" t="s">
        <v>22</v>
      </c>
      <c r="E973" t="s">
        <v>92</v>
      </c>
      <c r="F973">
        <v>8</v>
      </c>
      <c r="G973">
        <v>39.130000000000003</v>
      </c>
      <c r="H973" t="s">
        <v>44</v>
      </c>
      <c r="I973" t="s">
        <v>1648</v>
      </c>
      <c r="J973" t="s">
        <v>26</v>
      </c>
      <c r="K973" t="s">
        <v>60</v>
      </c>
      <c r="L973" t="s">
        <v>39</v>
      </c>
      <c r="M973" t="s">
        <v>61</v>
      </c>
      <c r="N973">
        <v>313.04000000000002</v>
      </c>
    </row>
    <row r="974" spans="1:14" x14ac:dyDescent="0.35">
      <c r="A974" s="2">
        <v>45000</v>
      </c>
      <c r="B974" t="s">
        <v>1649</v>
      </c>
      <c r="C974" t="s">
        <v>89</v>
      </c>
      <c r="D974" t="s">
        <v>52</v>
      </c>
      <c r="E974" t="s">
        <v>83</v>
      </c>
      <c r="F974">
        <v>1</v>
      </c>
      <c r="G974">
        <v>230.26</v>
      </c>
      <c r="H974" t="s">
        <v>24</v>
      </c>
      <c r="I974" t="s">
        <v>1650</v>
      </c>
      <c r="J974" t="s">
        <v>37</v>
      </c>
      <c r="K974" t="s">
        <v>38</v>
      </c>
      <c r="L974" t="s">
        <v>66</v>
      </c>
      <c r="M974" t="s">
        <v>67</v>
      </c>
      <c r="N974">
        <v>230.26</v>
      </c>
    </row>
    <row r="975" spans="1:14" x14ac:dyDescent="0.35">
      <c r="A975" s="2">
        <v>45223</v>
      </c>
      <c r="B975" t="s">
        <v>309</v>
      </c>
      <c r="C975" t="s">
        <v>47</v>
      </c>
      <c r="D975" t="s">
        <v>22</v>
      </c>
      <c r="E975" t="s">
        <v>92</v>
      </c>
      <c r="F975">
        <v>10</v>
      </c>
      <c r="G975">
        <v>362.13</v>
      </c>
      <c r="H975" t="s">
        <v>35</v>
      </c>
      <c r="I975" t="s">
        <v>1651</v>
      </c>
      <c r="J975" t="s">
        <v>55</v>
      </c>
      <c r="K975" t="s">
        <v>60</v>
      </c>
      <c r="L975" t="s">
        <v>39</v>
      </c>
      <c r="M975" t="s">
        <v>49</v>
      </c>
      <c r="N975">
        <v>3621.3</v>
      </c>
    </row>
    <row r="976" spans="1:14" x14ac:dyDescent="0.35">
      <c r="A976" s="2">
        <v>45515</v>
      </c>
      <c r="B976" t="s">
        <v>1652</v>
      </c>
      <c r="C976" t="s">
        <v>86</v>
      </c>
      <c r="D976" t="s">
        <v>52</v>
      </c>
      <c r="E976" t="s">
        <v>23</v>
      </c>
      <c r="F976">
        <v>1</v>
      </c>
      <c r="G976">
        <v>171.54</v>
      </c>
      <c r="H976" t="s">
        <v>24</v>
      </c>
      <c r="I976" t="s">
        <v>1653</v>
      </c>
      <c r="J976" t="s">
        <v>26</v>
      </c>
      <c r="K976" t="s">
        <v>60</v>
      </c>
      <c r="L976" t="s">
        <v>66</v>
      </c>
      <c r="M976" t="s">
        <v>101</v>
      </c>
      <c r="N976">
        <v>171.54</v>
      </c>
    </row>
    <row r="977" spans="1:14" x14ac:dyDescent="0.35">
      <c r="A977" s="2">
        <v>45537</v>
      </c>
      <c r="B977" t="s">
        <v>1654</v>
      </c>
      <c r="C977" t="s">
        <v>86</v>
      </c>
      <c r="D977" t="s">
        <v>52</v>
      </c>
      <c r="E977" t="s">
        <v>83</v>
      </c>
      <c r="F977">
        <v>10</v>
      </c>
      <c r="G977">
        <v>160.28</v>
      </c>
      <c r="H977" t="s">
        <v>58</v>
      </c>
      <c r="I977" t="s">
        <v>1655</v>
      </c>
      <c r="J977" t="s">
        <v>26</v>
      </c>
      <c r="K977" t="s">
        <v>60</v>
      </c>
      <c r="L977" t="s">
        <v>66</v>
      </c>
      <c r="M977" t="s">
        <v>29</v>
      </c>
      <c r="N977">
        <v>1602.8</v>
      </c>
    </row>
    <row r="978" spans="1:14" x14ac:dyDescent="0.35">
      <c r="A978" s="2">
        <v>45787</v>
      </c>
      <c r="B978" t="s">
        <v>727</v>
      </c>
      <c r="C978" t="s">
        <v>86</v>
      </c>
      <c r="D978" t="s">
        <v>22</v>
      </c>
      <c r="E978" t="s">
        <v>23</v>
      </c>
      <c r="F978">
        <v>4</v>
      </c>
      <c r="G978">
        <v>217.17</v>
      </c>
      <c r="H978" t="s">
        <v>44</v>
      </c>
      <c r="I978" t="s">
        <v>1656</v>
      </c>
      <c r="J978" t="s">
        <v>55</v>
      </c>
      <c r="K978" t="s">
        <v>78</v>
      </c>
      <c r="L978" t="s">
        <v>28</v>
      </c>
      <c r="M978" t="s">
        <v>79</v>
      </c>
      <c r="N978">
        <v>868.68</v>
      </c>
    </row>
    <row r="979" spans="1:14" x14ac:dyDescent="0.35">
      <c r="A979" s="2">
        <v>45269</v>
      </c>
      <c r="B979" t="s">
        <v>1657</v>
      </c>
      <c r="C979" t="s">
        <v>89</v>
      </c>
      <c r="D979" t="s">
        <v>22</v>
      </c>
      <c r="E979" t="s">
        <v>92</v>
      </c>
      <c r="F979">
        <v>3</v>
      </c>
      <c r="G979">
        <v>330.9</v>
      </c>
      <c r="H979" t="s">
        <v>35</v>
      </c>
      <c r="I979" t="s">
        <v>1658</v>
      </c>
      <c r="J979" t="s">
        <v>55</v>
      </c>
      <c r="K979" t="s">
        <v>27</v>
      </c>
      <c r="L979" t="s">
        <v>39</v>
      </c>
      <c r="M979" t="s">
        <v>79</v>
      </c>
      <c r="N979">
        <v>992.69999999999993</v>
      </c>
    </row>
    <row r="980" spans="1:14" x14ac:dyDescent="0.35">
      <c r="A980" s="2">
        <v>45686</v>
      </c>
      <c r="B980" t="s">
        <v>1659</v>
      </c>
      <c r="C980" t="s">
        <v>47</v>
      </c>
      <c r="D980" t="s">
        <v>33</v>
      </c>
      <c r="E980" t="s">
        <v>92</v>
      </c>
      <c r="F980">
        <v>7</v>
      </c>
      <c r="G980">
        <v>258.57</v>
      </c>
      <c r="H980" t="s">
        <v>35</v>
      </c>
      <c r="I980" t="s">
        <v>1660</v>
      </c>
      <c r="J980" t="s">
        <v>26</v>
      </c>
      <c r="K980" t="s">
        <v>60</v>
      </c>
      <c r="L980" t="s">
        <v>28</v>
      </c>
      <c r="M980" t="s">
        <v>67</v>
      </c>
      <c r="N980">
        <v>1809.99</v>
      </c>
    </row>
    <row r="981" spans="1:14" x14ac:dyDescent="0.35">
      <c r="A981" s="2">
        <v>45657</v>
      </c>
      <c r="B981" t="s">
        <v>1661</v>
      </c>
      <c r="C981" t="s">
        <v>47</v>
      </c>
      <c r="D981" t="s">
        <v>33</v>
      </c>
      <c r="E981" t="s">
        <v>43</v>
      </c>
      <c r="F981">
        <v>1</v>
      </c>
      <c r="G981">
        <v>106.8</v>
      </c>
      <c r="H981" t="s">
        <v>58</v>
      </c>
      <c r="I981" t="s">
        <v>1662</v>
      </c>
      <c r="J981" t="s">
        <v>37</v>
      </c>
      <c r="K981" t="s">
        <v>27</v>
      </c>
      <c r="L981" t="s">
        <v>66</v>
      </c>
      <c r="M981" t="s">
        <v>49</v>
      </c>
      <c r="N981">
        <v>106.8</v>
      </c>
    </row>
    <row r="982" spans="1:14" x14ac:dyDescent="0.35">
      <c r="A982" s="2">
        <v>45436</v>
      </c>
      <c r="B982" t="s">
        <v>1608</v>
      </c>
      <c r="C982" t="s">
        <v>81</v>
      </c>
      <c r="D982" t="s">
        <v>22</v>
      </c>
      <c r="E982" t="s">
        <v>43</v>
      </c>
      <c r="F982">
        <v>8</v>
      </c>
      <c r="G982">
        <v>109.46</v>
      </c>
      <c r="H982" t="s">
        <v>58</v>
      </c>
      <c r="I982" t="s">
        <v>1663</v>
      </c>
      <c r="J982" t="s">
        <v>55</v>
      </c>
      <c r="K982" t="s">
        <v>78</v>
      </c>
      <c r="L982" t="s">
        <v>39</v>
      </c>
      <c r="M982" t="s">
        <v>61</v>
      </c>
      <c r="N982">
        <v>875.68</v>
      </c>
    </row>
    <row r="983" spans="1:14" x14ac:dyDescent="0.35">
      <c r="A983" s="2">
        <v>45708</v>
      </c>
      <c r="B983" t="s">
        <v>1664</v>
      </c>
      <c r="C983" t="s">
        <v>74</v>
      </c>
      <c r="D983" t="s">
        <v>33</v>
      </c>
      <c r="E983" t="s">
        <v>92</v>
      </c>
      <c r="F983">
        <v>10</v>
      </c>
      <c r="G983">
        <v>133.34</v>
      </c>
      <c r="H983" t="s">
        <v>64</v>
      </c>
      <c r="I983" t="s">
        <v>1665</v>
      </c>
      <c r="J983" t="s">
        <v>97</v>
      </c>
      <c r="K983" t="s">
        <v>78</v>
      </c>
      <c r="L983" t="s">
        <v>66</v>
      </c>
      <c r="M983" t="s">
        <v>56</v>
      </c>
      <c r="N983">
        <v>1333.4</v>
      </c>
    </row>
    <row r="984" spans="1:14" x14ac:dyDescent="0.35">
      <c r="A984" s="2">
        <v>45280</v>
      </c>
      <c r="B984" t="s">
        <v>524</v>
      </c>
      <c r="C984" t="s">
        <v>89</v>
      </c>
      <c r="D984" t="s">
        <v>42</v>
      </c>
      <c r="E984" t="s">
        <v>34</v>
      </c>
      <c r="F984">
        <v>3</v>
      </c>
      <c r="G984">
        <v>277.08</v>
      </c>
      <c r="H984" t="s">
        <v>64</v>
      </c>
      <c r="I984" t="s">
        <v>1666</v>
      </c>
      <c r="J984" t="s">
        <v>55</v>
      </c>
      <c r="K984" t="s">
        <v>60</v>
      </c>
      <c r="L984" t="s">
        <v>28</v>
      </c>
      <c r="M984" t="s">
        <v>67</v>
      </c>
      <c r="N984">
        <v>831.24</v>
      </c>
    </row>
    <row r="985" spans="1:14" x14ac:dyDescent="0.35">
      <c r="A985" s="2">
        <v>45781</v>
      </c>
      <c r="B985" t="s">
        <v>1667</v>
      </c>
      <c r="C985" t="s">
        <v>89</v>
      </c>
      <c r="D985" t="s">
        <v>52</v>
      </c>
      <c r="E985" t="s">
        <v>23</v>
      </c>
      <c r="F985">
        <v>4</v>
      </c>
      <c r="G985">
        <v>337.24</v>
      </c>
      <c r="H985" t="s">
        <v>64</v>
      </c>
      <c r="I985" t="s">
        <v>1668</v>
      </c>
      <c r="J985" t="s">
        <v>97</v>
      </c>
      <c r="K985" t="s">
        <v>27</v>
      </c>
      <c r="L985" t="s">
        <v>39</v>
      </c>
      <c r="M985" t="s">
        <v>101</v>
      </c>
      <c r="N985">
        <v>1348.96</v>
      </c>
    </row>
    <row r="986" spans="1:14" x14ac:dyDescent="0.35">
      <c r="A986" s="2">
        <v>45679</v>
      </c>
      <c r="B986" t="s">
        <v>311</v>
      </c>
      <c r="C986" t="s">
        <v>74</v>
      </c>
      <c r="D986" t="s">
        <v>33</v>
      </c>
      <c r="E986" t="s">
        <v>63</v>
      </c>
      <c r="F986">
        <v>1</v>
      </c>
      <c r="G986">
        <v>395.95</v>
      </c>
      <c r="H986" t="s">
        <v>24</v>
      </c>
      <c r="I986" t="s">
        <v>1669</v>
      </c>
      <c r="J986" t="s">
        <v>94</v>
      </c>
      <c r="K986" t="s">
        <v>38</v>
      </c>
      <c r="L986" t="s">
        <v>39</v>
      </c>
      <c r="M986" t="s">
        <v>67</v>
      </c>
      <c r="N986">
        <v>395.95</v>
      </c>
    </row>
    <row r="987" spans="1:14" x14ac:dyDescent="0.35">
      <c r="A987" s="2">
        <v>45422</v>
      </c>
      <c r="B987" t="s">
        <v>1670</v>
      </c>
      <c r="C987" t="s">
        <v>89</v>
      </c>
      <c r="D987" t="s">
        <v>22</v>
      </c>
      <c r="E987" t="s">
        <v>23</v>
      </c>
      <c r="F987">
        <v>1</v>
      </c>
      <c r="G987">
        <v>174.29</v>
      </c>
      <c r="H987" t="s">
        <v>64</v>
      </c>
      <c r="I987" t="s">
        <v>1671</v>
      </c>
      <c r="J987" t="s">
        <v>37</v>
      </c>
      <c r="K987" t="s">
        <v>27</v>
      </c>
      <c r="L987" t="s">
        <v>66</v>
      </c>
      <c r="M987" t="s">
        <v>61</v>
      </c>
      <c r="N987">
        <v>174.29</v>
      </c>
    </row>
    <row r="988" spans="1:14" x14ac:dyDescent="0.35">
      <c r="A988" s="2">
        <v>45175</v>
      </c>
      <c r="B988" t="s">
        <v>1672</v>
      </c>
      <c r="C988" t="s">
        <v>21</v>
      </c>
      <c r="D988" t="s">
        <v>33</v>
      </c>
      <c r="E988" t="s">
        <v>34</v>
      </c>
      <c r="F988">
        <v>9</v>
      </c>
      <c r="G988">
        <v>257.94</v>
      </c>
      <c r="H988" t="s">
        <v>58</v>
      </c>
      <c r="I988" t="s">
        <v>1673</v>
      </c>
      <c r="J988" t="s">
        <v>94</v>
      </c>
      <c r="K988" t="s">
        <v>78</v>
      </c>
      <c r="L988" t="s">
        <v>28</v>
      </c>
      <c r="M988" t="s">
        <v>67</v>
      </c>
      <c r="N988">
        <v>2321.46</v>
      </c>
    </row>
    <row r="989" spans="1:14" x14ac:dyDescent="0.35">
      <c r="A989" s="2">
        <v>45666</v>
      </c>
      <c r="B989" t="s">
        <v>1674</v>
      </c>
      <c r="C989" t="s">
        <v>74</v>
      </c>
      <c r="D989" t="s">
        <v>33</v>
      </c>
      <c r="E989" t="s">
        <v>92</v>
      </c>
      <c r="F989">
        <v>2</v>
      </c>
      <c r="G989">
        <v>127.23</v>
      </c>
      <c r="H989" t="s">
        <v>44</v>
      </c>
      <c r="I989" t="s">
        <v>1675</v>
      </c>
      <c r="J989" t="s">
        <v>97</v>
      </c>
      <c r="K989" t="s">
        <v>27</v>
      </c>
      <c r="L989" t="s">
        <v>39</v>
      </c>
      <c r="M989" t="s">
        <v>56</v>
      </c>
      <c r="N989">
        <v>254.46</v>
      </c>
    </row>
    <row r="990" spans="1:14" x14ac:dyDescent="0.35">
      <c r="A990" s="2">
        <v>45498</v>
      </c>
      <c r="B990" t="s">
        <v>198</v>
      </c>
      <c r="C990" t="s">
        <v>71</v>
      </c>
      <c r="D990" t="s">
        <v>52</v>
      </c>
      <c r="E990" t="s">
        <v>83</v>
      </c>
      <c r="F990">
        <v>10</v>
      </c>
      <c r="G990">
        <v>66.37</v>
      </c>
      <c r="H990" t="s">
        <v>64</v>
      </c>
      <c r="I990" t="s">
        <v>1676</v>
      </c>
      <c r="J990" t="s">
        <v>94</v>
      </c>
      <c r="K990" t="s">
        <v>60</v>
      </c>
      <c r="L990" t="s">
        <v>66</v>
      </c>
      <c r="M990" t="s">
        <v>56</v>
      </c>
      <c r="N990">
        <v>663.7</v>
      </c>
    </row>
    <row r="991" spans="1:14" x14ac:dyDescent="0.35">
      <c r="A991" s="2">
        <v>45194</v>
      </c>
      <c r="B991" t="s">
        <v>356</v>
      </c>
      <c r="C991" t="s">
        <v>47</v>
      </c>
      <c r="D991" t="s">
        <v>33</v>
      </c>
      <c r="E991" t="s">
        <v>43</v>
      </c>
      <c r="F991">
        <v>10</v>
      </c>
      <c r="G991">
        <v>184.31</v>
      </c>
      <c r="H991" t="s">
        <v>64</v>
      </c>
      <c r="I991" t="s">
        <v>1677</v>
      </c>
      <c r="J991" t="s">
        <v>97</v>
      </c>
      <c r="K991" t="s">
        <v>78</v>
      </c>
      <c r="L991" t="s">
        <v>39</v>
      </c>
      <c r="M991" t="s">
        <v>29</v>
      </c>
      <c r="N991">
        <v>1843.1</v>
      </c>
    </row>
    <row r="992" spans="1:14" x14ac:dyDescent="0.35">
      <c r="A992" s="2">
        <v>45424</v>
      </c>
      <c r="B992" t="s">
        <v>277</v>
      </c>
      <c r="C992" t="s">
        <v>89</v>
      </c>
      <c r="D992" t="s">
        <v>22</v>
      </c>
      <c r="E992" t="s">
        <v>53</v>
      </c>
      <c r="F992">
        <v>6</v>
      </c>
      <c r="G992">
        <v>257.91000000000003</v>
      </c>
      <c r="H992" t="s">
        <v>44</v>
      </c>
      <c r="I992" t="s">
        <v>1678</v>
      </c>
      <c r="J992" t="s">
        <v>97</v>
      </c>
      <c r="K992" t="s">
        <v>78</v>
      </c>
      <c r="L992" t="s">
        <v>66</v>
      </c>
      <c r="M992" t="s">
        <v>101</v>
      </c>
      <c r="N992">
        <v>1547.46</v>
      </c>
    </row>
    <row r="993" spans="1:14" x14ac:dyDescent="0.35">
      <c r="A993" s="2">
        <v>45399</v>
      </c>
      <c r="B993" t="s">
        <v>1572</v>
      </c>
      <c r="C993" t="s">
        <v>71</v>
      </c>
      <c r="D993" t="s">
        <v>33</v>
      </c>
      <c r="E993" t="s">
        <v>53</v>
      </c>
      <c r="F993">
        <v>10</v>
      </c>
      <c r="G993">
        <v>42.03</v>
      </c>
      <c r="H993" t="s">
        <v>24</v>
      </c>
      <c r="I993" t="s">
        <v>1679</v>
      </c>
      <c r="J993" t="s">
        <v>55</v>
      </c>
      <c r="K993" t="s">
        <v>27</v>
      </c>
      <c r="L993" t="s">
        <v>28</v>
      </c>
      <c r="M993" t="s">
        <v>67</v>
      </c>
      <c r="N993">
        <v>420.3</v>
      </c>
    </row>
    <row r="994" spans="1:14" x14ac:dyDescent="0.35">
      <c r="A994" s="2">
        <v>45596</v>
      </c>
      <c r="B994" t="s">
        <v>450</v>
      </c>
      <c r="C994" t="s">
        <v>71</v>
      </c>
      <c r="D994" t="s">
        <v>33</v>
      </c>
      <c r="E994" t="s">
        <v>63</v>
      </c>
      <c r="F994">
        <v>2</v>
      </c>
      <c r="G994">
        <v>110.13</v>
      </c>
      <c r="H994" t="s">
        <v>64</v>
      </c>
      <c r="I994" t="s">
        <v>1680</v>
      </c>
      <c r="J994" t="s">
        <v>37</v>
      </c>
      <c r="K994" t="s">
        <v>78</v>
      </c>
      <c r="L994" t="s">
        <v>39</v>
      </c>
      <c r="M994" t="s">
        <v>56</v>
      </c>
      <c r="N994">
        <v>220.26</v>
      </c>
    </row>
    <row r="995" spans="1:14" x14ac:dyDescent="0.35">
      <c r="A995" s="2">
        <v>44965</v>
      </c>
      <c r="B995" t="s">
        <v>222</v>
      </c>
      <c r="C995" t="s">
        <v>106</v>
      </c>
      <c r="D995" t="s">
        <v>42</v>
      </c>
      <c r="E995" t="s">
        <v>23</v>
      </c>
      <c r="F995">
        <v>7</v>
      </c>
      <c r="G995">
        <v>389.71</v>
      </c>
      <c r="H995" t="s">
        <v>35</v>
      </c>
      <c r="I995" t="s">
        <v>1681</v>
      </c>
      <c r="J995" t="s">
        <v>94</v>
      </c>
      <c r="K995" t="s">
        <v>78</v>
      </c>
      <c r="L995" t="s">
        <v>28</v>
      </c>
      <c r="M995" t="s">
        <v>67</v>
      </c>
      <c r="N995">
        <v>2727.97</v>
      </c>
    </row>
    <row r="996" spans="1:14" x14ac:dyDescent="0.35">
      <c r="A996" s="2">
        <v>45222</v>
      </c>
      <c r="B996" t="s">
        <v>538</v>
      </c>
      <c r="C996" t="s">
        <v>51</v>
      </c>
      <c r="D996" t="s">
        <v>22</v>
      </c>
      <c r="E996" t="s">
        <v>34</v>
      </c>
      <c r="F996">
        <v>2</v>
      </c>
      <c r="G996">
        <v>320.51</v>
      </c>
      <c r="H996" t="s">
        <v>64</v>
      </c>
      <c r="I996" t="s">
        <v>1682</v>
      </c>
      <c r="J996" t="s">
        <v>97</v>
      </c>
      <c r="K996" t="s">
        <v>78</v>
      </c>
      <c r="L996" t="s">
        <v>28</v>
      </c>
      <c r="M996" t="s">
        <v>29</v>
      </c>
      <c r="N996">
        <v>641.02</v>
      </c>
    </row>
    <row r="997" spans="1:14" x14ac:dyDescent="0.35">
      <c r="A997" s="2">
        <v>45068</v>
      </c>
      <c r="B997" t="s">
        <v>1397</v>
      </c>
      <c r="C997" t="s">
        <v>106</v>
      </c>
      <c r="D997" t="s">
        <v>22</v>
      </c>
      <c r="E997" t="s">
        <v>43</v>
      </c>
      <c r="F997">
        <v>7</v>
      </c>
      <c r="G997">
        <v>371.04</v>
      </c>
      <c r="H997" t="s">
        <v>24</v>
      </c>
      <c r="I997" t="s">
        <v>1683</v>
      </c>
      <c r="J997" t="s">
        <v>37</v>
      </c>
      <c r="K997" t="s">
        <v>78</v>
      </c>
      <c r="L997" t="s">
        <v>39</v>
      </c>
      <c r="M997" t="s">
        <v>29</v>
      </c>
      <c r="N997">
        <v>2597.2800000000002</v>
      </c>
    </row>
    <row r="998" spans="1:14" x14ac:dyDescent="0.35">
      <c r="A998" s="2">
        <v>45648</v>
      </c>
      <c r="B998" t="s">
        <v>70</v>
      </c>
      <c r="C998" t="s">
        <v>106</v>
      </c>
      <c r="D998" t="s">
        <v>42</v>
      </c>
      <c r="E998" t="s">
        <v>63</v>
      </c>
      <c r="F998">
        <v>5</v>
      </c>
      <c r="G998">
        <v>61.64</v>
      </c>
      <c r="H998" t="s">
        <v>44</v>
      </c>
      <c r="I998" t="s">
        <v>1684</v>
      </c>
      <c r="J998" t="s">
        <v>26</v>
      </c>
      <c r="K998" t="s">
        <v>78</v>
      </c>
      <c r="L998" t="s">
        <v>28</v>
      </c>
      <c r="M998" t="s">
        <v>101</v>
      </c>
      <c r="N998">
        <v>308.2</v>
      </c>
    </row>
    <row r="999" spans="1:14" x14ac:dyDescent="0.35">
      <c r="A999" s="2">
        <v>45342</v>
      </c>
      <c r="B999" t="s">
        <v>1406</v>
      </c>
      <c r="C999" t="s">
        <v>71</v>
      </c>
      <c r="D999" t="s">
        <v>22</v>
      </c>
      <c r="E999" t="s">
        <v>23</v>
      </c>
      <c r="F999">
        <v>6</v>
      </c>
      <c r="G999">
        <v>121.9</v>
      </c>
      <c r="H999" t="s">
        <v>58</v>
      </c>
      <c r="I999" t="s">
        <v>1685</v>
      </c>
      <c r="J999" t="s">
        <v>97</v>
      </c>
      <c r="K999" t="s">
        <v>60</v>
      </c>
      <c r="L999" t="s">
        <v>28</v>
      </c>
      <c r="M999" t="s">
        <v>49</v>
      </c>
      <c r="N999">
        <v>731.40000000000009</v>
      </c>
    </row>
    <row r="1000" spans="1:14" x14ac:dyDescent="0.35">
      <c r="A1000" s="2">
        <v>45165</v>
      </c>
      <c r="B1000" t="s">
        <v>997</v>
      </c>
      <c r="C1000" t="s">
        <v>71</v>
      </c>
      <c r="D1000" t="s">
        <v>33</v>
      </c>
      <c r="E1000" t="s">
        <v>23</v>
      </c>
      <c r="F1000">
        <v>6</v>
      </c>
      <c r="G1000">
        <v>356.85</v>
      </c>
      <c r="H1000" t="s">
        <v>64</v>
      </c>
      <c r="I1000" t="s">
        <v>1686</v>
      </c>
      <c r="J1000" t="s">
        <v>94</v>
      </c>
      <c r="K1000" t="s">
        <v>78</v>
      </c>
      <c r="L1000" t="s">
        <v>28</v>
      </c>
      <c r="M1000" t="s">
        <v>101</v>
      </c>
      <c r="N1000">
        <v>2141.1</v>
      </c>
    </row>
    <row r="1001" spans="1:14" x14ac:dyDescent="0.35">
      <c r="A1001" s="2">
        <v>45179</v>
      </c>
      <c r="B1001" t="s">
        <v>1687</v>
      </c>
      <c r="C1001" t="s">
        <v>71</v>
      </c>
      <c r="D1001" t="s">
        <v>42</v>
      </c>
      <c r="E1001" t="s">
        <v>43</v>
      </c>
      <c r="F1001">
        <v>1</v>
      </c>
      <c r="G1001">
        <v>244.43</v>
      </c>
      <c r="H1001" t="s">
        <v>64</v>
      </c>
      <c r="I1001" t="s">
        <v>1688</v>
      </c>
      <c r="J1001" t="s">
        <v>26</v>
      </c>
      <c r="K1001" t="s">
        <v>38</v>
      </c>
      <c r="L1001" t="s">
        <v>28</v>
      </c>
      <c r="M1001" t="s">
        <v>101</v>
      </c>
      <c r="N1001">
        <v>244.43</v>
      </c>
    </row>
    <row r="1002" spans="1:14" x14ac:dyDescent="0.35">
      <c r="A1002" s="2">
        <v>45745</v>
      </c>
      <c r="B1002" t="s">
        <v>332</v>
      </c>
      <c r="C1002" t="s">
        <v>86</v>
      </c>
      <c r="D1002" t="s">
        <v>52</v>
      </c>
      <c r="E1002" t="s">
        <v>34</v>
      </c>
      <c r="F1002">
        <v>7</v>
      </c>
      <c r="G1002">
        <v>153.68</v>
      </c>
      <c r="H1002" t="s">
        <v>58</v>
      </c>
      <c r="I1002" t="s">
        <v>1689</v>
      </c>
      <c r="J1002" t="s">
        <v>94</v>
      </c>
      <c r="K1002" t="s">
        <v>27</v>
      </c>
      <c r="L1002" t="s">
        <v>28</v>
      </c>
      <c r="M1002" t="s">
        <v>79</v>
      </c>
      <c r="N1002">
        <v>1075.76</v>
      </c>
    </row>
    <row r="1003" spans="1:14" x14ac:dyDescent="0.35">
      <c r="A1003" s="2">
        <v>45718</v>
      </c>
      <c r="B1003" t="s">
        <v>281</v>
      </c>
      <c r="C1003" t="s">
        <v>51</v>
      </c>
      <c r="D1003" t="s">
        <v>52</v>
      </c>
      <c r="E1003" t="s">
        <v>53</v>
      </c>
      <c r="F1003">
        <v>8</v>
      </c>
      <c r="G1003">
        <v>240.82</v>
      </c>
      <c r="H1003" t="s">
        <v>35</v>
      </c>
      <c r="I1003" t="s">
        <v>1690</v>
      </c>
      <c r="J1003" t="s">
        <v>26</v>
      </c>
      <c r="K1003" t="s">
        <v>38</v>
      </c>
      <c r="L1003" t="s">
        <v>66</v>
      </c>
      <c r="M1003" t="s">
        <v>101</v>
      </c>
      <c r="N1003">
        <v>1926.56</v>
      </c>
    </row>
    <row r="1004" spans="1:14" x14ac:dyDescent="0.35">
      <c r="A1004" s="2">
        <v>45540</v>
      </c>
      <c r="B1004" t="s">
        <v>1691</v>
      </c>
      <c r="C1004" t="s">
        <v>74</v>
      </c>
      <c r="D1004" t="s">
        <v>42</v>
      </c>
      <c r="E1004" t="s">
        <v>53</v>
      </c>
      <c r="F1004">
        <v>9</v>
      </c>
      <c r="G1004">
        <v>65.08</v>
      </c>
      <c r="H1004" t="s">
        <v>64</v>
      </c>
      <c r="I1004" t="s">
        <v>1692</v>
      </c>
      <c r="J1004" t="s">
        <v>94</v>
      </c>
      <c r="K1004" t="s">
        <v>78</v>
      </c>
      <c r="L1004" t="s">
        <v>39</v>
      </c>
      <c r="M1004" t="s">
        <v>56</v>
      </c>
      <c r="N1004">
        <v>585.72</v>
      </c>
    </row>
    <row r="1005" spans="1:14" x14ac:dyDescent="0.35">
      <c r="A1005" s="2">
        <v>45249</v>
      </c>
      <c r="B1005" t="s">
        <v>1693</v>
      </c>
      <c r="C1005" t="s">
        <v>86</v>
      </c>
      <c r="D1005" t="s">
        <v>22</v>
      </c>
      <c r="E1005" t="s">
        <v>53</v>
      </c>
      <c r="F1005">
        <v>2</v>
      </c>
      <c r="G1005">
        <v>93.8</v>
      </c>
      <c r="H1005" t="s">
        <v>64</v>
      </c>
      <c r="I1005" t="s">
        <v>1694</v>
      </c>
      <c r="J1005" t="s">
        <v>55</v>
      </c>
      <c r="K1005" t="s">
        <v>27</v>
      </c>
      <c r="L1005" t="s">
        <v>39</v>
      </c>
      <c r="M1005" t="s">
        <v>101</v>
      </c>
      <c r="N1005">
        <v>187.6</v>
      </c>
    </row>
    <row r="1006" spans="1:14" x14ac:dyDescent="0.35">
      <c r="A1006" s="2">
        <v>45500</v>
      </c>
      <c r="B1006" t="s">
        <v>495</v>
      </c>
      <c r="C1006" t="s">
        <v>106</v>
      </c>
      <c r="D1006" t="s">
        <v>52</v>
      </c>
      <c r="E1006" t="s">
        <v>83</v>
      </c>
      <c r="F1006">
        <v>4</v>
      </c>
      <c r="G1006">
        <v>138.49</v>
      </c>
      <c r="H1006" t="s">
        <v>58</v>
      </c>
      <c r="I1006" t="s">
        <v>1695</v>
      </c>
      <c r="J1006" t="s">
        <v>94</v>
      </c>
      <c r="K1006" t="s">
        <v>27</v>
      </c>
      <c r="L1006" t="s">
        <v>28</v>
      </c>
      <c r="M1006" t="s">
        <v>79</v>
      </c>
      <c r="N1006">
        <v>553.96</v>
      </c>
    </row>
    <row r="1007" spans="1:14" x14ac:dyDescent="0.35">
      <c r="A1007" s="2">
        <v>45472</v>
      </c>
      <c r="B1007" t="s">
        <v>1696</v>
      </c>
      <c r="C1007" t="s">
        <v>86</v>
      </c>
      <c r="D1007" t="s">
        <v>22</v>
      </c>
      <c r="E1007" t="s">
        <v>92</v>
      </c>
      <c r="F1007">
        <v>2</v>
      </c>
      <c r="G1007">
        <v>75.8</v>
      </c>
      <c r="H1007" t="s">
        <v>35</v>
      </c>
      <c r="I1007" t="s">
        <v>1697</v>
      </c>
      <c r="J1007" t="s">
        <v>37</v>
      </c>
      <c r="K1007" t="s">
        <v>38</v>
      </c>
      <c r="L1007" t="s">
        <v>39</v>
      </c>
      <c r="M1007" t="s">
        <v>79</v>
      </c>
      <c r="N1007">
        <v>151.6</v>
      </c>
    </row>
    <row r="1008" spans="1:14" x14ac:dyDescent="0.35">
      <c r="A1008" s="2">
        <v>45330</v>
      </c>
      <c r="B1008" t="s">
        <v>1189</v>
      </c>
      <c r="C1008" t="s">
        <v>51</v>
      </c>
      <c r="D1008" t="s">
        <v>22</v>
      </c>
      <c r="E1008" t="s">
        <v>63</v>
      </c>
      <c r="F1008">
        <v>8</v>
      </c>
      <c r="G1008">
        <v>89.24</v>
      </c>
      <c r="H1008" t="s">
        <v>58</v>
      </c>
      <c r="I1008" t="s">
        <v>1698</v>
      </c>
      <c r="J1008" t="s">
        <v>97</v>
      </c>
      <c r="K1008" t="s">
        <v>60</v>
      </c>
      <c r="L1008" t="s">
        <v>39</v>
      </c>
      <c r="M1008" t="s">
        <v>56</v>
      </c>
      <c r="N1008">
        <v>713.92</v>
      </c>
    </row>
    <row r="1009" spans="1:14" x14ac:dyDescent="0.35">
      <c r="A1009" s="2">
        <v>45800</v>
      </c>
      <c r="B1009" t="s">
        <v>1699</v>
      </c>
      <c r="C1009" t="s">
        <v>21</v>
      </c>
      <c r="D1009" t="s">
        <v>22</v>
      </c>
      <c r="E1009" t="s">
        <v>53</v>
      </c>
      <c r="F1009">
        <v>2</v>
      </c>
      <c r="G1009">
        <v>386.54</v>
      </c>
      <c r="H1009" t="s">
        <v>35</v>
      </c>
      <c r="I1009" t="s">
        <v>1700</v>
      </c>
      <c r="J1009" t="s">
        <v>97</v>
      </c>
      <c r="K1009" t="s">
        <v>38</v>
      </c>
      <c r="L1009" t="s">
        <v>39</v>
      </c>
      <c r="M1009" t="s">
        <v>61</v>
      </c>
      <c r="N1009">
        <v>773.08</v>
      </c>
    </row>
    <row r="1010" spans="1:14" x14ac:dyDescent="0.35">
      <c r="A1010" s="2">
        <v>45612</v>
      </c>
      <c r="B1010" t="s">
        <v>1086</v>
      </c>
      <c r="C1010" t="s">
        <v>89</v>
      </c>
      <c r="D1010" t="s">
        <v>52</v>
      </c>
      <c r="E1010" t="s">
        <v>34</v>
      </c>
      <c r="F1010">
        <v>5</v>
      </c>
      <c r="G1010">
        <v>343.92</v>
      </c>
      <c r="H1010" t="s">
        <v>24</v>
      </c>
      <c r="I1010" t="s">
        <v>1701</v>
      </c>
      <c r="J1010" t="s">
        <v>55</v>
      </c>
      <c r="K1010" t="s">
        <v>27</v>
      </c>
      <c r="L1010" t="s">
        <v>66</v>
      </c>
      <c r="M1010" t="s">
        <v>79</v>
      </c>
      <c r="N1010">
        <v>1719.6</v>
      </c>
    </row>
    <row r="1011" spans="1:14" x14ac:dyDescent="0.35">
      <c r="A1011" s="2">
        <v>45139</v>
      </c>
      <c r="B1011" t="s">
        <v>564</v>
      </c>
      <c r="C1011" t="s">
        <v>86</v>
      </c>
      <c r="D1011" t="s">
        <v>42</v>
      </c>
      <c r="E1011" t="s">
        <v>63</v>
      </c>
      <c r="F1011">
        <v>3</v>
      </c>
      <c r="G1011">
        <v>362.73</v>
      </c>
      <c r="H1011" t="s">
        <v>58</v>
      </c>
      <c r="I1011" t="s">
        <v>1702</v>
      </c>
      <c r="J1011" t="s">
        <v>37</v>
      </c>
      <c r="K1011" t="s">
        <v>38</v>
      </c>
      <c r="L1011" t="s">
        <v>66</v>
      </c>
      <c r="M1011" t="s">
        <v>49</v>
      </c>
      <c r="N1011">
        <v>1088.19</v>
      </c>
    </row>
    <row r="1012" spans="1:14" x14ac:dyDescent="0.35">
      <c r="A1012" s="2">
        <v>45383</v>
      </c>
      <c r="B1012" t="s">
        <v>1480</v>
      </c>
      <c r="C1012" t="s">
        <v>41</v>
      </c>
      <c r="D1012" t="s">
        <v>52</v>
      </c>
      <c r="E1012" t="s">
        <v>53</v>
      </c>
      <c r="F1012">
        <v>7</v>
      </c>
      <c r="G1012">
        <v>355.17</v>
      </c>
      <c r="H1012" t="s">
        <v>58</v>
      </c>
      <c r="I1012" t="s">
        <v>1703</v>
      </c>
      <c r="J1012" t="s">
        <v>26</v>
      </c>
      <c r="K1012" t="s">
        <v>38</v>
      </c>
      <c r="L1012" t="s">
        <v>28</v>
      </c>
      <c r="M1012" t="s">
        <v>29</v>
      </c>
      <c r="N1012">
        <v>2486.19</v>
      </c>
    </row>
    <row r="1013" spans="1:14" x14ac:dyDescent="0.35">
      <c r="A1013" s="2">
        <v>45247</v>
      </c>
      <c r="B1013" t="s">
        <v>1704</v>
      </c>
      <c r="C1013" t="s">
        <v>41</v>
      </c>
      <c r="D1013" t="s">
        <v>42</v>
      </c>
      <c r="E1013" t="s">
        <v>63</v>
      </c>
      <c r="F1013">
        <v>10</v>
      </c>
      <c r="G1013">
        <v>147.16</v>
      </c>
      <c r="H1013" t="s">
        <v>35</v>
      </c>
      <c r="I1013" t="s">
        <v>1705</v>
      </c>
      <c r="J1013" t="s">
        <v>97</v>
      </c>
      <c r="K1013" t="s">
        <v>60</v>
      </c>
      <c r="L1013" t="s">
        <v>28</v>
      </c>
      <c r="M1013" t="s">
        <v>61</v>
      </c>
      <c r="N1013">
        <v>1471.6</v>
      </c>
    </row>
    <row r="1014" spans="1:14" x14ac:dyDescent="0.35">
      <c r="A1014" s="2">
        <v>45156</v>
      </c>
      <c r="B1014" t="s">
        <v>545</v>
      </c>
      <c r="C1014" t="s">
        <v>41</v>
      </c>
      <c r="D1014" t="s">
        <v>52</v>
      </c>
      <c r="E1014" t="s">
        <v>92</v>
      </c>
      <c r="F1014">
        <v>1</v>
      </c>
      <c r="G1014">
        <v>195.82</v>
      </c>
      <c r="H1014" t="s">
        <v>35</v>
      </c>
      <c r="I1014" t="s">
        <v>1706</v>
      </c>
      <c r="J1014" t="s">
        <v>94</v>
      </c>
      <c r="K1014" t="s">
        <v>38</v>
      </c>
      <c r="L1014" t="s">
        <v>39</v>
      </c>
      <c r="M1014" t="s">
        <v>61</v>
      </c>
      <c r="N1014">
        <v>195.82</v>
      </c>
    </row>
    <row r="1015" spans="1:14" x14ac:dyDescent="0.35">
      <c r="A1015" s="2">
        <v>45674</v>
      </c>
      <c r="B1015" t="s">
        <v>1707</v>
      </c>
      <c r="C1015" t="s">
        <v>21</v>
      </c>
      <c r="D1015" t="s">
        <v>42</v>
      </c>
      <c r="E1015" t="s">
        <v>63</v>
      </c>
      <c r="F1015">
        <v>9</v>
      </c>
      <c r="G1015">
        <v>118.67</v>
      </c>
      <c r="H1015" t="s">
        <v>58</v>
      </c>
      <c r="I1015" t="s">
        <v>1708</v>
      </c>
      <c r="J1015" t="s">
        <v>37</v>
      </c>
      <c r="K1015" t="s">
        <v>78</v>
      </c>
      <c r="L1015" t="s">
        <v>39</v>
      </c>
      <c r="M1015" t="s">
        <v>61</v>
      </c>
      <c r="N1015">
        <v>1068.03</v>
      </c>
    </row>
    <row r="1016" spans="1:14" x14ac:dyDescent="0.35">
      <c r="A1016" s="2">
        <v>45101</v>
      </c>
      <c r="B1016" t="s">
        <v>845</v>
      </c>
      <c r="C1016" t="s">
        <v>51</v>
      </c>
      <c r="D1016" t="s">
        <v>42</v>
      </c>
      <c r="E1016" t="s">
        <v>23</v>
      </c>
      <c r="F1016">
        <v>10</v>
      </c>
      <c r="G1016">
        <v>315.98</v>
      </c>
      <c r="H1016" t="s">
        <v>44</v>
      </c>
      <c r="I1016" t="s">
        <v>1709</v>
      </c>
      <c r="J1016" t="s">
        <v>37</v>
      </c>
      <c r="K1016" t="s">
        <v>38</v>
      </c>
      <c r="L1016" t="s">
        <v>28</v>
      </c>
      <c r="M1016" t="s">
        <v>79</v>
      </c>
      <c r="N1016">
        <v>3159.8</v>
      </c>
    </row>
    <row r="1017" spans="1:14" x14ac:dyDescent="0.35">
      <c r="A1017" s="2">
        <v>44964</v>
      </c>
      <c r="B1017" t="s">
        <v>731</v>
      </c>
      <c r="C1017" t="s">
        <v>21</v>
      </c>
      <c r="D1017" t="s">
        <v>33</v>
      </c>
      <c r="E1017" t="s">
        <v>53</v>
      </c>
      <c r="F1017">
        <v>10</v>
      </c>
      <c r="G1017">
        <v>169.05</v>
      </c>
      <c r="H1017" t="s">
        <v>44</v>
      </c>
      <c r="I1017" t="s">
        <v>1710</v>
      </c>
      <c r="J1017" t="s">
        <v>37</v>
      </c>
      <c r="K1017" t="s">
        <v>38</v>
      </c>
      <c r="L1017" t="s">
        <v>66</v>
      </c>
      <c r="M1017" t="s">
        <v>49</v>
      </c>
      <c r="N1017">
        <v>1690.5</v>
      </c>
    </row>
    <row r="1018" spans="1:14" x14ac:dyDescent="0.35">
      <c r="A1018" s="2">
        <v>45161</v>
      </c>
      <c r="B1018" t="s">
        <v>1004</v>
      </c>
      <c r="C1018" t="s">
        <v>71</v>
      </c>
      <c r="D1018" t="s">
        <v>33</v>
      </c>
      <c r="E1018" t="s">
        <v>63</v>
      </c>
      <c r="F1018">
        <v>4</v>
      </c>
      <c r="G1018">
        <v>131.56</v>
      </c>
      <c r="H1018" t="s">
        <v>64</v>
      </c>
      <c r="I1018" t="s">
        <v>1711</v>
      </c>
      <c r="J1018" t="s">
        <v>37</v>
      </c>
      <c r="K1018" t="s">
        <v>38</v>
      </c>
      <c r="L1018" t="s">
        <v>66</v>
      </c>
      <c r="M1018" t="s">
        <v>67</v>
      </c>
      <c r="N1018">
        <v>526.24</v>
      </c>
    </row>
    <row r="1019" spans="1:14" x14ac:dyDescent="0.35">
      <c r="A1019" s="2">
        <v>45313</v>
      </c>
      <c r="B1019" t="s">
        <v>137</v>
      </c>
      <c r="C1019" t="s">
        <v>81</v>
      </c>
      <c r="D1019" t="s">
        <v>22</v>
      </c>
      <c r="E1019" t="s">
        <v>43</v>
      </c>
      <c r="F1019">
        <v>6</v>
      </c>
      <c r="G1019">
        <v>129.19999999999999</v>
      </c>
      <c r="H1019" t="s">
        <v>64</v>
      </c>
      <c r="I1019" t="s">
        <v>1712</v>
      </c>
      <c r="J1019" t="s">
        <v>97</v>
      </c>
      <c r="K1019" t="s">
        <v>60</v>
      </c>
      <c r="L1019" t="s">
        <v>28</v>
      </c>
      <c r="M1019" t="s">
        <v>29</v>
      </c>
      <c r="N1019">
        <v>775.19999999999993</v>
      </c>
    </row>
    <row r="1020" spans="1:14" x14ac:dyDescent="0.35">
      <c r="A1020" s="2">
        <v>45460</v>
      </c>
      <c r="B1020" t="s">
        <v>1713</v>
      </c>
      <c r="C1020" t="s">
        <v>21</v>
      </c>
      <c r="D1020" t="s">
        <v>52</v>
      </c>
      <c r="E1020" t="s">
        <v>83</v>
      </c>
      <c r="F1020">
        <v>8</v>
      </c>
      <c r="G1020">
        <v>214.09</v>
      </c>
      <c r="H1020" t="s">
        <v>58</v>
      </c>
      <c r="I1020" t="s">
        <v>1714</v>
      </c>
      <c r="J1020" t="s">
        <v>37</v>
      </c>
      <c r="K1020" t="s">
        <v>38</v>
      </c>
      <c r="L1020" t="s">
        <v>28</v>
      </c>
      <c r="M1020" t="s">
        <v>29</v>
      </c>
      <c r="N1020">
        <v>1712.72</v>
      </c>
    </row>
    <row r="1021" spans="1:14" x14ac:dyDescent="0.35">
      <c r="A1021" s="2">
        <v>45036</v>
      </c>
      <c r="B1021" t="s">
        <v>193</v>
      </c>
      <c r="C1021" t="s">
        <v>47</v>
      </c>
      <c r="D1021" t="s">
        <v>42</v>
      </c>
      <c r="E1021" t="s">
        <v>53</v>
      </c>
      <c r="F1021">
        <v>10</v>
      </c>
      <c r="G1021">
        <v>396.16</v>
      </c>
      <c r="H1021" t="s">
        <v>24</v>
      </c>
      <c r="I1021" t="s">
        <v>1715</v>
      </c>
      <c r="J1021" t="s">
        <v>55</v>
      </c>
      <c r="K1021" t="s">
        <v>78</v>
      </c>
      <c r="L1021" t="s">
        <v>28</v>
      </c>
      <c r="M1021" t="s">
        <v>56</v>
      </c>
      <c r="N1021">
        <v>3961.6</v>
      </c>
    </row>
    <row r="1022" spans="1:14" x14ac:dyDescent="0.35">
      <c r="A1022" s="2">
        <v>45029</v>
      </c>
      <c r="B1022" t="s">
        <v>1248</v>
      </c>
      <c r="C1022" t="s">
        <v>41</v>
      </c>
      <c r="D1022" t="s">
        <v>33</v>
      </c>
      <c r="E1022" t="s">
        <v>83</v>
      </c>
      <c r="F1022">
        <v>5</v>
      </c>
      <c r="G1022">
        <v>153.28</v>
      </c>
      <c r="H1022" t="s">
        <v>24</v>
      </c>
      <c r="I1022" t="s">
        <v>1716</v>
      </c>
      <c r="J1022" t="s">
        <v>37</v>
      </c>
      <c r="K1022" t="s">
        <v>27</v>
      </c>
      <c r="L1022" t="s">
        <v>28</v>
      </c>
      <c r="M1022" t="s">
        <v>56</v>
      </c>
      <c r="N1022">
        <v>766.4</v>
      </c>
    </row>
    <row r="1023" spans="1:14" x14ac:dyDescent="0.35">
      <c r="A1023" s="2">
        <v>45466</v>
      </c>
      <c r="B1023" t="s">
        <v>719</v>
      </c>
      <c r="C1023" t="s">
        <v>51</v>
      </c>
      <c r="D1023" t="s">
        <v>33</v>
      </c>
      <c r="E1023" t="s">
        <v>83</v>
      </c>
      <c r="F1023">
        <v>6</v>
      </c>
      <c r="G1023">
        <v>348.35</v>
      </c>
      <c r="H1023" t="s">
        <v>35</v>
      </c>
      <c r="I1023" t="s">
        <v>1717</v>
      </c>
      <c r="J1023" t="s">
        <v>94</v>
      </c>
      <c r="K1023" t="s">
        <v>60</v>
      </c>
      <c r="L1023" t="s">
        <v>66</v>
      </c>
      <c r="M1023" t="s">
        <v>101</v>
      </c>
      <c r="N1023">
        <v>2090.1</v>
      </c>
    </row>
    <row r="1024" spans="1:14" x14ac:dyDescent="0.35">
      <c r="A1024" s="2">
        <v>45666</v>
      </c>
      <c r="B1024" t="s">
        <v>153</v>
      </c>
      <c r="C1024" t="s">
        <v>21</v>
      </c>
      <c r="D1024" t="s">
        <v>33</v>
      </c>
      <c r="E1024" t="s">
        <v>23</v>
      </c>
      <c r="F1024">
        <v>8</v>
      </c>
      <c r="G1024">
        <v>74.959999999999994</v>
      </c>
      <c r="H1024" t="s">
        <v>58</v>
      </c>
      <c r="I1024" t="s">
        <v>1718</v>
      </c>
      <c r="J1024" t="s">
        <v>26</v>
      </c>
      <c r="K1024" t="s">
        <v>27</v>
      </c>
      <c r="L1024" t="s">
        <v>39</v>
      </c>
      <c r="M1024" t="s">
        <v>56</v>
      </c>
      <c r="N1024">
        <v>599.67999999999995</v>
      </c>
    </row>
    <row r="1025" spans="1:14" x14ac:dyDescent="0.35">
      <c r="A1025" s="2">
        <v>45552</v>
      </c>
      <c r="B1025" t="s">
        <v>1062</v>
      </c>
      <c r="C1025" t="s">
        <v>47</v>
      </c>
      <c r="D1025" t="s">
        <v>33</v>
      </c>
      <c r="E1025" t="s">
        <v>92</v>
      </c>
      <c r="F1025">
        <v>10</v>
      </c>
      <c r="G1025">
        <v>117.03</v>
      </c>
      <c r="H1025" t="s">
        <v>44</v>
      </c>
      <c r="I1025" t="s">
        <v>1719</v>
      </c>
      <c r="J1025" t="s">
        <v>55</v>
      </c>
      <c r="K1025" t="s">
        <v>78</v>
      </c>
      <c r="L1025" t="s">
        <v>28</v>
      </c>
      <c r="M1025" t="s">
        <v>49</v>
      </c>
      <c r="N1025">
        <v>1170.3</v>
      </c>
    </row>
    <row r="1026" spans="1:14" x14ac:dyDescent="0.35">
      <c r="A1026" s="2">
        <v>45543</v>
      </c>
      <c r="B1026" t="s">
        <v>226</v>
      </c>
      <c r="C1026" t="s">
        <v>89</v>
      </c>
      <c r="D1026" t="s">
        <v>52</v>
      </c>
      <c r="E1026" t="s">
        <v>23</v>
      </c>
      <c r="F1026">
        <v>6</v>
      </c>
      <c r="G1026">
        <v>78.34</v>
      </c>
      <c r="H1026" t="s">
        <v>64</v>
      </c>
      <c r="I1026" t="s">
        <v>1720</v>
      </c>
      <c r="J1026" t="s">
        <v>37</v>
      </c>
      <c r="K1026" t="s">
        <v>27</v>
      </c>
      <c r="L1026" t="s">
        <v>28</v>
      </c>
      <c r="M1026" t="s">
        <v>101</v>
      </c>
      <c r="N1026">
        <v>470.04</v>
      </c>
    </row>
    <row r="1027" spans="1:14" x14ac:dyDescent="0.35">
      <c r="A1027" s="2">
        <v>45455</v>
      </c>
      <c r="B1027" t="s">
        <v>1721</v>
      </c>
      <c r="C1027" t="s">
        <v>71</v>
      </c>
      <c r="D1027" t="s">
        <v>22</v>
      </c>
      <c r="E1027" t="s">
        <v>92</v>
      </c>
      <c r="F1027">
        <v>6</v>
      </c>
      <c r="G1027">
        <v>43.01</v>
      </c>
      <c r="H1027" t="s">
        <v>58</v>
      </c>
      <c r="I1027" t="s">
        <v>1722</v>
      </c>
      <c r="J1027" t="s">
        <v>97</v>
      </c>
      <c r="K1027" t="s">
        <v>60</v>
      </c>
      <c r="L1027" t="s">
        <v>28</v>
      </c>
      <c r="M1027" t="s">
        <v>67</v>
      </c>
      <c r="N1027">
        <v>258.06</v>
      </c>
    </row>
    <row r="1028" spans="1:14" x14ac:dyDescent="0.35">
      <c r="A1028" s="2">
        <v>45159</v>
      </c>
      <c r="B1028" t="s">
        <v>1078</v>
      </c>
      <c r="C1028" t="s">
        <v>81</v>
      </c>
      <c r="D1028" t="s">
        <v>33</v>
      </c>
      <c r="E1028" t="s">
        <v>43</v>
      </c>
      <c r="F1028">
        <v>8</v>
      </c>
      <c r="G1028">
        <v>182.52</v>
      </c>
      <c r="H1028" t="s">
        <v>24</v>
      </c>
      <c r="I1028" t="s">
        <v>1723</v>
      </c>
      <c r="J1028" t="s">
        <v>97</v>
      </c>
      <c r="K1028" t="s">
        <v>60</v>
      </c>
      <c r="L1028" t="s">
        <v>28</v>
      </c>
      <c r="M1028" t="s">
        <v>29</v>
      </c>
      <c r="N1028">
        <v>1460.16</v>
      </c>
    </row>
    <row r="1029" spans="1:14" x14ac:dyDescent="0.35">
      <c r="A1029" s="2">
        <v>45758</v>
      </c>
      <c r="B1029" t="s">
        <v>356</v>
      </c>
      <c r="C1029" t="s">
        <v>41</v>
      </c>
      <c r="D1029" t="s">
        <v>22</v>
      </c>
      <c r="E1029" t="s">
        <v>43</v>
      </c>
      <c r="F1029">
        <v>2</v>
      </c>
      <c r="G1029">
        <v>21.91</v>
      </c>
      <c r="H1029" t="s">
        <v>64</v>
      </c>
      <c r="I1029" t="s">
        <v>1724</v>
      </c>
      <c r="J1029" t="s">
        <v>97</v>
      </c>
      <c r="K1029" t="s">
        <v>27</v>
      </c>
      <c r="L1029" t="s">
        <v>39</v>
      </c>
      <c r="M1029" t="s">
        <v>61</v>
      </c>
      <c r="N1029">
        <v>43.82</v>
      </c>
    </row>
    <row r="1030" spans="1:14" x14ac:dyDescent="0.35">
      <c r="A1030" s="2">
        <v>44939</v>
      </c>
      <c r="B1030" t="s">
        <v>218</v>
      </c>
      <c r="C1030" t="s">
        <v>106</v>
      </c>
      <c r="D1030" t="s">
        <v>22</v>
      </c>
      <c r="E1030" t="s">
        <v>23</v>
      </c>
      <c r="F1030">
        <v>5</v>
      </c>
      <c r="G1030">
        <v>117.73</v>
      </c>
      <c r="H1030" t="s">
        <v>58</v>
      </c>
      <c r="I1030" t="s">
        <v>1725</v>
      </c>
      <c r="J1030" t="s">
        <v>26</v>
      </c>
      <c r="K1030" t="s">
        <v>78</v>
      </c>
      <c r="L1030" t="s">
        <v>28</v>
      </c>
      <c r="M1030" t="s">
        <v>61</v>
      </c>
      <c r="N1030">
        <v>588.65</v>
      </c>
    </row>
    <row r="1031" spans="1:14" x14ac:dyDescent="0.35">
      <c r="A1031" s="2">
        <v>45667</v>
      </c>
      <c r="B1031" t="s">
        <v>481</v>
      </c>
      <c r="C1031" t="s">
        <v>21</v>
      </c>
      <c r="D1031" t="s">
        <v>52</v>
      </c>
      <c r="E1031" t="s">
        <v>63</v>
      </c>
      <c r="F1031">
        <v>5</v>
      </c>
      <c r="G1031">
        <v>23.2</v>
      </c>
      <c r="H1031" t="s">
        <v>35</v>
      </c>
      <c r="I1031" t="s">
        <v>1726</v>
      </c>
      <c r="J1031" t="s">
        <v>26</v>
      </c>
      <c r="K1031" t="s">
        <v>78</v>
      </c>
      <c r="L1031" t="s">
        <v>66</v>
      </c>
      <c r="M1031" t="s">
        <v>61</v>
      </c>
      <c r="N1031">
        <v>116</v>
      </c>
    </row>
    <row r="1032" spans="1:14" x14ac:dyDescent="0.35">
      <c r="A1032" s="2">
        <v>45312</v>
      </c>
      <c r="B1032" t="s">
        <v>731</v>
      </c>
      <c r="C1032" t="s">
        <v>81</v>
      </c>
      <c r="D1032" t="s">
        <v>42</v>
      </c>
      <c r="E1032" t="s">
        <v>34</v>
      </c>
      <c r="F1032">
        <v>3</v>
      </c>
      <c r="G1032">
        <v>95.43</v>
      </c>
      <c r="H1032" t="s">
        <v>58</v>
      </c>
      <c r="I1032" t="s">
        <v>1727</v>
      </c>
      <c r="J1032" t="s">
        <v>37</v>
      </c>
      <c r="K1032" t="s">
        <v>38</v>
      </c>
      <c r="L1032" t="s">
        <v>66</v>
      </c>
      <c r="M1032" t="s">
        <v>101</v>
      </c>
      <c r="N1032">
        <v>286.29000000000002</v>
      </c>
    </row>
    <row r="1033" spans="1:14" x14ac:dyDescent="0.35">
      <c r="A1033" s="2">
        <v>45726</v>
      </c>
      <c r="B1033" t="s">
        <v>607</v>
      </c>
      <c r="C1033" t="s">
        <v>86</v>
      </c>
      <c r="D1033" t="s">
        <v>33</v>
      </c>
      <c r="E1033" t="s">
        <v>34</v>
      </c>
      <c r="F1033">
        <v>3</v>
      </c>
      <c r="G1033">
        <v>48.91</v>
      </c>
      <c r="H1033" t="s">
        <v>35</v>
      </c>
      <c r="I1033" t="s">
        <v>1728</v>
      </c>
      <c r="J1033" t="s">
        <v>97</v>
      </c>
      <c r="K1033" t="s">
        <v>27</v>
      </c>
      <c r="L1033" t="s">
        <v>66</v>
      </c>
      <c r="M1033" t="s">
        <v>29</v>
      </c>
      <c r="N1033">
        <v>146.72999999999999</v>
      </c>
    </row>
    <row r="1034" spans="1:14" x14ac:dyDescent="0.35">
      <c r="A1034" s="2">
        <v>45298</v>
      </c>
      <c r="B1034" t="s">
        <v>949</v>
      </c>
      <c r="C1034" t="s">
        <v>41</v>
      </c>
      <c r="D1034" t="s">
        <v>52</v>
      </c>
      <c r="E1034" t="s">
        <v>83</v>
      </c>
      <c r="F1034">
        <v>6</v>
      </c>
      <c r="G1034">
        <v>123.15</v>
      </c>
      <c r="H1034" t="s">
        <v>58</v>
      </c>
      <c r="I1034" t="s">
        <v>1729</v>
      </c>
      <c r="J1034" t="s">
        <v>94</v>
      </c>
      <c r="K1034" t="s">
        <v>78</v>
      </c>
      <c r="L1034" t="s">
        <v>28</v>
      </c>
      <c r="M1034" t="s">
        <v>101</v>
      </c>
      <c r="N1034">
        <v>738.90000000000009</v>
      </c>
    </row>
    <row r="1035" spans="1:14" x14ac:dyDescent="0.35">
      <c r="A1035" s="2">
        <v>45231</v>
      </c>
      <c r="B1035" t="s">
        <v>1088</v>
      </c>
      <c r="C1035" t="s">
        <v>47</v>
      </c>
      <c r="D1035" t="s">
        <v>52</v>
      </c>
      <c r="E1035" t="s">
        <v>92</v>
      </c>
      <c r="F1035">
        <v>10</v>
      </c>
      <c r="G1035">
        <v>59.88</v>
      </c>
      <c r="H1035" t="s">
        <v>24</v>
      </c>
      <c r="I1035" t="s">
        <v>1730</v>
      </c>
      <c r="J1035" t="s">
        <v>55</v>
      </c>
      <c r="K1035" t="s">
        <v>27</v>
      </c>
      <c r="L1035" t="s">
        <v>66</v>
      </c>
      <c r="M1035" t="s">
        <v>67</v>
      </c>
      <c r="N1035">
        <v>598.80000000000007</v>
      </c>
    </row>
    <row r="1036" spans="1:14" x14ac:dyDescent="0.35">
      <c r="A1036" s="2">
        <v>45338</v>
      </c>
      <c r="B1036" t="s">
        <v>210</v>
      </c>
      <c r="C1036" t="s">
        <v>71</v>
      </c>
      <c r="D1036" t="s">
        <v>22</v>
      </c>
      <c r="E1036" t="s">
        <v>92</v>
      </c>
      <c r="F1036">
        <v>1</v>
      </c>
      <c r="G1036">
        <v>309.32</v>
      </c>
      <c r="H1036" t="s">
        <v>35</v>
      </c>
      <c r="I1036" t="s">
        <v>1731</v>
      </c>
      <c r="J1036" t="s">
        <v>37</v>
      </c>
      <c r="K1036" t="s">
        <v>27</v>
      </c>
      <c r="L1036" t="s">
        <v>66</v>
      </c>
      <c r="M1036" t="s">
        <v>61</v>
      </c>
      <c r="N1036">
        <v>309.32</v>
      </c>
    </row>
    <row r="1037" spans="1:14" x14ac:dyDescent="0.35">
      <c r="A1037" s="2">
        <v>45138</v>
      </c>
      <c r="B1037" t="s">
        <v>497</v>
      </c>
      <c r="C1037" t="s">
        <v>41</v>
      </c>
      <c r="D1037" t="s">
        <v>42</v>
      </c>
      <c r="E1037" t="s">
        <v>53</v>
      </c>
      <c r="F1037">
        <v>1</v>
      </c>
      <c r="G1037">
        <v>181.86</v>
      </c>
      <c r="H1037" t="s">
        <v>35</v>
      </c>
      <c r="I1037" t="s">
        <v>1732</v>
      </c>
      <c r="J1037" t="s">
        <v>94</v>
      </c>
      <c r="K1037" t="s">
        <v>27</v>
      </c>
      <c r="L1037" t="s">
        <v>28</v>
      </c>
      <c r="M1037" t="s">
        <v>29</v>
      </c>
      <c r="N1037">
        <v>181.86</v>
      </c>
    </row>
    <row r="1038" spans="1:14" x14ac:dyDescent="0.35">
      <c r="A1038" s="2">
        <v>45739</v>
      </c>
      <c r="B1038" t="s">
        <v>328</v>
      </c>
      <c r="C1038" t="s">
        <v>106</v>
      </c>
      <c r="D1038" t="s">
        <v>52</v>
      </c>
      <c r="E1038" t="s">
        <v>83</v>
      </c>
      <c r="F1038">
        <v>10</v>
      </c>
      <c r="G1038">
        <v>125.01</v>
      </c>
      <c r="H1038" t="s">
        <v>58</v>
      </c>
      <c r="I1038" t="s">
        <v>1733</v>
      </c>
      <c r="J1038" t="s">
        <v>94</v>
      </c>
      <c r="K1038" t="s">
        <v>38</v>
      </c>
      <c r="L1038" t="s">
        <v>39</v>
      </c>
      <c r="M1038" t="s">
        <v>101</v>
      </c>
      <c r="N1038">
        <v>1250.0999999999999</v>
      </c>
    </row>
    <row r="1039" spans="1:14" x14ac:dyDescent="0.35">
      <c r="A1039" s="2">
        <v>45396</v>
      </c>
      <c r="B1039" t="s">
        <v>1734</v>
      </c>
      <c r="C1039" t="s">
        <v>89</v>
      </c>
      <c r="D1039" t="s">
        <v>42</v>
      </c>
      <c r="E1039" t="s">
        <v>83</v>
      </c>
      <c r="F1039">
        <v>6</v>
      </c>
      <c r="G1039">
        <v>187.23</v>
      </c>
      <c r="H1039" t="s">
        <v>64</v>
      </c>
      <c r="I1039" t="s">
        <v>1735</v>
      </c>
      <c r="J1039" t="s">
        <v>97</v>
      </c>
      <c r="K1039" t="s">
        <v>78</v>
      </c>
      <c r="L1039" t="s">
        <v>28</v>
      </c>
      <c r="M1039" t="s">
        <v>101</v>
      </c>
      <c r="N1039">
        <v>1123.3800000000001</v>
      </c>
    </row>
    <row r="1040" spans="1:14" x14ac:dyDescent="0.35">
      <c r="A1040" s="2">
        <v>45104</v>
      </c>
      <c r="B1040" t="s">
        <v>1340</v>
      </c>
      <c r="C1040" t="s">
        <v>41</v>
      </c>
      <c r="D1040" t="s">
        <v>52</v>
      </c>
      <c r="E1040" t="s">
        <v>53</v>
      </c>
      <c r="F1040">
        <v>4</v>
      </c>
      <c r="G1040">
        <v>232.92</v>
      </c>
      <c r="H1040" t="s">
        <v>44</v>
      </c>
      <c r="I1040" t="s">
        <v>1736</v>
      </c>
      <c r="J1040" t="s">
        <v>55</v>
      </c>
      <c r="K1040" t="s">
        <v>60</v>
      </c>
      <c r="L1040" t="s">
        <v>39</v>
      </c>
      <c r="M1040" t="s">
        <v>49</v>
      </c>
      <c r="N1040">
        <v>931.68</v>
      </c>
    </row>
    <row r="1041" spans="1:14" x14ac:dyDescent="0.35">
      <c r="A1041" s="2">
        <v>45285</v>
      </c>
      <c r="B1041" t="s">
        <v>808</v>
      </c>
      <c r="C1041" t="s">
        <v>51</v>
      </c>
      <c r="D1041" t="s">
        <v>42</v>
      </c>
      <c r="E1041" t="s">
        <v>92</v>
      </c>
      <c r="F1041">
        <v>8</v>
      </c>
      <c r="G1041">
        <v>89.85</v>
      </c>
      <c r="H1041" t="s">
        <v>24</v>
      </c>
      <c r="I1041" t="s">
        <v>1737</v>
      </c>
      <c r="J1041" t="s">
        <v>55</v>
      </c>
      <c r="K1041" t="s">
        <v>78</v>
      </c>
      <c r="L1041" t="s">
        <v>28</v>
      </c>
      <c r="M1041" t="s">
        <v>29</v>
      </c>
      <c r="N1041">
        <v>718.8</v>
      </c>
    </row>
    <row r="1042" spans="1:14" x14ac:dyDescent="0.35">
      <c r="A1042" s="2">
        <v>45510</v>
      </c>
      <c r="B1042" t="s">
        <v>1738</v>
      </c>
      <c r="C1042" t="s">
        <v>74</v>
      </c>
      <c r="D1042" t="s">
        <v>33</v>
      </c>
      <c r="E1042" t="s">
        <v>83</v>
      </c>
      <c r="F1042">
        <v>10</v>
      </c>
      <c r="G1042">
        <v>85.85</v>
      </c>
      <c r="H1042" t="s">
        <v>58</v>
      </c>
      <c r="I1042" t="s">
        <v>1739</v>
      </c>
      <c r="J1042" t="s">
        <v>26</v>
      </c>
      <c r="K1042" t="s">
        <v>38</v>
      </c>
      <c r="L1042" t="s">
        <v>28</v>
      </c>
      <c r="M1042" t="s">
        <v>49</v>
      </c>
      <c r="N1042">
        <v>858.5</v>
      </c>
    </row>
    <row r="1043" spans="1:14" x14ac:dyDescent="0.35">
      <c r="A1043" s="2">
        <v>45312</v>
      </c>
      <c r="B1043" t="s">
        <v>490</v>
      </c>
      <c r="C1043" t="s">
        <v>81</v>
      </c>
      <c r="D1043" t="s">
        <v>52</v>
      </c>
      <c r="E1043" t="s">
        <v>92</v>
      </c>
      <c r="F1043">
        <v>9</v>
      </c>
      <c r="G1043">
        <v>235.54</v>
      </c>
      <c r="H1043" t="s">
        <v>64</v>
      </c>
      <c r="I1043" t="s">
        <v>1740</v>
      </c>
      <c r="J1043" t="s">
        <v>37</v>
      </c>
      <c r="K1043" t="s">
        <v>38</v>
      </c>
      <c r="L1043" t="s">
        <v>66</v>
      </c>
      <c r="M1043" t="s">
        <v>101</v>
      </c>
      <c r="N1043">
        <v>2119.86</v>
      </c>
    </row>
    <row r="1044" spans="1:14" x14ac:dyDescent="0.35">
      <c r="A1044" s="2">
        <v>45638</v>
      </c>
      <c r="B1044" t="s">
        <v>1741</v>
      </c>
      <c r="C1044" t="s">
        <v>21</v>
      </c>
      <c r="D1044" t="s">
        <v>42</v>
      </c>
      <c r="E1044" t="s">
        <v>53</v>
      </c>
      <c r="F1044">
        <v>6</v>
      </c>
      <c r="G1044">
        <v>133.12</v>
      </c>
      <c r="H1044" t="s">
        <v>24</v>
      </c>
      <c r="I1044" t="s">
        <v>1742</v>
      </c>
      <c r="J1044" t="s">
        <v>97</v>
      </c>
      <c r="K1044" t="s">
        <v>27</v>
      </c>
      <c r="L1044" t="s">
        <v>39</v>
      </c>
      <c r="M1044" t="s">
        <v>56</v>
      </c>
      <c r="N1044">
        <v>798.72</v>
      </c>
    </row>
    <row r="1045" spans="1:14" x14ac:dyDescent="0.35">
      <c r="A1045" s="2">
        <v>45349</v>
      </c>
      <c r="B1045" t="s">
        <v>1437</v>
      </c>
      <c r="C1045" t="s">
        <v>47</v>
      </c>
      <c r="D1045" t="s">
        <v>52</v>
      </c>
      <c r="E1045" t="s">
        <v>53</v>
      </c>
      <c r="F1045">
        <v>5</v>
      </c>
      <c r="G1045">
        <v>311.8</v>
      </c>
      <c r="H1045" t="s">
        <v>58</v>
      </c>
      <c r="I1045" t="s">
        <v>1743</v>
      </c>
      <c r="J1045" t="s">
        <v>94</v>
      </c>
      <c r="K1045" t="s">
        <v>78</v>
      </c>
      <c r="L1045" t="s">
        <v>28</v>
      </c>
      <c r="M1045" t="s">
        <v>49</v>
      </c>
      <c r="N1045">
        <v>1559</v>
      </c>
    </row>
    <row r="1046" spans="1:14" x14ac:dyDescent="0.35">
      <c r="A1046" s="2">
        <v>45542</v>
      </c>
      <c r="B1046" t="s">
        <v>1744</v>
      </c>
      <c r="C1046" t="s">
        <v>51</v>
      </c>
      <c r="D1046" t="s">
        <v>52</v>
      </c>
      <c r="E1046" t="s">
        <v>43</v>
      </c>
      <c r="F1046">
        <v>5</v>
      </c>
      <c r="G1046">
        <v>179.97</v>
      </c>
      <c r="H1046" t="s">
        <v>24</v>
      </c>
      <c r="I1046" t="s">
        <v>1745</v>
      </c>
      <c r="J1046" t="s">
        <v>26</v>
      </c>
      <c r="K1046" t="s">
        <v>78</v>
      </c>
      <c r="L1046" t="s">
        <v>28</v>
      </c>
      <c r="M1046" t="s">
        <v>79</v>
      </c>
      <c r="N1046">
        <v>899.85</v>
      </c>
    </row>
    <row r="1047" spans="1:14" x14ac:dyDescent="0.35">
      <c r="A1047" s="2">
        <v>45299</v>
      </c>
      <c r="B1047" t="s">
        <v>1746</v>
      </c>
      <c r="C1047" t="s">
        <v>74</v>
      </c>
      <c r="D1047" t="s">
        <v>52</v>
      </c>
      <c r="E1047" t="s">
        <v>83</v>
      </c>
      <c r="F1047">
        <v>4</v>
      </c>
      <c r="G1047">
        <v>195.82</v>
      </c>
      <c r="H1047" t="s">
        <v>35</v>
      </c>
      <c r="I1047" t="s">
        <v>1747</v>
      </c>
      <c r="J1047" t="s">
        <v>97</v>
      </c>
      <c r="K1047" t="s">
        <v>60</v>
      </c>
      <c r="L1047" t="s">
        <v>66</v>
      </c>
      <c r="M1047" t="s">
        <v>29</v>
      </c>
      <c r="N1047">
        <v>783.28</v>
      </c>
    </row>
    <row r="1048" spans="1:14" x14ac:dyDescent="0.35">
      <c r="A1048" s="2">
        <v>45089</v>
      </c>
      <c r="B1048" t="s">
        <v>358</v>
      </c>
      <c r="C1048" t="s">
        <v>51</v>
      </c>
      <c r="D1048" t="s">
        <v>52</v>
      </c>
      <c r="E1048" t="s">
        <v>92</v>
      </c>
      <c r="F1048">
        <v>6</v>
      </c>
      <c r="G1048">
        <v>80.69</v>
      </c>
      <c r="H1048" t="s">
        <v>35</v>
      </c>
      <c r="I1048" t="s">
        <v>1748</v>
      </c>
      <c r="J1048" t="s">
        <v>26</v>
      </c>
      <c r="K1048" t="s">
        <v>27</v>
      </c>
      <c r="L1048" t="s">
        <v>28</v>
      </c>
      <c r="M1048" t="s">
        <v>29</v>
      </c>
      <c r="N1048">
        <v>484.14</v>
      </c>
    </row>
    <row r="1049" spans="1:14" x14ac:dyDescent="0.35">
      <c r="A1049" s="2">
        <v>45531</v>
      </c>
      <c r="B1049" t="s">
        <v>795</v>
      </c>
      <c r="C1049" t="s">
        <v>71</v>
      </c>
      <c r="D1049" t="s">
        <v>33</v>
      </c>
      <c r="E1049" t="s">
        <v>63</v>
      </c>
      <c r="F1049">
        <v>8</v>
      </c>
      <c r="G1049">
        <v>271.51</v>
      </c>
      <c r="H1049" t="s">
        <v>58</v>
      </c>
      <c r="I1049" t="s">
        <v>1749</v>
      </c>
      <c r="J1049" t="s">
        <v>55</v>
      </c>
      <c r="K1049" t="s">
        <v>78</v>
      </c>
      <c r="L1049" t="s">
        <v>28</v>
      </c>
      <c r="M1049" t="s">
        <v>49</v>
      </c>
      <c r="N1049">
        <v>2172.08</v>
      </c>
    </row>
    <row r="1050" spans="1:14" x14ac:dyDescent="0.35">
      <c r="A1050" s="2">
        <v>45702</v>
      </c>
      <c r="B1050" t="s">
        <v>1664</v>
      </c>
      <c r="C1050" t="s">
        <v>21</v>
      </c>
      <c r="D1050" t="s">
        <v>52</v>
      </c>
      <c r="E1050" t="s">
        <v>23</v>
      </c>
      <c r="F1050">
        <v>1</v>
      </c>
      <c r="G1050">
        <v>294.61</v>
      </c>
      <c r="H1050" t="s">
        <v>24</v>
      </c>
      <c r="I1050" t="s">
        <v>1750</v>
      </c>
      <c r="J1050" t="s">
        <v>26</v>
      </c>
      <c r="K1050" t="s">
        <v>60</v>
      </c>
      <c r="L1050" t="s">
        <v>66</v>
      </c>
      <c r="M1050" t="s">
        <v>61</v>
      </c>
      <c r="N1050">
        <v>294.61</v>
      </c>
    </row>
    <row r="1051" spans="1:14" x14ac:dyDescent="0.35">
      <c r="A1051" s="2">
        <v>45513</v>
      </c>
      <c r="B1051" t="s">
        <v>865</v>
      </c>
      <c r="C1051" t="s">
        <v>71</v>
      </c>
      <c r="D1051" t="s">
        <v>52</v>
      </c>
      <c r="E1051" t="s">
        <v>23</v>
      </c>
      <c r="F1051">
        <v>4</v>
      </c>
      <c r="G1051">
        <v>204.59</v>
      </c>
      <c r="H1051" t="s">
        <v>44</v>
      </c>
      <c r="I1051" t="s">
        <v>1751</v>
      </c>
      <c r="J1051" t="s">
        <v>94</v>
      </c>
      <c r="K1051" t="s">
        <v>38</v>
      </c>
      <c r="L1051" t="s">
        <v>39</v>
      </c>
      <c r="M1051" t="s">
        <v>61</v>
      </c>
      <c r="N1051">
        <v>818.36</v>
      </c>
    </row>
    <row r="1052" spans="1:14" x14ac:dyDescent="0.35">
      <c r="A1052" s="2">
        <v>45792</v>
      </c>
      <c r="B1052" t="s">
        <v>1004</v>
      </c>
      <c r="C1052" t="s">
        <v>71</v>
      </c>
      <c r="D1052" t="s">
        <v>42</v>
      </c>
      <c r="E1052" t="s">
        <v>23</v>
      </c>
      <c r="F1052">
        <v>10</v>
      </c>
      <c r="G1052">
        <v>189.33</v>
      </c>
      <c r="H1052" t="s">
        <v>35</v>
      </c>
      <c r="I1052" t="s">
        <v>1752</v>
      </c>
      <c r="J1052" t="s">
        <v>37</v>
      </c>
      <c r="K1052" t="s">
        <v>27</v>
      </c>
      <c r="L1052" t="s">
        <v>66</v>
      </c>
      <c r="M1052" t="s">
        <v>56</v>
      </c>
      <c r="N1052">
        <v>1893.3</v>
      </c>
    </row>
    <row r="1053" spans="1:14" x14ac:dyDescent="0.35">
      <c r="A1053" s="2">
        <v>45030</v>
      </c>
      <c r="B1053" t="s">
        <v>1231</v>
      </c>
      <c r="C1053" t="s">
        <v>71</v>
      </c>
      <c r="D1053" t="s">
        <v>52</v>
      </c>
      <c r="E1053" t="s">
        <v>43</v>
      </c>
      <c r="F1053">
        <v>6</v>
      </c>
      <c r="G1053">
        <v>177.5</v>
      </c>
      <c r="H1053" t="s">
        <v>35</v>
      </c>
      <c r="I1053" t="s">
        <v>1753</v>
      </c>
      <c r="J1053" t="s">
        <v>37</v>
      </c>
      <c r="K1053" t="s">
        <v>38</v>
      </c>
      <c r="L1053" t="s">
        <v>28</v>
      </c>
      <c r="M1053" t="s">
        <v>61</v>
      </c>
      <c r="N1053">
        <v>1065</v>
      </c>
    </row>
    <row r="1054" spans="1:14" x14ac:dyDescent="0.35">
      <c r="A1054" s="2">
        <v>44959</v>
      </c>
      <c r="B1054" t="s">
        <v>1277</v>
      </c>
      <c r="C1054" t="s">
        <v>21</v>
      </c>
      <c r="D1054" t="s">
        <v>33</v>
      </c>
      <c r="E1054" t="s">
        <v>83</v>
      </c>
      <c r="F1054">
        <v>6</v>
      </c>
      <c r="G1054">
        <v>9.1199999999999992</v>
      </c>
      <c r="H1054" t="s">
        <v>35</v>
      </c>
      <c r="I1054" t="s">
        <v>1754</v>
      </c>
      <c r="J1054" t="s">
        <v>97</v>
      </c>
      <c r="K1054" t="s">
        <v>27</v>
      </c>
      <c r="L1054" t="s">
        <v>66</v>
      </c>
      <c r="M1054" t="s">
        <v>56</v>
      </c>
      <c r="N1054">
        <v>54.72</v>
      </c>
    </row>
    <row r="1055" spans="1:14" x14ac:dyDescent="0.35">
      <c r="A1055" s="2">
        <v>45441</v>
      </c>
      <c r="B1055" t="s">
        <v>673</v>
      </c>
      <c r="C1055" t="s">
        <v>41</v>
      </c>
      <c r="D1055" t="s">
        <v>52</v>
      </c>
      <c r="E1055" t="s">
        <v>53</v>
      </c>
      <c r="F1055">
        <v>3</v>
      </c>
      <c r="G1055">
        <v>84.26</v>
      </c>
      <c r="H1055" t="s">
        <v>44</v>
      </c>
      <c r="I1055" t="s">
        <v>1755</v>
      </c>
      <c r="J1055" t="s">
        <v>97</v>
      </c>
      <c r="K1055" t="s">
        <v>78</v>
      </c>
      <c r="L1055" t="s">
        <v>28</v>
      </c>
      <c r="M1055" t="s">
        <v>67</v>
      </c>
      <c r="N1055">
        <v>252.78</v>
      </c>
    </row>
    <row r="1056" spans="1:14" x14ac:dyDescent="0.35">
      <c r="A1056" s="2">
        <v>45356</v>
      </c>
      <c r="B1056" t="s">
        <v>153</v>
      </c>
      <c r="C1056" t="s">
        <v>47</v>
      </c>
      <c r="D1056" t="s">
        <v>52</v>
      </c>
      <c r="E1056" t="s">
        <v>34</v>
      </c>
      <c r="F1056">
        <v>5</v>
      </c>
      <c r="G1056">
        <v>66.75</v>
      </c>
      <c r="H1056" t="s">
        <v>35</v>
      </c>
      <c r="I1056" t="s">
        <v>1756</v>
      </c>
      <c r="J1056" t="s">
        <v>94</v>
      </c>
      <c r="K1056" t="s">
        <v>27</v>
      </c>
      <c r="L1056" t="s">
        <v>39</v>
      </c>
      <c r="M1056" t="s">
        <v>49</v>
      </c>
      <c r="N1056">
        <v>333.75</v>
      </c>
    </row>
    <row r="1057" spans="1:14" x14ac:dyDescent="0.35">
      <c r="A1057" s="2">
        <v>45073</v>
      </c>
      <c r="B1057" t="s">
        <v>629</v>
      </c>
      <c r="C1057" t="s">
        <v>89</v>
      </c>
      <c r="D1057" t="s">
        <v>42</v>
      </c>
      <c r="E1057" t="s">
        <v>83</v>
      </c>
      <c r="F1057">
        <v>2</v>
      </c>
      <c r="G1057">
        <v>388.63</v>
      </c>
      <c r="H1057" t="s">
        <v>35</v>
      </c>
      <c r="I1057" t="s">
        <v>1757</v>
      </c>
      <c r="J1057" t="s">
        <v>26</v>
      </c>
      <c r="K1057" t="s">
        <v>60</v>
      </c>
      <c r="L1057" t="s">
        <v>28</v>
      </c>
      <c r="M1057" t="s">
        <v>79</v>
      </c>
      <c r="N1057">
        <v>777.26</v>
      </c>
    </row>
    <row r="1058" spans="1:14" x14ac:dyDescent="0.35">
      <c r="A1058" s="2">
        <v>45352</v>
      </c>
      <c r="B1058" t="s">
        <v>1086</v>
      </c>
      <c r="C1058" t="s">
        <v>51</v>
      </c>
      <c r="D1058" t="s">
        <v>22</v>
      </c>
      <c r="E1058" t="s">
        <v>83</v>
      </c>
      <c r="F1058">
        <v>1</v>
      </c>
      <c r="G1058">
        <v>59.73</v>
      </c>
      <c r="H1058" t="s">
        <v>44</v>
      </c>
      <c r="I1058" t="s">
        <v>1758</v>
      </c>
      <c r="J1058" t="s">
        <v>94</v>
      </c>
      <c r="K1058" t="s">
        <v>27</v>
      </c>
      <c r="L1058" t="s">
        <v>66</v>
      </c>
      <c r="M1058" t="s">
        <v>61</v>
      </c>
      <c r="N1058">
        <v>59.73</v>
      </c>
    </row>
    <row r="1059" spans="1:14" x14ac:dyDescent="0.35">
      <c r="A1059" s="2">
        <v>45140</v>
      </c>
      <c r="B1059" t="s">
        <v>1759</v>
      </c>
      <c r="C1059" t="s">
        <v>51</v>
      </c>
      <c r="D1059" t="s">
        <v>42</v>
      </c>
      <c r="E1059" t="s">
        <v>92</v>
      </c>
      <c r="F1059">
        <v>6</v>
      </c>
      <c r="G1059">
        <v>60.67</v>
      </c>
      <c r="H1059" t="s">
        <v>58</v>
      </c>
      <c r="I1059" t="s">
        <v>1760</v>
      </c>
      <c r="J1059" t="s">
        <v>37</v>
      </c>
      <c r="K1059" t="s">
        <v>60</v>
      </c>
      <c r="L1059" t="s">
        <v>28</v>
      </c>
      <c r="M1059" t="s">
        <v>67</v>
      </c>
      <c r="N1059">
        <v>364.02</v>
      </c>
    </row>
    <row r="1060" spans="1:14" x14ac:dyDescent="0.35">
      <c r="A1060" s="2">
        <v>45661</v>
      </c>
      <c r="B1060" t="s">
        <v>827</v>
      </c>
      <c r="C1060" t="s">
        <v>71</v>
      </c>
      <c r="D1060" t="s">
        <v>52</v>
      </c>
      <c r="E1060" t="s">
        <v>34</v>
      </c>
      <c r="F1060">
        <v>9</v>
      </c>
      <c r="G1060">
        <v>98.31</v>
      </c>
      <c r="H1060" t="s">
        <v>64</v>
      </c>
      <c r="I1060" t="s">
        <v>1761</v>
      </c>
      <c r="J1060" t="s">
        <v>97</v>
      </c>
      <c r="K1060" t="s">
        <v>27</v>
      </c>
      <c r="L1060" t="s">
        <v>39</v>
      </c>
      <c r="M1060" t="s">
        <v>79</v>
      </c>
      <c r="N1060">
        <v>884.79</v>
      </c>
    </row>
    <row r="1061" spans="1:14" x14ac:dyDescent="0.35">
      <c r="A1061" s="2">
        <v>44956</v>
      </c>
      <c r="B1061" t="s">
        <v>540</v>
      </c>
      <c r="C1061" t="s">
        <v>47</v>
      </c>
      <c r="D1061" t="s">
        <v>52</v>
      </c>
      <c r="E1061" t="s">
        <v>53</v>
      </c>
      <c r="F1061">
        <v>2</v>
      </c>
      <c r="G1061">
        <v>197.88</v>
      </c>
      <c r="H1061" t="s">
        <v>44</v>
      </c>
      <c r="I1061" t="s">
        <v>1762</v>
      </c>
      <c r="J1061" t="s">
        <v>55</v>
      </c>
      <c r="K1061" t="s">
        <v>38</v>
      </c>
      <c r="L1061" t="s">
        <v>66</v>
      </c>
      <c r="M1061" t="s">
        <v>29</v>
      </c>
      <c r="N1061">
        <v>395.76</v>
      </c>
    </row>
    <row r="1062" spans="1:14" x14ac:dyDescent="0.35">
      <c r="A1062" s="2">
        <v>45147</v>
      </c>
      <c r="B1062" t="s">
        <v>80</v>
      </c>
      <c r="C1062" t="s">
        <v>81</v>
      </c>
      <c r="D1062" t="s">
        <v>33</v>
      </c>
      <c r="E1062" t="s">
        <v>34</v>
      </c>
      <c r="F1062">
        <v>8</v>
      </c>
      <c r="G1062">
        <v>32.6</v>
      </c>
      <c r="H1062" t="s">
        <v>24</v>
      </c>
      <c r="I1062" t="s">
        <v>1763</v>
      </c>
      <c r="J1062" t="s">
        <v>55</v>
      </c>
      <c r="K1062" t="s">
        <v>60</v>
      </c>
      <c r="L1062" t="s">
        <v>39</v>
      </c>
      <c r="M1062" t="s">
        <v>67</v>
      </c>
      <c r="N1062">
        <v>260.8</v>
      </c>
    </row>
    <row r="1063" spans="1:14" x14ac:dyDescent="0.35">
      <c r="A1063" s="2">
        <v>45191</v>
      </c>
      <c r="B1063" t="s">
        <v>1764</v>
      </c>
      <c r="C1063" t="s">
        <v>21</v>
      </c>
      <c r="D1063" t="s">
        <v>52</v>
      </c>
      <c r="E1063" t="s">
        <v>63</v>
      </c>
      <c r="F1063">
        <v>5</v>
      </c>
      <c r="G1063">
        <v>210.45</v>
      </c>
      <c r="H1063" t="s">
        <v>44</v>
      </c>
      <c r="I1063" t="s">
        <v>1765</v>
      </c>
      <c r="J1063" t="s">
        <v>97</v>
      </c>
      <c r="K1063" t="s">
        <v>78</v>
      </c>
      <c r="L1063" t="s">
        <v>28</v>
      </c>
      <c r="M1063" t="s">
        <v>61</v>
      </c>
      <c r="N1063">
        <v>1052.25</v>
      </c>
    </row>
    <row r="1064" spans="1:14" x14ac:dyDescent="0.35">
      <c r="A1064" s="2">
        <v>45015</v>
      </c>
      <c r="B1064" t="s">
        <v>859</v>
      </c>
      <c r="C1064" t="s">
        <v>41</v>
      </c>
      <c r="D1064" t="s">
        <v>52</v>
      </c>
      <c r="E1064" t="s">
        <v>92</v>
      </c>
      <c r="F1064">
        <v>1</v>
      </c>
      <c r="G1064">
        <v>370.98</v>
      </c>
      <c r="H1064" t="s">
        <v>58</v>
      </c>
      <c r="I1064" t="s">
        <v>1766</v>
      </c>
      <c r="J1064" t="s">
        <v>97</v>
      </c>
      <c r="K1064" t="s">
        <v>27</v>
      </c>
      <c r="L1064" t="s">
        <v>39</v>
      </c>
      <c r="M1064" t="s">
        <v>56</v>
      </c>
      <c r="N1064">
        <v>370.98</v>
      </c>
    </row>
    <row r="1065" spans="1:14" x14ac:dyDescent="0.35">
      <c r="A1065" s="2">
        <v>45290</v>
      </c>
      <c r="B1065" t="s">
        <v>1767</v>
      </c>
      <c r="C1065" t="s">
        <v>51</v>
      </c>
      <c r="D1065" t="s">
        <v>42</v>
      </c>
      <c r="E1065" t="s">
        <v>83</v>
      </c>
      <c r="F1065">
        <v>8</v>
      </c>
      <c r="G1065">
        <v>163.76</v>
      </c>
      <c r="H1065" t="s">
        <v>58</v>
      </c>
      <c r="I1065" t="s">
        <v>1768</v>
      </c>
      <c r="J1065" t="s">
        <v>94</v>
      </c>
      <c r="K1065" t="s">
        <v>38</v>
      </c>
      <c r="L1065" t="s">
        <v>28</v>
      </c>
      <c r="M1065" t="s">
        <v>79</v>
      </c>
      <c r="N1065">
        <v>1310.08</v>
      </c>
    </row>
    <row r="1066" spans="1:14" x14ac:dyDescent="0.35">
      <c r="A1066" s="2">
        <v>45271</v>
      </c>
      <c r="B1066" t="s">
        <v>1769</v>
      </c>
      <c r="C1066" t="s">
        <v>86</v>
      </c>
      <c r="D1066" t="s">
        <v>22</v>
      </c>
      <c r="E1066" t="s">
        <v>53</v>
      </c>
      <c r="F1066">
        <v>8</v>
      </c>
      <c r="G1066">
        <v>44.13</v>
      </c>
      <c r="H1066" t="s">
        <v>64</v>
      </c>
      <c r="I1066" t="s">
        <v>1770</v>
      </c>
      <c r="J1066" t="s">
        <v>37</v>
      </c>
      <c r="K1066" t="s">
        <v>27</v>
      </c>
      <c r="L1066" t="s">
        <v>39</v>
      </c>
      <c r="M1066" t="s">
        <v>29</v>
      </c>
      <c r="N1066">
        <v>353.04</v>
      </c>
    </row>
    <row r="1067" spans="1:14" x14ac:dyDescent="0.35">
      <c r="A1067" s="2">
        <v>45086</v>
      </c>
      <c r="B1067" t="s">
        <v>1771</v>
      </c>
      <c r="C1067" t="s">
        <v>71</v>
      </c>
      <c r="D1067" t="s">
        <v>42</v>
      </c>
      <c r="E1067" t="s">
        <v>63</v>
      </c>
      <c r="F1067">
        <v>3</v>
      </c>
      <c r="G1067">
        <v>302.68</v>
      </c>
      <c r="H1067" t="s">
        <v>58</v>
      </c>
      <c r="I1067" t="s">
        <v>1772</v>
      </c>
      <c r="J1067" t="s">
        <v>97</v>
      </c>
      <c r="K1067" t="s">
        <v>38</v>
      </c>
      <c r="L1067" t="s">
        <v>66</v>
      </c>
      <c r="M1067" t="s">
        <v>61</v>
      </c>
      <c r="N1067">
        <v>908.04</v>
      </c>
    </row>
    <row r="1068" spans="1:14" x14ac:dyDescent="0.35">
      <c r="A1068" s="2">
        <v>45284</v>
      </c>
      <c r="B1068" t="s">
        <v>374</v>
      </c>
      <c r="C1068" t="s">
        <v>51</v>
      </c>
      <c r="D1068" t="s">
        <v>52</v>
      </c>
      <c r="E1068" t="s">
        <v>23</v>
      </c>
      <c r="F1068">
        <v>9</v>
      </c>
      <c r="G1068">
        <v>272.79000000000002</v>
      </c>
      <c r="H1068" t="s">
        <v>35</v>
      </c>
      <c r="I1068" t="s">
        <v>1773</v>
      </c>
      <c r="J1068" t="s">
        <v>55</v>
      </c>
      <c r="K1068" t="s">
        <v>60</v>
      </c>
      <c r="L1068" t="s">
        <v>39</v>
      </c>
      <c r="M1068" t="s">
        <v>101</v>
      </c>
      <c r="N1068">
        <v>2455.11</v>
      </c>
    </row>
    <row r="1069" spans="1:14" x14ac:dyDescent="0.35">
      <c r="A1069" s="2">
        <v>45120</v>
      </c>
      <c r="B1069" t="s">
        <v>1292</v>
      </c>
      <c r="C1069" t="s">
        <v>74</v>
      </c>
      <c r="D1069" t="s">
        <v>22</v>
      </c>
      <c r="E1069" t="s">
        <v>23</v>
      </c>
      <c r="F1069">
        <v>9</v>
      </c>
      <c r="G1069">
        <v>222.17</v>
      </c>
      <c r="H1069" t="s">
        <v>35</v>
      </c>
      <c r="I1069" t="s">
        <v>1774</v>
      </c>
      <c r="J1069" t="s">
        <v>26</v>
      </c>
      <c r="K1069" t="s">
        <v>27</v>
      </c>
      <c r="L1069" t="s">
        <v>39</v>
      </c>
      <c r="M1069" t="s">
        <v>56</v>
      </c>
      <c r="N1069">
        <v>1999.53</v>
      </c>
    </row>
    <row r="1070" spans="1:14" x14ac:dyDescent="0.35">
      <c r="A1070" s="2">
        <v>45433</v>
      </c>
      <c r="B1070" t="s">
        <v>1601</v>
      </c>
      <c r="C1070" t="s">
        <v>47</v>
      </c>
      <c r="D1070" t="s">
        <v>33</v>
      </c>
      <c r="E1070" t="s">
        <v>43</v>
      </c>
      <c r="F1070">
        <v>6</v>
      </c>
      <c r="G1070">
        <v>208.2</v>
      </c>
      <c r="H1070" t="s">
        <v>35</v>
      </c>
      <c r="I1070" t="s">
        <v>1775</v>
      </c>
      <c r="J1070" t="s">
        <v>55</v>
      </c>
      <c r="K1070" t="s">
        <v>38</v>
      </c>
      <c r="L1070" t="s">
        <v>39</v>
      </c>
      <c r="M1070" t="s">
        <v>49</v>
      </c>
      <c r="N1070">
        <v>1249.2</v>
      </c>
    </row>
    <row r="1071" spans="1:14" x14ac:dyDescent="0.35">
      <c r="A1071" s="2">
        <v>45301</v>
      </c>
      <c r="B1071" t="s">
        <v>558</v>
      </c>
      <c r="C1071" t="s">
        <v>47</v>
      </c>
      <c r="D1071" t="s">
        <v>22</v>
      </c>
      <c r="E1071" t="s">
        <v>92</v>
      </c>
      <c r="F1071">
        <v>1</v>
      </c>
      <c r="G1071">
        <v>378.72</v>
      </c>
      <c r="H1071" t="s">
        <v>44</v>
      </c>
      <c r="I1071" t="s">
        <v>1776</v>
      </c>
      <c r="J1071" t="s">
        <v>37</v>
      </c>
      <c r="K1071" t="s">
        <v>78</v>
      </c>
      <c r="L1071" t="s">
        <v>39</v>
      </c>
      <c r="M1071" t="s">
        <v>67</v>
      </c>
      <c r="N1071">
        <v>378.72</v>
      </c>
    </row>
    <row r="1072" spans="1:14" x14ac:dyDescent="0.35">
      <c r="A1072" s="2">
        <v>45386</v>
      </c>
      <c r="B1072" t="s">
        <v>786</v>
      </c>
      <c r="C1072" t="s">
        <v>106</v>
      </c>
      <c r="D1072" t="s">
        <v>42</v>
      </c>
      <c r="E1072" t="s">
        <v>23</v>
      </c>
      <c r="F1072">
        <v>8</v>
      </c>
      <c r="G1072">
        <v>174.44</v>
      </c>
      <c r="H1072" t="s">
        <v>35</v>
      </c>
      <c r="I1072" t="s">
        <v>1777</v>
      </c>
      <c r="J1072" t="s">
        <v>94</v>
      </c>
      <c r="K1072" t="s">
        <v>78</v>
      </c>
      <c r="L1072" t="s">
        <v>39</v>
      </c>
      <c r="M1072" t="s">
        <v>56</v>
      </c>
      <c r="N1072">
        <v>1395.52</v>
      </c>
    </row>
    <row r="1073" spans="1:14" x14ac:dyDescent="0.35">
      <c r="A1073" s="2">
        <v>45019</v>
      </c>
      <c r="B1073" t="s">
        <v>923</v>
      </c>
      <c r="C1073" t="s">
        <v>86</v>
      </c>
      <c r="D1073" t="s">
        <v>22</v>
      </c>
      <c r="E1073" t="s">
        <v>92</v>
      </c>
      <c r="F1073">
        <v>9</v>
      </c>
      <c r="G1073">
        <v>152.36000000000001</v>
      </c>
      <c r="H1073" t="s">
        <v>35</v>
      </c>
      <c r="I1073" t="s">
        <v>1778</v>
      </c>
      <c r="J1073" t="s">
        <v>55</v>
      </c>
      <c r="K1073" t="s">
        <v>78</v>
      </c>
      <c r="L1073" t="s">
        <v>39</v>
      </c>
      <c r="M1073" t="s">
        <v>29</v>
      </c>
      <c r="N1073">
        <v>1371.24</v>
      </c>
    </row>
    <row r="1074" spans="1:14" x14ac:dyDescent="0.35">
      <c r="A1074" s="2">
        <v>45331</v>
      </c>
      <c r="B1074" t="s">
        <v>1344</v>
      </c>
      <c r="C1074" t="s">
        <v>81</v>
      </c>
      <c r="D1074" t="s">
        <v>33</v>
      </c>
      <c r="E1074" t="s">
        <v>92</v>
      </c>
      <c r="F1074">
        <v>10</v>
      </c>
      <c r="G1074">
        <v>110.98</v>
      </c>
      <c r="H1074" t="s">
        <v>35</v>
      </c>
      <c r="I1074" t="s">
        <v>1779</v>
      </c>
      <c r="J1074" t="s">
        <v>94</v>
      </c>
      <c r="K1074" t="s">
        <v>78</v>
      </c>
      <c r="L1074" t="s">
        <v>66</v>
      </c>
      <c r="M1074" t="s">
        <v>61</v>
      </c>
      <c r="N1074">
        <v>1109.8</v>
      </c>
    </row>
    <row r="1075" spans="1:14" x14ac:dyDescent="0.35">
      <c r="A1075" s="2">
        <v>45527</v>
      </c>
      <c r="B1075" t="s">
        <v>1043</v>
      </c>
      <c r="C1075" t="s">
        <v>41</v>
      </c>
      <c r="D1075" t="s">
        <v>52</v>
      </c>
      <c r="E1075" t="s">
        <v>34</v>
      </c>
      <c r="F1075">
        <v>1</v>
      </c>
      <c r="G1075">
        <v>36.93</v>
      </c>
      <c r="H1075" t="s">
        <v>35</v>
      </c>
      <c r="I1075" t="s">
        <v>1780</v>
      </c>
      <c r="J1075" t="s">
        <v>37</v>
      </c>
      <c r="K1075" t="s">
        <v>60</v>
      </c>
      <c r="L1075" t="s">
        <v>28</v>
      </c>
      <c r="M1075" t="s">
        <v>61</v>
      </c>
      <c r="N1075">
        <v>36.93</v>
      </c>
    </row>
    <row r="1076" spans="1:14" x14ac:dyDescent="0.35">
      <c r="A1076" s="2">
        <v>45371</v>
      </c>
      <c r="B1076" t="s">
        <v>614</v>
      </c>
      <c r="C1076" t="s">
        <v>51</v>
      </c>
      <c r="D1076" t="s">
        <v>33</v>
      </c>
      <c r="E1076" t="s">
        <v>43</v>
      </c>
      <c r="F1076">
        <v>8</v>
      </c>
      <c r="G1076">
        <v>154</v>
      </c>
      <c r="H1076" t="s">
        <v>35</v>
      </c>
      <c r="I1076" t="s">
        <v>1781</v>
      </c>
      <c r="J1076" t="s">
        <v>94</v>
      </c>
      <c r="K1076" t="s">
        <v>38</v>
      </c>
      <c r="L1076" t="s">
        <v>28</v>
      </c>
      <c r="M1076" t="s">
        <v>67</v>
      </c>
      <c r="N1076">
        <v>1232</v>
      </c>
    </row>
    <row r="1077" spans="1:14" x14ac:dyDescent="0.35">
      <c r="A1077" s="2">
        <v>45517</v>
      </c>
      <c r="B1077" t="s">
        <v>912</v>
      </c>
      <c r="C1077" t="s">
        <v>89</v>
      </c>
      <c r="D1077" t="s">
        <v>22</v>
      </c>
      <c r="E1077" t="s">
        <v>23</v>
      </c>
      <c r="F1077">
        <v>6</v>
      </c>
      <c r="G1077">
        <v>10.07</v>
      </c>
      <c r="H1077" t="s">
        <v>44</v>
      </c>
      <c r="I1077" t="s">
        <v>1782</v>
      </c>
      <c r="J1077" t="s">
        <v>26</v>
      </c>
      <c r="K1077" t="s">
        <v>60</v>
      </c>
      <c r="L1077" t="s">
        <v>39</v>
      </c>
      <c r="M1077" t="s">
        <v>49</v>
      </c>
      <c r="N1077">
        <v>60.42</v>
      </c>
    </row>
    <row r="1078" spans="1:14" x14ac:dyDescent="0.35">
      <c r="A1078" s="2">
        <v>45143</v>
      </c>
      <c r="B1078" t="s">
        <v>1783</v>
      </c>
      <c r="C1078" t="s">
        <v>41</v>
      </c>
      <c r="D1078" t="s">
        <v>33</v>
      </c>
      <c r="E1078" t="s">
        <v>34</v>
      </c>
      <c r="F1078">
        <v>2</v>
      </c>
      <c r="G1078">
        <v>60.84</v>
      </c>
      <c r="H1078" t="s">
        <v>24</v>
      </c>
      <c r="I1078" t="s">
        <v>1784</v>
      </c>
      <c r="J1078" t="s">
        <v>97</v>
      </c>
      <c r="K1078" t="s">
        <v>60</v>
      </c>
      <c r="L1078" t="s">
        <v>39</v>
      </c>
      <c r="M1078" t="s">
        <v>79</v>
      </c>
      <c r="N1078">
        <v>121.68</v>
      </c>
    </row>
    <row r="1079" spans="1:14" x14ac:dyDescent="0.35">
      <c r="A1079" s="2">
        <v>45543</v>
      </c>
      <c r="B1079" t="s">
        <v>1785</v>
      </c>
      <c r="C1079" t="s">
        <v>81</v>
      </c>
      <c r="D1079" t="s">
        <v>42</v>
      </c>
      <c r="E1079" t="s">
        <v>53</v>
      </c>
      <c r="F1079">
        <v>10</v>
      </c>
      <c r="G1079">
        <v>165.44</v>
      </c>
      <c r="H1079" t="s">
        <v>35</v>
      </c>
      <c r="I1079" t="s">
        <v>1786</v>
      </c>
      <c r="J1079" t="s">
        <v>97</v>
      </c>
      <c r="K1079" t="s">
        <v>27</v>
      </c>
      <c r="L1079" t="s">
        <v>66</v>
      </c>
      <c r="M1079" t="s">
        <v>101</v>
      </c>
      <c r="N1079">
        <v>1654.4</v>
      </c>
    </row>
    <row r="1080" spans="1:14" x14ac:dyDescent="0.35">
      <c r="A1080" s="2">
        <v>44946</v>
      </c>
      <c r="B1080" t="s">
        <v>509</v>
      </c>
      <c r="C1080" t="s">
        <v>86</v>
      </c>
      <c r="D1080" t="s">
        <v>52</v>
      </c>
      <c r="E1080" t="s">
        <v>92</v>
      </c>
      <c r="F1080">
        <v>4</v>
      </c>
      <c r="G1080">
        <v>329.69</v>
      </c>
      <c r="H1080" t="s">
        <v>35</v>
      </c>
      <c r="I1080" t="s">
        <v>1787</v>
      </c>
      <c r="J1080" t="s">
        <v>94</v>
      </c>
      <c r="K1080" t="s">
        <v>38</v>
      </c>
      <c r="L1080" t="s">
        <v>66</v>
      </c>
      <c r="M1080" t="s">
        <v>61</v>
      </c>
      <c r="N1080">
        <v>1318.76</v>
      </c>
    </row>
    <row r="1081" spans="1:14" x14ac:dyDescent="0.35">
      <c r="A1081" s="2">
        <v>45497</v>
      </c>
      <c r="B1081" t="s">
        <v>1253</v>
      </c>
      <c r="C1081" t="s">
        <v>41</v>
      </c>
      <c r="D1081" t="s">
        <v>33</v>
      </c>
      <c r="E1081" t="s">
        <v>34</v>
      </c>
      <c r="F1081">
        <v>8</v>
      </c>
      <c r="G1081">
        <v>124.58</v>
      </c>
      <c r="H1081" t="s">
        <v>58</v>
      </c>
      <c r="I1081" t="s">
        <v>1788</v>
      </c>
      <c r="J1081" t="s">
        <v>97</v>
      </c>
      <c r="K1081" t="s">
        <v>38</v>
      </c>
      <c r="L1081" t="s">
        <v>39</v>
      </c>
      <c r="M1081" t="s">
        <v>67</v>
      </c>
      <c r="N1081">
        <v>996.64</v>
      </c>
    </row>
    <row r="1082" spans="1:14" x14ac:dyDescent="0.35">
      <c r="A1082" s="2">
        <v>45105</v>
      </c>
      <c r="B1082" t="s">
        <v>1670</v>
      </c>
      <c r="C1082" t="s">
        <v>74</v>
      </c>
      <c r="D1082" t="s">
        <v>22</v>
      </c>
      <c r="E1082" t="s">
        <v>53</v>
      </c>
      <c r="F1082">
        <v>3</v>
      </c>
      <c r="G1082">
        <v>186.86</v>
      </c>
      <c r="H1082" t="s">
        <v>24</v>
      </c>
      <c r="I1082" t="s">
        <v>1789</v>
      </c>
      <c r="J1082" t="s">
        <v>97</v>
      </c>
      <c r="K1082" t="s">
        <v>78</v>
      </c>
      <c r="L1082" t="s">
        <v>66</v>
      </c>
      <c r="M1082" t="s">
        <v>67</v>
      </c>
      <c r="N1082">
        <v>560.58000000000004</v>
      </c>
    </row>
    <row r="1083" spans="1:14" x14ac:dyDescent="0.35">
      <c r="A1083" s="2">
        <v>45629</v>
      </c>
      <c r="B1083" t="s">
        <v>1376</v>
      </c>
      <c r="C1083" t="s">
        <v>86</v>
      </c>
      <c r="D1083" t="s">
        <v>33</v>
      </c>
      <c r="E1083" t="s">
        <v>43</v>
      </c>
      <c r="F1083">
        <v>1</v>
      </c>
      <c r="G1083">
        <v>52.19</v>
      </c>
      <c r="H1083" t="s">
        <v>35</v>
      </c>
      <c r="I1083" t="s">
        <v>1790</v>
      </c>
      <c r="J1083" t="s">
        <v>94</v>
      </c>
      <c r="K1083" t="s">
        <v>38</v>
      </c>
      <c r="L1083" t="s">
        <v>28</v>
      </c>
      <c r="M1083" t="s">
        <v>49</v>
      </c>
      <c r="N1083">
        <v>52.19</v>
      </c>
    </row>
    <row r="1084" spans="1:14" x14ac:dyDescent="0.35">
      <c r="A1084" s="2">
        <v>45631</v>
      </c>
      <c r="B1084" t="s">
        <v>322</v>
      </c>
      <c r="C1084" t="s">
        <v>81</v>
      </c>
      <c r="D1084" t="s">
        <v>22</v>
      </c>
      <c r="E1084" t="s">
        <v>34</v>
      </c>
      <c r="F1084">
        <v>7</v>
      </c>
      <c r="G1084">
        <v>330.98</v>
      </c>
      <c r="H1084" t="s">
        <v>64</v>
      </c>
      <c r="I1084" t="s">
        <v>1791</v>
      </c>
      <c r="J1084" t="s">
        <v>97</v>
      </c>
      <c r="K1084" t="s">
        <v>78</v>
      </c>
      <c r="L1084" t="s">
        <v>28</v>
      </c>
      <c r="M1084" t="s">
        <v>56</v>
      </c>
      <c r="N1084">
        <v>2316.86</v>
      </c>
    </row>
    <row r="1085" spans="1:14" x14ac:dyDescent="0.35">
      <c r="A1085" s="2">
        <v>45736</v>
      </c>
      <c r="B1085" t="s">
        <v>443</v>
      </c>
      <c r="C1085" t="s">
        <v>21</v>
      </c>
      <c r="D1085" t="s">
        <v>22</v>
      </c>
      <c r="E1085" t="s">
        <v>83</v>
      </c>
      <c r="F1085">
        <v>8</v>
      </c>
      <c r="G1085">
        <v>385.72</v>
      </c>
      <c r="H1085" t="s">
        <v>35</v>
      </c>
      <c r="I1085" t="s">
        <v>1792</v>
      </c>
      <c r="J1085" t="s">
        <v>37</v>
      </c>
      <c r="K1085" t="s">
        <v>38</v>
      </c>
      <c r="L1085" t="s">
        <v>39</v>
      </c>
      <c r="M1085" t="s">
        <v>56</v>
      </c>
      <c r="N1085">
        <v>3085.76</v>
      </c>
    </row>
    <row r="1086" spans="1:14" x14ac:dyDescent="0.35">
      <c r="A1086" s="2">
        <v>45628</v>
      </c>
      <c r="B1086" t="s">
        <v>788</v>
      </c>
      <c r="C1086" t="s">
        <v>89</v>
      </c>
      <c r="D1086" t="s">
        <v>42</v>
      </c>
      <c r="E1086" t="s">
        <v>53</v>
      </c>
      <c r="F1086">
        <v>9</v>
      </c>
      <c r="G1086">
        <v>52.64</v>
      </c>
      <c r="H1086" t="s">
        <v>24</v>
      </c>
      <c r="I1086" t="s">
        <v>1793</v>
      </c>
      <c r="J1086" t="s">
        <v>97</v>
      </c>
      <c r="K1086" t="s">
        <v>78</v>
      </c>
      <c r="L1086" t="s">
        <v>39</v>
      </c>
      <c r="M1086" t="s">
        <v>29</v>
      </c>
      <c r="N1086">
        <v>473.76</v>
      </c>
    </row>
    <row r="1087" spans="1:14" x14ac:dyDescent="0.35">
      <c r="A1087" s="2">
        <v>45000</v>
      </c>
      <c r="B1087" t="s">
        <v>1744</v>
      </c>
      <c r="C1087" t="s">
        <v>74</v>
      </c>
      <c r="D1087" t="s">
        <v>22</v>
      </c>
      <c r="E1087" t="s">
        <v>34</v>
      </c>
      <c r="F1087">
        <v>8</v>
      </c>
      <c r="G1087">
        <v>92.08</v>
      </c>
      <c r="H1087" t="s">
        <v>35</v>
      </c>
      <c r="I1087" t="s">
        <v>1794</v>
      </c>
      <c r="J1087" t="s">
        <v>97</v>
      </c>
      <c r="K1087" t="s">
        <v>38</v>
      </c>
      <c r="L1087" t="s">
        <v>28</v>
      </c>
      <c r="M1087" t="s">
        <v>67</v>
      </c>
      <c r="N1087">
        <v>736.64</v>
      </c>
    </row>
    <row r="1088" spans="1:14" x14ac:dyDescent="0.35">
      <c r="A1088" s="2">
        <v>45622</v>
      </c>
      <c r="B1088" t="s">
        <v>536</v>
      </c>
      <c r="C1088" t="s">
        <v>41</v>
      </c>
      <c r="D1088" t="s">
        <v>52</v>
      </c>
      <c r="E1088" t="s">
        <v>83</v>
      </c>
      <c r="F1088">
        <v>5</v>
      </c>
      <c r="G1088">
        <v>363.76</v>
      </c>
      <c r="H1088" t="s">
        <v>58</v>
      </c>
      <c r="I1088" t="s">
        <v>1795</v>
      </c>
      <c r="J1088" t="s">
        <v>37</v>
      </c>
      <c r="K1088" t="s">
        <v>60</v>
      </c>
      <c r="L1088" t="s">
        <v>66</v>
      </c>
      <c r="M1088" t="s">
        <v>49</v>
      </c>
      <c r="N1088">
        <v>1818.8</v>
      </c>
    </row>
    <row r="1089" spans="1:14" x14ac:dyDescent="0.35">
      <c r="A1089" s="2">
        <v>45837</v>
      </c>
      <c r="B1089" t="s">
        <v>1796</v>
      </c>
      <c r="C1089" t="s">
        <v>21</v>
      </c>
      <c r="D1089" t="s">
        <v>22</v>
      </c>
      <c r="E1089" t="s">
        <v>63</v>
      </c>
      <c r="F1089">
        <v>3</v>
      </c>
      <c r="G1089">
        <v>323.04000000000002</v>
      </c>
      <c r="H1089" t="s">
        <v>44</v>
      </c>
      <c r="I1089" t="s">
        <v>1797</v>
      </c>
      <c r="J1089" t="s">
        <v>97</v>
      </c>
      <c r="K1089" t="s">
        <v>78</v>
      </c>
      <c r="L1089" t="s">
        <v>39</v>
      </c>
      <c r="M1089" t="s">
        <v>101</v>
      </c>
      <c r="N1089">
        <v>969.12000000000012</v>
      </c>
    </row>
    <row r="1090" spans="1:14" x14ac:dyDescent="0.35">
      <c r="A1090" s="2">
        <v>45198</v>
      </c>
      <c r="B1090" t="s">
        <v>307</v>
      </c>
      <c r="C1090" t="s">
        <v>106</v>
      </c>
      <c r="D1090" t="s">
        <v>22</v>
      </c>
      <c r="E1090" t="s">
        <v>34</v>
      </c>
      <c r="F1090">
        <v>10</v>
      </c>
      <c r="G1090">
        <v>147.65</v>
      </c>
      <c r="H1090" t="s">
        <v>44</v>
      </c>
      <c r="I1090" t="s">
        <v>1798</v>
      </c>
      <c r="J1090" t="s">
        <v>26</v>
      </c>
      <c r="K1090" t="s">
        <v>38</v>
      </c>
      <c r="L1090" t="s">
        <v>39</v>
      </c>
      <c r="M1090" t="s">
        <v>61</v>
      </c>
      <c r="N1090">
        <v>1476.5</v>
      </c>
    </row>
    <row r="1091" spans="1:14" x14ac:dyDescent="0.35">
      <c r="A1091" s="2">
        <v>45385</v>
      </c>
      <c r="B1091" t="s">
        <v>1556</v>
      </c>
      <c r="C1091" t="s">
        <v>81</v>
      </c>
      <c r="D1091" t="s">
        <v>22</v>
      </c>
      <c r="E1091" t="s">
        <v>43</v>
      </c>
      <c r="F1091">
        <v>5</v>
      </c>
      <c r="G1091">
        <v>178.54</v>
      </c>
      <c r="H1091" t="s">
        <v>58</v>
      </c>
      <c r="I1091" t="s">
        <v>1799</v>
      </c>
      <c r="J1091" t="s">
        <v>55</v>
      </c>
      <c r="K1091" t="s">
        <v>60</v>
      </c>
      <c r="L1091" t="s">
        <v>28</v>
      </c>
      <c r="M1091" t="s">
        <v>67</v>
      </c>
      <c r="N1091">
        <v>892.69999999999993</v>
      </c>
    </row>
    <row r="1092" spans="1:14" x14ac:dyDescent="0.35">
      <c r="A1092" s="2">
        <v>45437</v>
      </c>
      <c r="B1092" t="s">
        <v>1264</v>
      </c>
      <c r="C1092" t="s">
        <v>74</v>
      </c>
      <c r="D1092" t="s">
        <v>42</v>
      </c>
      <c r="E1092" t="s">
        <v>63</v>
      </c>
      <c r="F1092">
        <v>4</v>
      </c>
      <c r="G1092">
        <v>155.69</v>
      </c>
      <c r="H1092" t="s">
        <v>35</v>
      </c>
      <c r="I1092" t="s">
        <v>1800</v>
      </c>
      <c r="J1092" t="s">
        <v>94</v>
      </c>
      <c r="K1092" t="s">
        <v>38</v>
      </c>
      <c r="L1092" t="s">
        <v>39</v>
      </c>
      <c r="M1092" t="s">
        <v>79</v>
      </c>
      <c r="N1092">
        <v>622.76</v>
      </c>
    </row>
    <row r="1093" spans="1:14" x14ac:dyDescent="0.35">
      <c r="A1093" s="2">
        <v>45438</v>
      </c>
      <c r="B1093" t="s">
        <v>1696</v>
      </c>
      <c r="C1093" t="s">
        <v>74</v>
      </c>
      <c r="D1093" t="s">
        <v>22</v>
      </c>
      <c r="E1093" t="s">
        <v>43</v>
      </c>
      <c r="F1093">
        <v>5</v>
      </c>
      <c r="G1093">
        <v>154.36000000000001</v>
      </c>
      <c r="H1093" t="s">
        <v>44</v>
      </c>
      <c r="I1093" t="s">
        <v>1801</v>
      </c>
      <c r="J1093" t="s">
        <v>37</v>
      </c>
      <c r="K1093" t="s">
        <v>78</v>
      </c>
      <c r="L1093" t="s">
        <v>39</v>
      </c>
      <c r="M1093" t="s">
        <v>101</v>
      </c>
      <c r="N1093">
        <v>771.80000000000007</v>
      </c>
    </row>
    <row r="1094" spans="1:14" x14ac:dyDescent="0.35">
      <c r="A1094" s="2">
        <v>45286</v>
      </c>
      <c r="B1094" t="s">
        <v>681</v>
      </c>
      <c r="C1094" t="s">
        <v>81</v>
      </c>
      <c r="D1094" t="s">
        <v>22</v>
      </c>
      <c r="E1094" t="s">
        <v>43</v>
      </c>
      <c r="F1094">
        <v>1</v>
      </c>
      <c r="G1094">
        <v>202.41</v>
      </c>
      <c r="H1094" t="s">
        <v>44</v>
      </c>
      <c r="I1094" t="s">
        <v>1802</v>
      </c>
      <c r="J1094" t="s">
        <v>37</v>
      </c>
      <c r="K1094" t="s">
        <v>27</v>
      </c>
      <c r="L1094" t="s">
        <v>39</v>
      </c>
      <c r="M1094" t="s">
        <v>49</v>
      </c>
      <c r="N1094">
        <v>202.41</v>
      </c>
    </row>
    <row r="1095" spans="1:14" x14ac:dyDescent="0.35">
      <c r="A1095" s="2">
        <v>45375</v>
      </c>
      <c r="B1095" t="s">
        <v>1594</v>
      </c>
      <c r="C1095" t="s">
        <v>41</v>
      </c>
      <c r="D1095" t="s">
        <v>52</v>
      </c>
      <c r="E1095" t="s">
        <v>83</v>
      </c>
      <c r="F1095">
        <v>10</v>
      </c>
      <c r="G1095">
        <v>205.57</v>
      </c>
      <c r="H1095" t="s">
        <v>58</v>
      </c>
      <c r="I1095" t="s">
        <v>1803</v>
      </c>
      <c r="J1095" t="s">
        <v>26</v>
      </c>
      <c r="K1095" t="s">
        <v>60</v>
      </c>
      <c r="L1095" t="s">
        <v>28</v>
      </c>
      <c r="M1095" t="s">
        <v>101</v>
      </c>
      <c r="N1095">
        <v>2055.6999999999998</v>
      </c>
    </row>
    <row r="1096" spans="1:14" x14ac:dyDescent="0.35">
      <c r="A1096" s="2">
        <v>45041</v>
      </c>
      <c r="B1096" t="s">
        <v>1084</v>
      </c>
      <c r="C1096" t="s">
        <v>51</v>
      </c>
      <c r="D1096" t="s">
        <v>52</v>
      </c>
      <c r="E1096" t="s">
        <v>92</v>
      </c>
      <c r="F1096">
        <v>6</v>
      </c>
      <c r="G1096">
        <v>105.89</v>
      </c>
      <c r="H1096" t="s">
        <v>24</v>
      </c>
      <c r="I1096" t="s">
        <v>1804</v>
      </c>
      <c r="J1096" t="s">
        <v>26</v>
      </c>
      <c r="K1096" t="s">
        <v>60</v>
      </c>
      <c r="L1096" t="s">
        <v>39</v>
      </c>
      <c r="M1096" t="s">
        <v>49</v>
      </c>
      <c r="N1096">
        <v>635.34</v>
      </c>
    </row>
    <row r="1097" spans="1:14" x14ac:dyDescent="0.35">
      <c r="A1097" s="2">
        <v>45207</v>
      </c>
      <c r="B1097" t="s">
        <v>938</v>
      </c>
      <c r="C1097" t="s">
        <v>89</v>
      </c>
      <c r="D1097" t="s">
        <v>22</v>
      </c>
      <c r="E1097" t="s">
        <v>92</v>
      </c>
      <c r="F1097">
        <v>9</v>
      </c>
      <c r="G1097">
        <v>308.83999999999997</v>
      </c>
      <c r="H1097" t="s">
        <v>58</v>
      </c>
      <c r="I1097" t="s">
        <v>1805</v>
      </c>
      <c r="J1097" t="s">
        <v>26</v>
      </c>
      <c r="K1097" t="s">
        <v>27</v>
      </c>
      <c r="L1097" t="s">
        <v>28</v>
      </c>
      <c r="M1097" t="s">
        <v>101</v>
      </c>
      <c r="N1097">
        <v>2779.56</v>
      </c>
    </row>
    <row r="1098" spans="1:14" x14ac:dyDescent="0.35">
      <c r="A1098" s="2">
        <v>45331</v>
      </c>
      <c r="B1098" t="s">
        <v>982</v>
      </c>
      <c r="C1098" t="s">
        <v>74</v>
      </c>
      <c r="D1098" t="s">
        <v>33</v>
      </c>
      <c r="E1098" t="s">
        <v>23</v>
      </c>
      <c r="F1098">
        <v>4</v>
      </c>
      <c r="G1098">
        <v>233.77</v>
      </c>
      <c r="H1098" t="s">
        <v>58</v>
      </c>
      <c r="I1098" t="s">
        <v>1806</v>
      </c>
      <c r="J1098" t="s">
        <v>97</v>
      </c>
      <c r="K1098" t="s">
        <v>78</v>
      </c>
      <c r="L1098" t="s">
        <v>28</v>
      </c>
      <c r="M1098" t="s">
        <v>61</v>
      </c>
      <c r="N1098">
        <v>935.08</v>
      </c>
    </row>
    <row r="1099" spans="1:14" x14ac:dyDescent="0.35">
      <c r="A1099" s="2">
        <v>45053</v>
      </c>
      <c r="B1099" t="s">
        <v>372</v>
      </c>
      <c r="C1099" t="s">
        <v>41</v>
      </c>
      <c r="D1099" t="s">
        <v>42</v>
      </c>
      <c r="E1099" t="s">
        <v>34</v>
      </c>
      <c r="F1099">
        <v>8</v>
      </c>
      <c r="G1099">
        <v>224.58</v>
      </c>
      <c r="H1099" t="s">
        <v>64</v>
      </c>
      <c r="I1099" t="s">
        <v>1807</v>
      </c>
      <c r="J1099" t="s">
        <v>97</v>
      </c>
      <c r="K1099" t="s">
        <v>78</v>
      </c>
      <c r="L1099" t="s">
        <v>28</v>
      </c>
      <c r="M1099" t="s">
        <v>101</v>
      </c>
      <c r="N1099">
        <v>1796.64</v>
      </c>
    </row>
    <row r="1100" spans="1:14" x14ac:dyDescent="0.35">
      <c r="A1100" s="2">
        <v>45805</v>
      </c>
      <c r="B1100" t="s">
        <v>1808</v>
      </c>
      <c r="C1100" t="s">
        <v>47</v>
      </c>
      <c r="D1100" t="s">
        <v>52</v>
      </c>
      <c r="E1100" t="s">
        <v>23</v>
      </c>
      <c r="F1100">
        <v>6</v>
      </c>
      <c r="G1100">
        <v>364.61</v>
      </c>
      <c r="H1100" t="s">
        <v>44</v>
      </c>
      <c r="I1100" t="s">
        <v>1809</v>
      </c>
      <c r="J1100" t="s">
        <v>94</v>
      </c>
      <c r="K1100" t="s">
        <v>38</v>
      </c>
      <c r="L1100" t="s">
        <v>39</v>
      </c>
      <c r="M1100" t="s">
        <v>67</v>
      </c>
      <c r="N1100">
        <v>2187.66</v>
      </c>
    </row>
    <row r="1101" spans="1:14" x14ac:dyDescent="0.35">
      <c r="A1101" s="2">
        <v>45727</v>
      </c>
      <c r="B1101" t="s">
        <v>1810</v>
      </c>
      <c r="C1101" t="s">
        <v>21</v>
      </c>
      <c r="D1101" t="s">
        <v>22</v>
      </c>
      <c r="E1101" t="s">
        <v>92</v>
      </c>
      <c r="F1101">
        <v>5</v>
      </c>
      <c r="G1101">
        <v>386.77</v>
      </c>
      <c r="H1101" t="s">
        <v>35</v>
      </c>
      <c r="I1101" t="s">
        <v>1811</v>
      </c>
      <c r="J1101" t="s">
        <v>26</v>
      </c>
      <c r="K1101" t="s">
        <v>60</v>
      </c>
      <c r="L1101" t="s">
        <v>39</v>
      </c>
      <c r="M1101" t="s">
        <v>49</v>
      </c>
      <c r="N1101">
        <v>1933.85</v>
      </c>
    </row>
    <row r="1102" spans="1:14" x14ac:dyDescent="0.35">
      <c r="A1102" s="2">
        <v>45122</v>
      </c>
      <c r="B1102" t="s">
        <v>516</v>
      </c>
      <c r="C1102" t="s">
        <v>81</v>
      </c>
      <c r="D1102" t="s">
        <v>22</v>
      </c>
      <c r="E1102" t="s">
        <v>53</v>
      </c>
      <c r="F1102">
        <v>8</v>
      </c>
      <c r="G1102">
        <v>154.78</v>
      </c>
      <c r="H1102" t="s">
        <v>24</v>
      </c>
      <c r="I1102" t="s">
        <v>1812</v>
      </c>
      <c r="J1102" t="s">
        <v>94</v>
      </c>
      <c r="K1102" t="s">
        <v>60</v>
      </c>
      <c r="L1102" t="s">
        <v>28</v>
      </c>
      <c r="M1102" t="s">
        <v>79</v>
      </c>
      <c r="N1102">
        <v>1238.24</v>
      </c>
    </row>
    <row r="1103" spans="1:14" x14ac:dyDescent="0.35">
      <c r="A1103" s="2">
        <v>45134</v>
      </c>
      <c r="B1103" t="s">
        <v>1441</v>
      </c>
      <c r="C1103" t="s">
        <v>89</v>
      </c>
      <c r="D1103" t="s">
        <v>22</v>
      </c>
      <c r="E1103" t="s">
        <v>43</v>
      </c>
      <c r="F1103">
        <v>8</v>
      </c>
      <c r="G1103">
        <v>147.77000000000001</v>
      </c>
      <c r="H1103" t="s">
        <v>35</v>
      </c>
      <c r="I1103" t="s">
        <v>1813</v>
      </c>
      <c r="J1103" t="s">
        <v>94</v>
      </c>
      <c r="K1103" t="s">
        <v>78</v>
      </c>
      <c r="L1103" t="s">
        <v>66</v>
      </c>
      <c r="M1103" t="s">
        <v>56</v>
      </c>
      <c r="N1103">
        <v>1182.1600000000001</v>
      </c>
    </row>
    <row r="1104" spans="1:14" x14ac:dyDescent="0.35">
      <c r="A1104" s="2">
        <v>45644</v>
      </c>
      <c r="B1104" t="s">
        <v>825</v>
      </c>
      <c r="C1104" t="s">
        <v>47</v>
      </c>
      <c r="D1104" t="s">
        <v>33</v>
      </c>
      <c r="E1104" t="s">
        <v>53</v>
      </c>
      <c r="F1104">
        <v>5</v>
      </c>
      <c r="G1104">
        <v>38.200000000000003</v>
      </c>
      <c r="H1104" t="s">
        <v>35</v>
      </c>
      <c r="I1104" t="s">
        <v>1814</v>
      </c>
      <c r="J1104" t="s">
        <v>55</v>
      </c>
      <c r="K1104" t="s">
        <v>38</v>
      </c>
      <c r="L1104" t="s">
        <v>28</v>
      </c>
      <c r="M1104" t="s">
        <v>67</v>
      </c>
      <c r="N1104">
        <v>191</v>
      </c>
    </row>
    <row r="1105" spans="1:14" x14ac:dyDescent="0.35">
      <c r="A1105" s="2">
        <v>45419</v>
      </c>
      <c r="B1105" t="s">
        <v>452</v>
      </c>
      <c r="C1105" t="s">
        <v>86</v>
      </c>
      <c r="D1105" t="s">
        <v>52</v>
      </c>
      <c r="E1105" t="s">
        <v>43</v>
      </c>
      <c r="F1105">
        <v>5</v>
      </c>
      <c r="G1105">
        <v>300.81</v>
      </c>
      <c r="H1105" t="s">
        <v>64</v>
      </c>
      <c r="I1105" t="s">
        <v>1815</v>
      </c>
      <c r="J1105" t="s">
        <v>37</v>
      </c>
      <c r="K1105" t="s">
        <v>78</v>
      </c>
      <c r="L1105" t="s">
        <v>28</v>
      </c>
      <c r="M1105" t="s">
        <v>49</v>
      </c>
      <c r="N1105">
        <v>1504.05</v>
      </c>
    </row>
    <row r="1106" spans="1:14" x14ac:dyDescent="0.35">
      <c r="A1106" s="2">
        <v>45303</v>
      </c>
      <c r="B1106" t="s">
        <v>808</v>
      </c>
      <c r="C1106" t="s">
        <v>81</v>
      </c>
      <c r="D1106" t="s">
        <v>42</v>
      </c>
      <c r="E1106" t="s">
        <v>83</v>
      </c>
      <c r="F1106">
        <v>3</v>
      </c>
      <c r="G1106">
        <v>226.82</v>
      </c>
      <c r="H1106" t="s">
        <v>58</v>
      </c>
      <c r="I1106" t="s">
        <v>1816</v>
      </c>
      <c r="J1106" t="s">
        <v>37</v>
      </c>
      <c r="K1106" t="s">
        <v>38</v>
      </c>
      <c r="L1106" t="s">
        <v>28</v>
      </c>
      <c r="M1106" t="s">
        <v>61</v>
      </c>
      <c r="N1106">
        <v>680.46</v>
      </c>
    </row>
    <row r="1107" spans="1:14" x14ac:dyDescent="0.35">
      <c r="A1107" s="2">
        <v>44991</v>
      </c>
      <c r="B1107" t="s">
        <v>717</v>
      </c>
      <c r="C1107" t="s">
        <v>51</v>
      </c>
      <c r="D1107" t="s">
        <v>52</v>
      </c>
      <c r="E1107" t="s">
        <v>92</v>
      </c>
      <c r="F1107">
        <v>3</v>
      </c>
      <c r="G1107">
        <v>337.16</v>
      </c>
      <c r="H1107" t="s">
        <v>44</v>
      </c>
      <c r="I1107" t="s">
        <v>1817</v>
      </c>
      <c r="J1107" t="s">
        <v>97</v>
      </c>
      <c r="K1107" t="s">
        <v>27</v>
      </c>
      <c r="L1107" t="s">
        <v>39</v>
      </c>
      <c r="M1107" t="s">
        <v>29</v>
      </c>
      <c r="N1107">
        <v>1011.48</v>
      </c>
    </row>
    <row r="1108" spans="1:14" x14ac:dyDescent="0.35">
      <c r="A1108" s="2">
        <v>45231</v>
      </c>
      <c r="B1108" t="s">
        <v>607</v>
      </c>
      <c r="C1108" t="s">
        <v>51</v>
      </c>
      <c r="D1108" t="s">
        <v>22</v>
      </c>
      <c r="E1108" t="s">
        <v>43</v>
      </c>
      <c r="F1108">
        <v>6</v>
      </c>
      <c r="G1108">
        <v>371.52</v>
      </c>
      <c r="H1108" t="s">
        <v>24</v>
      </c>
      <c r="I1108" t="s">
        <v>1818</v>
      </c>
      <c r="J1108" t="s">
        <v>97</v>
      </c>
      <c r="K1108" t="s">
        <v>60</v>
      </c>
      <c r="L1108" t="s">
        <v>66</v>
      </c>
      <c r="M1108" t="s">
        <v>67</v>
      </c>
      <c r="N1108">
        <v>2229.12</v>
      </c>
    </row>
    <row r="1109" spans="1:14" x14ac:dyDescent="0.35">
      <c r="A1109" s="2">
        <v>45658</v>
      </c>
      <c r="B1109" t="s">
        <v>1819</v>
      </c>
      <c r="C1109" t="s">
        <v>71</v>
      </c>
      <c r="D1109" t="s">
        <v>22</v>
      </c>
      <c r="E1109" t="s">
        <v>53</v>
      </c>
      <c r="F1109">
        <v>2</v>
      </c>
      <c r="G1109">
        <v>39.909999999999997</v>
      </c>
      <c r="H1109" t="s">
        <v>64</v>
      </c>
      <c r="I1109" t="s">
        <v>1820</v>
      </c>
      <c r="J1109" t="s">
        <v>55</v>
      </c>
      <c r="K1109" t="s">
        <v>27</v>
      </c>
      <c r="L1109" t="s">
        <v>39</v>
      </c>
      <c r="M1109" t="s">
        <v>67</v>
      </c>
      <c r="N1109">
        <v>79.819999999999993</v>
      </c>
    </row>
    <row r="1110" spans="1:14" x14ac:dyDescent="0.35">
      <c r="A1110" s="2">
        <v>45009</v>
      </c>
      <c r="B1110" t="s">
        <v>151</v>
      </c>
      <c r="C1110" t="s">
        <v>47</v>
      </c>
      <c r="D1110" t="s">
        <v>42</v>
      </c>
      <c r="E1110" t="s">
        <v>53</v>
      </c>
      <c r="F1110">
        <v>10</v>
      </c>
      <c r="G1110">
        <v>386.21</v>
      </c>
      <c r="H1110" t="s">
        <v>44</v>
      </c>
      <c r="I1110" t="s">
        <v>1821</v>
      </c>
      <c r="J1110" t="s">
        <v>55</v>
      </c>
      <c r="K1110" t="s">
        <v>78</v>
      </c>
      <c r="L1110" t="s">
        <v>39</v>
      </c>
      <c r="M1110" t="s">
        <v>61</v>
      </c>
      <c r="N1110">
        <v>3862.1</v>
      </c>
    </row>
    <row r="1111" spans="1:14" x14ac:dyDescent="0.35">
      <c r="A1111" s="2">
        <v>45554</v>
      </c>
      <c r="B1111" t="s">
        <v>906</v>
      </c>
      <c r="C1111" t="s">
        <v>71</v>
      </c>
      <c r="D1111" t="s">
        <v>52</v>
      </c>
      <c r="E1111" t="s">
        <v>53</v>
      </c>
      <c r="F1111">
        <v>4</v>
      </c>
      <c r="G1111">
        <v>279.83999999999997</v>
      </c>
      <c r="H1111" t="s">
        <v>44</v>
      </c>
      <c r="I1111" t="s">
        <v>1822</v>
      </c>
      <c r="J1111" t="s">
        <v>97</v>
      </c>
      <c r="K1111" t="s">
        <v>60</v>
      </c>
      <c r="L1111" t="s">
        <v>66</v>
      </c>
      <c r="M1111" t="s">
        <v>56</v>
      </c>
      <c r="N1111">
        <v>1119.3599999999999</v>
      </c>
    </row>
    <row r="1112" spans="1:14" x14ac:dyDescent="0.35">
      <c r="A1112" s="2">
        <v>45792</v>
      </c>
      <c r="B1112" t="s">
        <v>827</v>
      </c>
      <c r="C1112" t="s">
        <v>21</v>
      </c>
      <c r="D1112" t="s">
        <v>33</v>
      </c>
      <c r="E1112" t="s">
        <v>63</v>
      </c>
      <c r="F1112">
        <v>2</v>
      </c>
      <c r="G1112">
        <v>156.52000000000001</v>
      </c>
      <c r="H1112" t="s">
        <v>24</v>
      </c>
      <c r="I1112" t="s">
        <v>1823</v>
      </c>
      <c r="J1112" t="s">
        <v>94</v>
      </c>
      <c r="K1112" t="s">
        <v>38</v>
      </c>
      <c r="L1112" t="s">
        <v>39</v>
      </c>
      <c r="M1112" t="s">
        <v>56</v>
      </c>
      <c r="N1112">
        <v>313.04000000000002</v>
      </c>
    </row>
    <row r="1113" spans="1:14" x14ac:dyDescent="0.35">
      <c r="A1113" s="2">
        <v>45450</v>
      </c>
      <c r="B1113" t="s">
        <v>759</v>
      </c>
      <c r="C1113" t="s">
        <v>51</v>
      </c>
      <c r="D1113" t="s">
        <v>33</v>
      </c>
      <c r="E1113" t="s">
        <v>83</v>
      </c>
      <c r="F1113">
        <v>8</v>
      </c>
      <c r="G1113">
        <v>367.19</v>
      </c>
      <c r="H1113" t="s">
        <v>24</v>
      </c>
      <c r="I1113" t="s">
        <v>1824</v>
      </c>
      <c r="J1113" t="s">
        <v>94</v>
      </c>
      <c r="K1113" t="s">
        <v>38</v>
      </c>
      <c r="L1113" t="s">
        <v>28</v>
      </c>
      <c r="M1113" t="s">
        <v>61</v>
      </c>
      <c r="N1113">
        <v>2937.52</v>
      </c>
    </row>
    <row r="1114" spans="1:14" x14ac:dyDescent="0.35">
      <c r="A1114" s="2">
        <v>45039</v>
      </c>
      <c r="B1114" t="s">
        <v>1288</v>
      </c>
      <c r="C1114" t="s">
        <v>47</v>
      </c>
      <c r="D1114" t="s">
        <v>22</v>
      </c>
      <c r="E1114" t="s">
        <v>83</v>
      </c>
      <c r="F1114">
        <v>6</v>
      </c>
      <c r="G1114">
        <v>161.79</v>
      </c>
      <c r="H1114" t="s">
        <v>44</v>
      </c>
      <c r="I1114" t="s">
        <v>1825</v>
      </c>
      <c r="J1114" t="s">
        <v>26</v>
      </c>
      <c r="K1114" t="s">
        <v>27</v>
      </c>
      <c r="L1114" t="s">
        <v>39</v>
      </c>
      <c r="M1114" t="s">
        <v>101</v>
      </c>
      <c r="N1114">
        <v>970.74</v>
      </c>
    </row>
    <row r="1115" spans="1:14" x14ac:dyDescent="0.35">
      <c r="A1115" s="2">
        <v>45304</v>
      </c>
      <c r="B1115" t="s">
        <v>1826</v>
      </c>
      <c r="C1115" t="s">
        <v>41</v>
      </c>
      <c r="D1115" t="s">
        <v>52</v>
      </c>
      <c r="E1115" t="s">
        <v>92</v>
      </c>
      <c r="F1115">
        <v>4</v>
      </c>
      <c r="G1115">
        <v>129.85</v>
      </c>
      <c r="H1115" t="s">
        <v>24</v>
      </c>
      <c r="I1115" t="s">
        <v>1827</v>
      </c>
      <c r="J1115" t="s">
        <v>94</v>
      </c>
      <c r="K1115" t="s">
        <v>38</v>
      </c>
      <c r="L1115" t="s">
        <v>39</v>
      </c>
      <c r="M1115" t="s">
        <v>79</v>
      </c>
      <c r="N1115">
        <v>519.4</v>
      </c>
    </row>
    <row r="1116" spans="1:14" x14ac:dyDescent="0.35">
      <c r="A1116" s="2">
        <v>45115</v>
      </c>
      <c r="B1116" t="s">
        <v>1828</v>
      </c>
      <c r="C1116" t="s">
        <v>74</v>
      </c>
      <c r="D1116" t="s">
        <v>22</v>
      </c>
      <c r="E1116" t="s">
        <v>34</v>
      </c>
      <c r="F1116">
        <v>8</v>
      </c>
      <c r="G1116">
        <v>37.979999999999997</v>
      </c>
      <c r="H1116" t="s">
        <v>35</v>
      </c>
      <c r="I1116" t="s">
        <v>1829</v>
      </c>
      <c r="J1116" t="s">
        <v>94</v>
      </c>
      <c r="K1116" t="s">
        <v>78</v>
      </c>
      <c r="L1116" t="s">
        <v>28</v>
      </c>
      <c r="M1116" t="s">
        <v>79</v>
      </c>
      <c r="N1116">
        <v>303.83999999999997</v>
      </c>
    </row>
    <row r="1117" spans="1:14" x14ac:dyDescent="0.35">
      <c r="A1117" s="2">
        <v>45775</v>
      </c>
      <c r="B1117" t="s">
        <v>332</v>
      </c>
      <c r="C1117" t="s">
        <v>86</v>
      </c>
      <c r="D1117" t="s">
        <v>52</v>
      </c>
      <c r="E1117" t="s">
        <v>34</v>
      </c>
      <c r="F1117">
        <v>10</v>
      </c>
      <c r="G1117">
        <v>142.35</v>
      </c>
      <c r="H1117" t="s">
        <v>64</v>
      </c>
      <c r="I1117" t="s">
        <v>1830</v>
      </c>
      <c r="J1117" t="s">
        <v>97</v>
      </c>
      <c r="K1117" t="s">
        <v>78</v>
      </c>
      <c r="L1117" t="s">
        <v>28</v>
      </c>
      <c r="M1117" t="s">
        <v>29</v>
      </c>
      <c r="N1117">
        <v>1423.5</v>
      </c>
    </row>
    <row r="1118" spans="1:14" x14ac:dyDescent="0.35">
      <c r="A1118" s="2">
        <v>45584</v>
      </c>
      <c r="B1118" t="s">
        <v>1831</v>
      </c>
      <c r="C1118" t="s">
        <v>74</v>
      </c>
      <c r="D1118" t="s">
        <v>33</v>
      </c>
      <c r="E1118" t="s">
        <v>53</v>
      </c>
      <c r="F1118">
        <v>8</v>
      </c>
      <c r="G1118">
        <v>310.39999999999998</v>
      </c>
      <c r="H1118" t="s">
        <v>44</v>
      </c>
      <c r="I1118" t="s">
        <v>1832</v>
      </c>
      <c r="J1118" t="s">
        <v>37</v>
      </c>
      <c r="K1118" t="s">
        <v>38</v>
      </c>
      <c r="L1118" t="s">
        <v>66</v>
      </c>
      <c r="M1118" t="s">
        <v>79</v>
      </c>
      <c r="N1118">
        <v>2483.1999999999998</v>
      </c>
    </row>
    <row r="1119" spans="1:14" x14ac:dyDescent="0.35">
      <c r="A1119" s="2">
        <v>45196</v>
      </c>
      <c r="B1119" t="s">
        <v>1363</v>
      </c>
      <c r="C1119" t="s">
        <v>51</v>
      </c>
      <c r="D1119" t="s">
        <v>52</v>
      </c>
      <c r="E1119" t="s">
        <v>83</v>
      </c>
      <c r="F1119">
        <v>1</v>
      </c>
      <c r="G1119">
        <v>7.37</v>
      </c>
      <c r="H1119" t="s">
        <v>35</v>
      </c>
      <c r="I1119" t="s">
        <v>1833</v>
      </c>
      <c r="J1119" t="s">
        <v>97</v>
      </c>
      <c r="K1119" t="s">
        <v>38</v>
      </c>
      <c r="L1119" t="s">
        <v>28</v>
      </c>
      <c r="M1119" t="s">
        <v>67</v>
      </c>
      <c r="N1119">
        <v>7.37</v>
      </c>
    </row>
    <row r="1120" spans="1:14" x14ac:dyDescent="0.35">
      <c r="A1120" s="2">
        <v>45476</v>
      </c>
      <c r="B1120" t="s">
        <v>1450</v>
      </c>
      <c r="C1120" t="s">
        <v>47</v>
      </c>
      <c r="D1120" t="s">
        <v>22</v>
      </c>
      <c r="E1120" t="s">
        <v>63</v>
      </c>
      <c r="F1120">
        <v>2</v>
      </c>
      <c r="G1120">
        <v>391.88</v>
      </c>
      <c r="H1120" t="s">
        <v>58</v>
      </c>
      <c r="I1120" t="s">
        <v>1834</v>
      </c>
      <c r="J1120" t="s">
        <v>97</v>
      </c>
      <c r="K1120" t="s">
        <v>38</v>
      </c>
      <c r="L1120" t="s">
        <v>28</v>
      </c>
      <c r="M1120" t="s">
        <v>67</v>
      </c>
      <c r="N1120">
        <v>783.76</v>
      </c>
    </row>
    <row r="1121" spans="1:14" x14ac:dyDescent="0.35">
      <c r="A1121" s="2">
        <v>45427</v>
      </c>
      <c r="B1121" t="s">
        <v>540</v>
      </c>
      <c r="C1121" t="s">
        <v>51</v>
      </c>
      <c r="D1121" t="s">
        <v>33</v>
      </c>
      <c r="E1121" t="s">
        <v>53</v>
      </c>
      <c r="F1121">
        <v>6</v>
      </c>
      <c r="G1121">
        <v>374.4</v>
      </c>
      <c r="H1121" t="s">
        <v>24</v>
      </c>
      <c r="I1121" t="s">
        <v>1835</v>
      </c>
      <c r="J1121" t="s">
        <v>94</v>
      </c>
      <c r="K1121" t="s">
        <v>27</v>
      </c>
      <c r="L1121" t="s">
        <v>66</v>
      </c>
      <c r="M1121" t="s">
        <v>67</v>
      </c>
      <c r="N1121">
        <v>2246.4</v>
      </c>
    </row>
    <row r="1122" spans="1:14" x14ac:dyDescent="0.35">
      <c r="A1122" s="2">
        <v>45577</v>
      </c>
      <c r="B1122" t="s">
        <v>1021</v>
      </c>
      <c r="C1122" t="s">
        <v>89</v>
      </c>
      <c r="D1122" t="s">
        <v>52</v>
      </c>
      <c r="E1122" t="s">
        <v>43</v>
      </c>
      <c r="F1122">
        <v>3</v>
      </c>
      <c r="G1122">
        <v>67.73</v>
      </c>
      <c r="H1122" t="s">
        <v>44</v>
      </c>
      <c r="I1122" t="s">
        <v>1836</v>
      </c>
      <c r="J1122" t="s">
        <v>94</v>
      </c>
      <c r="K1122" t="s">
        <v>27</v>
      </c>
      <c r="L1122" t="s">
        <v>28</v>
      </c>
      <c r="M1122" t="s">
        <v>79</v>
      </c>
      <c r="N1122">
        <v>203.19</v>
      </c>
    </row>
    <row r="1123" spans="1:14" x14ac:dyDescent="0.35">
      <c r="A1123" s="2">
        <v>45051</v>
      </c>
      <c r="B1123" t="s">
        <v>1421</v>
      </c>
      <c r="C1123" t="s">
        <v>86</v>
      </c>
      <c r="D1123" t="s">
        <v>52</v>
      </c>
      <c r="E1123" t="s">
        <v>63</v>
      </c>
      <c r="F1123">
        <v>9</v>
      </c>
      <c r="G1123">
        <v>360.7</v>
      </c>
      <c r="H1123" t="s">
        <v>44</v>
      </c>
      <c r="I1123" t="s">
        <v>1837</v>
      </c>
      <c r="J1123" t="s">
        <v>97</v>
      </c>
      <c r="K1123" t="s">
        <v>38</v>
      </c>
      <c r="L1123" t="s">
        <v>66</v>
      </c>
      <c r="M1123" t="s">
        <v>61</v>
      </c>
      <c r="N1123">
        <v>3246.3</v>
      </c>
    </row>
    <row r="1124" spans="1:14" x14ac:dyDescent="0.35">
      <c r="A1124" s="2">
        <v>45291</v>
      </c>
      <c r="B1124" t="s">
        <v>195</v>
      </c>
      <c r="C1124" t="s">
        <v>106</v>
      </c>
      <c r="D1124" t="s">
        <v>22</v>
      </c>
      <c r="E1124" t="s">
        <v>43</v>
      </c>
      <c r="F1124">
        <v>5</v>
      </c>
      <c r="G1124">
        <v>353.08</v>
      </c>
      <c r="H1124" t="s">
        <v>44</v>
      </c>
      <c r="I1124" t="s">
        <v>1838</v>
      </c>
      <c r="J1124" t="s">
        <v>26</v>
      </c>
      <c r="K1124" t="s">
        <v>60</v>
      </c>
      <c r="L1124" t="s">
        <v>39</v>
      </c>
      <c r="M1124" t="s">
        <v>101</v>
      </c>
      <c r="N1124">
        <v>1765.4</v>
      </c>
    </row>
    <row r="1125" spans="1:14" x14ac:dyDescent="0.35">
      <c r="A1125" s="2">
        <v>45600</v>
      </c>
      <c r="B1125" t="s">
        <v>1839</v>
      </c>
      <c r="C1125" t="s">
        <v>41</v>
      </c>
      <c r="D1125" t="s">
        <v>52</v>
      </c>
      <c r="E1125" t="s">
        <v>63</v>
      </c>
      <c r="F1125">
        <v>1</v>
      </c>
      <c r="G1125">
        <v>280.33999999999997</v>
      </c>
      <c r="H1125" t="s">
        <v>58</v>
      </c>
      <c r="I1125" t="s">
        <v>1840</v>
      </c>
      <c r="J1125" t="s">
        <v>94</v>
      </c>
      <c r="K1125" t="s">
        <v>27</v>
      </c>
      <c r="L1125" t="s">
        <v>66</v>
      </c>
      <c r="M1125" t="s">
        <v>29</v>
      </c>
      <c r="N1125">
        <v>280.33999999999997</v>
      </c>
    </row>
    <row r="1126" spans="1:14" x14ac:dyDescent="0.35">
      <c r="A1126" s="2">
        <v>45414</v>
      </c>
      <c r="B1126" t="s">
        <v>1388</v>
      </c>
      <c r="C1126" t="s">
        <v>89</v>
      </c>
      <c r="D1126" t="s">
        <v>22</v>
      </c>
      <c r="E1126" t="s">
        <v>23</v>
      </c>
      <c r="F1126">
        <v>5</v>
      </c>
      <c r="G1126">
        <v>271.5</v>
      </c>
      <c r="H1126" t="s">
        <v>58</v>
      </c>
      <c r="I1126" t="s">
        <v>1841</v>
      </c>
      <c r="J1126" t="s">
        <v>37</v>
      </c>
      <c r="K1126" t="s">
        <v>60</v>
      </c>
      <c r="L1126" t="s">
        <v>28</v>
      </c>
      <c r="M1126" t="s">
        <v>56</v>
      </c>
      <c r="N1126">
        <v>1357.5</v>
      </c>
    </row>
    <row r="1127" spans="1:14" x14ac:dyDescent="0.35">
      <c r="A1127" s="2">
        <v>45695</v>
      </c>
      <c r="B1127" t="s">
        <v>1691</v>
      </c>
      <c r="C1127" t="s">
        <v>41</v>
      </c>
      <c r="D1127" t="s">
        <v>52</v>
      </c>
      <c r="E1127" t="s">
        <v>53</v>
      </c>
      <c r="F1127">
        <v>5</v>
      </c>
      <c r="G1127">
        <v>15.07</v>
      </c>
      <c r="H1127" t="s">
        <v>64</v>
      </c>
      <c r="I1127" t="s">
        <v>1842</v>
      </c>
      <c r="J1127" t="s">
        <v>37</v>
      </c>
      <c r="K1127" t="s">
        <v>60</v>
      </c>
      <c r="L1127" t="s">
        <v>39</v>
      </c>
      <c r="M1127" t="s">
        <v>61</v>
      </c>
      <c r="N1127">
        <v>75.349999999999994</v>
      </c>
    </row>
    <row r="1128" spans="1:14" x14ac:dyDescent="0.35">
      <c r="A1128" s="2">
        <v>45437</v>
      </c>
      <c r="B1128" t="s">
        <v>439</v>
      </c>
      <c r="C1128" t="s">
        <v>89</v>
      </c>
      <c r="D1128" t="s">
        <v>52</v>
      </c>
      <c r="E1128" t="s">
        <v>34</v>
      </c>
      <c r="F1128">
        <v>9</v>
      </c>
      <c r="G1128">
        <v>223.23</v>
      </c>
      <c r="H1128" t="s">
        <v>58</v>
      </c>
      <c r="I1128" t="s">
        <v>1843</v>
      </c>
      <c r="J1128" t="s">
        <v>26</v>
      </c>
      <c r="K1128" t="s">
        <v>78</v>
      </c>
      <c r="L1128" t="s">
        <v>28</v>
      </c>
      <c r="M1128" t="s">
        <v>79</v>
      </c>
      <c r="N1128">
        <v>2009.07</v>
      </c>
    </row>
    <row r="1129" spans="1:14" x14ac:dyDescent="0.35">
      <c r="A1129" s="2">
        <v>45154</v>
      </c>
      <c r="B1129" t="s">
        <v>1844</v>
      </c>
      <c r="C1129" t="s">
        <v>89</v>
      </c>
      <c r="D1129" t="s">
        <v>42</v>
      </c>
      <c r="E1129" t="s">
        <v>43</v>
      </c>
      <c r="F1129">
        <v>3</v>
      </c>
      <c r="G1129">
        <v>271.37</v>
      </c>
      <c r="H1129" t="s">
        <v>64</v>
      </c>
      <c r="I1129" t="s">
        <v>1845</v>
      </c>
      <c r="J1129" t="s">
        <v>37</v>
      </c>
      <c r="K1129" t="s">
        <v>60</v>
      </c>
      <c r="L1129" t="s">
        <v>28</v>
      </c>
      <c r="M1129" t="s">
        <v>67</v>
      </c>
      <c r="N1129">
        <v>814.11</v>
      </c>
    </row>
    <row r="1130" spans="1:14" x14ac:dyDescent="0.35">
      <c r="A1130" s="2">
        <v>45495</v>
      </c>
      <c r="B1130" t="s">
        <v>1406</v>
      </c>
      <c r="C1130" t="s">
        <v>89</v>
      </c>
      <c r="D1130" t="s">
        <v>33</v>
      </c>
      <c r="E1130" t="s">
        <v>63</v>
      </c>
      <c r="F1130">
        <v>8</v>
      </c>
      <c r="G1130">
        <v>107.23</v>
      </c>
      <c r="H1130" t="s">
        <v>24</v>
      </c>
      <c r="I1130" t="s">
        <v>1846</v>
      </c>
      <c r="J1130" t="s">
        <v>55</v>
      </c>
      <c r="K1130" t="s">
        <v>27</v>
      </c>
      <c r="L1130" t="s">
        <v>28</v>
      </c>
      <c r="M1130" t="s">
        <v>29</v>
      </c>
      <c r="N1130">
        <v>857.84</v>
      </c>
    </row>
    <row r="1131" spans="1:14" x14ac:dyDescent="0.35">
      <c r="A1131" s="2">
        <v>45702</v>
      </c>
      <c r="B1131" t="s">
        <v>1847</v>
      </c>
      <c r="C1131" t="s">
        <v>89</v>
      </c>
      <c r="D1131" t="s">
        <v>33</v>
      </c>
      <c r="E1131" t="s">
        <v>83</v>
      </c>
      <c r="F1131">
        <v>3</v>
      </c>
      <c r="G1131">
        <v>127.57</v>
      </c>
      <c r="H1131" t="s">
        <v>24</v>
      </c>
      <c r="I1131" t="s">
        <v>1848</v>
      </c>
      <c r="J1131" t="s">
        <v>94</v>
      </c>
      <c r="K1131" t="s">
        <v>38</v>
      </c>
      <c r="L1131" t="s">
        <v>39</v>
      </c>
      <c r="M1131" t="s">
        <v>61</v>
      </c>
      <c r="N1131">
        <v>382.71</v>
      </c>
    </row>
    <row r="1132" spans="1:14" x14ac:dyDescent="0.35">
      <c r="A1132" s="2">
        <v>45638</v>
      </c>
      <c r="B1132" t="s">
        <v>1849</v>
      </c>
      <c r="C1132" t="s">
        <v>106</v>
      </c>
      <c r="D1132" t="s">
        <v>33</v>
      </c>
      <c r="E1132" t="s">
        <v>83</v>
      </c>
      <c r="F1132">
        <v>2</v>
      </c>
      <c r="G1132">
        <v>107.36</v>
      </c>
      <c r="H1132" t="s">
        <v>44</v>
      </c>
      <c r="I1132" t="s">
        <v>1850</v>
      </c>
      <c r="J1132" t="s">
        <v>94</v>
      </c>
      <c r="K1132" t="s">
        <v>60</v>
      </c>
      <c r="L1132" t="s">
        <v>28</v>
      </c>
      <c r="M1132" t="s">
        <v>56</v>
      </c>
      <c r="N1132">
        <v>214.72</v>
      </c>
    </row>
    <row r="1133" spans="1:14" x14ac:dyDescent="0.35">
      <c r="A1133" s="2">
        <v>45063</v>
      </c>
      <c r="B1133" t="s">
        <v>1851</v>
      </c>
      <c r="C1133" t="s">
        <v>47</v>
      </c>
      <c r="D1133" t="s">
        <v>33</v>
      </c>
      <c r="E1133" t="s">
        <v>53</v>
      </c>
      <c r="F1133">
        <v>6</v>
      </c>
      <c r="G1133">
        <v>94.8</v>
      </c>
      <c r="H1133" t="s">
        <v>58</v>
      </c>
      <c r="I1133" t="s">
        <v>1852</v>
      </c>
      <c r="J1133" t="s">
        <v>26</v>
      </c>
      <c r="K1133" t="s">
        <v>78</v>
      </c>
      <c r="L1133" t="s">
        <v>39</v>
      </c>
      <c r="M1133" t="s">
        <v>67</v>
      </c>
      <c r="N1133">
        <v>568.79999999999995</v>
      </c>
    </row>
    <row r="1134" spans="1:14" x14ac:dyDescent="0.35">
      <c r="A1134" s="2">
        <v>45833</v>
      </c>
      <c r="B1134" t="s">
        <v>1381</v>
      </c>
      <c r="C1134" t="s">
        <v>81</v>
      </c>
      <c r="D1134" t="s">
        <v>33</v>
      </c>
      <c r="E1134" t="s">
        <v>63</v>
      </c>
      <c r="F1134">
        <v>8</v>
      </c>
      <c r="G1134">
        <v>278.75</v>
      </c>
      <c r="H1134" t="s">
        <v>58</v>
      </c>
      <c r="I1134" t="s">
        <v>1853</v>
      </c>
      <c r="J1134" t="s">
        <v>26</v>
      </c>
      <c r="K1134" t="s">
        <v>38</v>
      </c>
      <c r="L1134" t="s">
        <v>66</v>
      </c>
      <c r="M1134" t="s">
        <v>67</v>
      </c>
      <c r="N1134">
        <v>2230</v>
      </c>
    </row>
    <row r="1135" spans="1:14" x14ac:dyDescent="0.35">
      <c r="A1135" s="2">
        <v>45281</v>
      </c>
      <c r="B1135" t="s">
        <v>1631</v>
      </c>
      <c r="C1135" t="s">
        <v>41</v>
      </c>
      <c r="D1135" t="s">
        <v>52</v>
      </c>
      <c r="E1135" t="s">
        <v>34</v>
      </c>
      <c r="F1135">
        <v>6</v>
      </c>
      <c r="G1135">
        <v>374.27</v>
      </c>
      <c r="H1135" t="s">
        <v>44</v>
      </c>
      <c r="I1135" t="s">
        <v>1854</v>
      </c>
      <c r="J1135" t="s">
        <v>26</v>
      </c>
      <c r="K1135" t="s">
        <v>27</v>
      </c>
      <c r="L1135" t="s">
        <v>66</v>
      </c>
      <c r="M1135" t="s">
        <v>56</v>
      </c>
      <c r="N1135">
        <v>2245.62</v>
      </c>
    </row>
    <row r="1136" spans="1:14" x14ac:dyDescent="0.35">
      <c r="A1136" s="2">
        <v>45101</v>
      </c>
      <c r="B1136" t="s">
        <v>204</v>
      </c>
      <c r="C1136" t="s">
        <v>89</v>
      </c>
      <c r="D1136" t="s">
        <v>42</v>
      </c>
      <c r="E1136" t="s">
        <v>63</v>
      </c>
      <c r="F1136">
        <v>5</v>
      </c>
      <c r="G1136">
        <v>82.7</v>
      </c>
      <c r="H1136" t="s">
        <v>64</v>
      </c>
      <c r="I1136" t="s">
        <v>1855</v>
      </c>
      <c r="J1136" t="s">
        <v>97</v>
      </c>
      <c r="K1136" t="s">
        <v>38</v>
      </c>
      <c r="L1136" t="s">
        <v>39</v>
      </c>
      <c r="M1136" t="s">
        <v>79</v>
      </c>
      <c r="N1136">
        <v>413.5</v>
      </c>
    </row>
    <row r="1137" spans="1:14" x14ac:dyDescent="0.35">
      <c r="A1137" s="2">
        <v>45402</v>
      </c>
      <c r="B1137" t="s">
        <v>815</v>
      </c>
      <c r="C1137" t="s">
        <v>89</v>
      </c>
      <c r="D1137" t="s">
        <v>33</v>
      </c>
      <c r="E1137" t="s">
        <v>92</v>
      </c>
      <c r="F1137">
        <v>5</v>
      </c>
      <c r="G1137">
        <v>119.16</v>
      </c>
      <c r="H1137" t="s">
        <v>58</v>
      </c>
      <c r="I1137" t="s">
        <v>1856</v>
      </c>
      <c r="J1137" t="s">
        <v>37</v>
      </c>
      <c r="K1137" t="s">
        <v>60</v>
      </c>
      <c r="L1137" t="s">
        <v>39</v>
      </c>
      <c r="M1137" t="s">
        <v>79</v>
      </c>
      <c r="N1137">
        <v>595.79999999999995</v>
      </c>
    </row>
    <row r="1138" spans="1:14" x14ac:dyDescent="0.35">
      <c r="A1138" s="2">
        <v>45180</v>
      </c>
      <c r="B1138" t="s">
        <v>1228</v>
      </c>
      <c r="C1138" t="s">
        <v>81</v>
      </c>
      <c r="D1138" t="s">
        <v>52</v>
      </c>
      <c r="E1138" t="s">
        <v>53</v>
      </c>
      <c r="F1138">
        <v>2</v>
      </c>
      <c r="G1138">
        <v>296.61</v>
      </c>
      <c r="H1138" t="s">
        <v>64</v>
      </c>
      <c r="I1138" t="s">
        <v>1857</v>
      </c>
      <c r="J1138" t="s">
        <v>26</v>
      </c>
      <c r="K1138" t="s">
        <v>78</v>
      </c>
      <c r="L1138" t="s">
        <v>39</v>
      </c>
      <c r="M1138" t="s">
        <v>29</v>
      </c>
      <c r="N1138">
        <v>593.22</v>
      </c>
    </row>
    <row r="1139" spans="1:14" x14ac:dyDescent="0.35">
      <c r="A1139" s="2">
        <v>45765</v>
      </c>
      <c r="B1139" t="s">
        <v>616</v>
      </c>
      <c r="C1139" t="s">
        <v>81</v>
      </c>
      <c r="D1139" t="s">
        <v>42</v>
      </c>
      <c r="E1139" t="s">
        <v>53</v>
      </c>
      <c r="F1139">
        <v>5</v>
      </c>
      <c r="G1139">
        <v>311.51</v>
      </c>
      <c r="H1139" t="s">
        <v>58</v>
      </c>
      <c r="I1139" t="s">
        <v>1858</v>
      </c>
      <c r="J1139" t="s">
        <v>37</v>
      </c>
      <c r="K1139" t="s">
        <v>60</v>
      </c>
      <c r="L1139" t="s">
        <v>39</v>
      </c>
      <c r="M1139" t="s">
        <v>61</v>
      </c>
      <c r="N1139">
        <v>1557.55</v>
      </c>
    </row>
    <row r="1140" spans="1:14" x14ac:dyDescent="0.35">
      <c r="A1140" s="2">
        <v>45743</v>
      </c>
      <c r="B1140" t="s">
        <v>110</v>
      </c>
      <c r="C1140" t="s">
        <v>106</v>
      </c>
      <c r="D1140" t="s">
        <v>52</v>
      </c>
      <c r="E1140" t="s">
        <v>23</v>
      </c>
      <c r="F1140">
        <v>5</v>
      </c>
      <c r="G1140">
        <v>257.77</v>
      </c>
      <c r="H1140" t="s">
        <v>58</v>
      </c>
      <c r="I1140" t="s">
        <v>1859</v>
      </c>
      <c r="J1140" t="s">
        <v>26</v>
      </c>
      <c r="K1140" t="s">
        <v>60</v>
      </c>
      <c r="L1140" t="s">
        <v>28</v>
      </c>
      <c r="M1140" t="s">
        <v>56</v>
      </c>
      <c r="N1140">
        <v>1288.8499999999999</v>
      </c>
    </row>
    <row r="1141" spans="1:14" x14ac:dyDescent="0.35">
      <c r="A1141" s="2">
        <v>45649</v>
      </c>
      <c r="B1141" t="s">
        <v>285</v>
      </c>
      <c r="C1141" t="s">
        <v>71</v>
      </c>
      <c r="D1141" t="s">
        <v>42</v>
      </c>
      <c r="E1141" t="s">
        <v>63</v>
      </c>
      <c r="F1141">
        <v>1</v>
      </c>
      <c r="G1141">
        <v>391.91</v>
      </c>
      <c r="H1141" t="s">
        <v>35</v>
      </c>
      <c r="I1141" t="s">
        <v>1860</v>
      </c>
      <c r="J1141" t="s">
        <v>37</v>
      </c>
      <c r="K1141" t="s">
        <v>27</v>
      </c>
      <c r="L1141" t="s">
        <v>28</v>
      </c>
      <c r="M1141" t="s">
        <v>29</v>
      </c>
      <c r="N1141">
        <v>391.91</v>
      </c>
    </row>
    <row r="1142" spans="1:14" x14ac:dyDescent="0.35">
      <c r="A1142" s="2">
        <v>45365</v>
      </c>
      <c r="B1142" t="s">
        <v>1861</v>
      </c>
      <c r="C1142" t="s">
        <v>81</v>
      </c>
      <c r="D1142" t="s">
        <v>52</v>
      </c>
      <c r="E1142" t="s">
        <v>43</v>
      </c>
      <c r="F1142">
        <v>10</v>
      </c>
      <c r="G1142">
        <v>319.07</v>
      </c>
      <c r="H1142" t="s">
        <v>35</v>
      </c>
      <c r="I1142" t="s">
        <v>1862</v>
      </c>
      <c r="J1142" t="s">
        <v>97</v>
      </c>
      <c r="K1142" t="s">
        <v>60</v>
      </c>
      <c r="L1142" t="s">
        <v>28</v>
      </c>
      <c r="M1142" t="s">
        <v>56</v>
      </c>
      <c r="N1142">
        <v>3190.7</v>
      </c>
    </row>
    <row r="1143" spans="1:14" x14ac:dyDescent="0.35">
      <c r="A1143" s="2">
        <v>45169</v>
      </c>
      <c r="B1143" t="s">
        <v>459</v>
      </c>
      <c r="C1143" t="s">
        <v>21</v>
      </c>
      <c r="D1143" t="s">
        <v>52</v>
      </c>
      <c r="E1143" t="s">
        <v>92</v>
      </c>
      <c r="F1143">
        <v>3</v>
      </c>
      <c r="G1143">
        <v>262.7</v>
      </c>
      <c r="H1143" t="s">
        <v>24</v>
      </c>
      <c r="I1143" t="s">
        <v>1863</v>
      </c>
      <c r="J1143" t="s">
        <v>26</v>
      </c>
      <c r="K1143" t="s">
        <v>38</v>
      </c>
      <c r="L1143" t="s">
        <v>66</v>
      </c>
      <c r="M1143" t="s">
        <v>56</v>
      </c>
      <c r="N1143">
        <v>788.09999999999991</v>
      </c>
    </row>
    <row r="1144" spans="1:14" x14ac:dyDescent="0.35">
      <c r="A1144" s="2">
        <v>45739</v>
      </c>
      <c r="B1144" t="s">
        <v>550</v>
      </c>
      <c r="C1144" t="s">
        <v>51</v>
      </c>
      <c r="D1144" t="s">
        <v>33</v>
      </c>
      <c r="E1144" t="s">
        <v>23</v>
      </c>
      <c r="F1144">
        <v>4</v>
      </c>
      <c r="G1144">
        <v>263.38</v>
      </c>
      <c r="H1144" t="s">
        <v>64</v>
      </c>
      <c r="I1144" t="s">
        <v>1864</v>
      </c>
      <c r="J1144" t="s">
        <v>97</v>
      </c>
      <c r="K1144" t="s">
        <v>38</v>
      </c>
      <c r="L1144" t="s">
        <v>39</v>
      </c>
      <c r="M1144" t="s">
        <v>101</v>
      </c>
      <c r="N1144">
        <v>1053.52</v>
      </c>
    </row>
    <row r="1145" spans="1:14" x14ac:dyDescent="0.35">
      <c r="A1145" s="2">
        <v>45582</v>
      </c>
      <c r="B1145" t="s">
        <v>1055</v>
      </c>
      <c r="C1145" t="s">
        <v>21</v>
      </c>
      <c r="D1145" t="s">
        <v>22</v>
      </c>
      <c r="E1145" t="s">
        <v>43</v>
      </c>
      <c r="F1145">
        <v>7</v>
      </c>
      <c r="G1145">
        <v>85.46</v>
      </c>
      <c r="H1145" t="s">
        <v>35</v>
      </c>
      <c r="I1145" t="s">
        <v>1865</v>
      </c>
      <c r="J1145" t="s">
        <v>37</v>
      </c>
      <c r="K1145" t="s">
        <v>27</v>
      </c>
      <c r="L1145" t="s">
        <v>39</v>
      </c>
      <c r="M1145" t="s">
        <v>56</v>
      </c>
      <c r="N1145">
        <v>598.21999999999991</v>
      </c>
    </row>
    <row r="1146" spans="1:14" x14ac:dyDescent="0.35">
      <c r="A1146" s="2">
        <v>45691</v>
      </c>
      <c r="B1146" t="s">
        <v>488</v>
      </c>
      <c r="C1146" t="s">
        <v>86</v>
      </c>
      <c r="D1146" t="s">
        <v>42</v>
      </c>
      <c r="E1146" t="s">
        <v>23</v>
      </c>
      <c r="F1146">
        <v>8</v>
      </c>
      <c r="G1146">
        <v>10.89</v>
      </c>
      <c r="H1146" t="s">
        <v>44</v>
      </c>
      <c r="I1146" t="s">
        <v>1866</v>
      </c>
      <c r="J1146" t="s">
        <v>26</v>
      </c>
      <c r="K1146" t="s">
        <v>78</v>
      </c>
      <c r="L1146" t="s">
        <v>39</v>
      </c>
      <c r="M1146" t="s">
        <v>29</v>
      </c>
      <c r="N1146">
        <v>87.12</v>
      </c>
    </row>
    <row r="1147" spans="1:14" x14ac:dyDescent="0.35">
      <c r="A1147" s="2">
        <v>45066</v>
      </c>
      <c r="B1147" t="s">
        <v>493</v>
      </c>
      <c r="C1147" t="s">
        <v>71</v>
      </c>
      <c r="D1147" t="s">
        <v>33</v>
      </c>
      <c r="E1147" t="s">
        <v>53</v>
      </c>
      <c r="F1147">
        <v>10</v>
      </c>
      <c r="G1147">
        <v>289.08999999999997</v>
      </c>
      <c r="H1147" t="s">
        <v>64</v>
      </c>
      <c r="I1147" t="s">
        <v>1867</v>
      </c>
      <c r="J1147" t="s">
        <v>26</v>
      </c>
      <c r="K1147" t="s">
        <v>38</v>
      </c>
      <c r="L1147" t="s">
        <v>28</v>
      </c>
      <c r="M1147" t="s">
        <v>79</v>
      </c>
      <c r="N1147">
        <v>2890.9</v>
      </c>
    </row>
    <row r="1148" spans="1:14" x14ac:dyDescent="0.35">
      <c r="A1148" s="2">
        <v>45555</v>
      </c>
      <c r="B1148" t="s">
        <v>1156</v>
      </c>
      <c r="C1148" t="s">
        <v>51</v>
      </c>
      <c r="D1148" t="s">
        <v>22</v>
      </c>
      <c r="E1148" t="s">
        <v>43</v>
      </c>
      <c r="F1148">
        <v>10</v>
      </c>
      <c r="G1148">
        <v>393.44</v>
      </c>
      <c r="H1148" t="s">
        <v>35</v>
      </c>
      <c r="I1148" t="s">
        <v>1868</v>
      </c>
      <c r="J1148" t="s">
        <v>26</v>
      </c>
      <c r="K1148" t="s">
        <v>27</v>
      </c>
      <c r="L1148" t="s">
        <v>66</v>
      </c>
      <c r="M1148" t="s">
        <v>61</v>
      </c>
      <c r="N1148">
        <v>3934.4</v>
      </c>
    </row>
    <row r="1149" spans="1:14" x14ac:dyDescent="0.35">
      <c r="A1149" s="2">
        <v>45650</v>
      </c>
      <c r="B1149" t="s">
        <v>1869</v>
      </c>
      <c r="C1149" t="s">
        <v>71</v>
      </c>
      <c r="D1149" t="s">
        <v>42</v>
      </c>
      <c r="E1149" t="s">
        <v>92</v>
      </c>
      <c r="F1149">
        <v>7</v>
      </c>
      <c r="G1149">
        <v>186.42</v>
      </c>
      <c r="H1149" t="s">
        <v>24</v>
      </c>
      <c r="I1149" t="s">
        <v>1870</v>
      </c>
      <c r="J1149" t="s">
        <v>37</v>
      </c>
      <c r="K1149" t="s">
        <v>27</v>
      </c>
      <c r="L1149" t="s">
        <v>39</v>
      </c>
      <c r="M1149" t="s">
        <v>49</v>
      </c>
      <c r="N1149">
        <v>1304.94</v>
      </c>
    </row>
    <row r="1150" spans="1:14" x14ac:dyDescent="0.35">
      <c r="A1150" s="2">
        <v>45280</v>
      </c>
      <c r="B1150" t="s">
        <v>222</v>
      </c>
      <c r="C1150" t="s">
        <v>71</v>
      </c>
      <c r="D1150" t="s">
        <v>33</v>
      </c>
      <c r="E1150" t="s">
        <v>23</v>
      </c>
      <c r="F1150">
        <v>7</v>
      </c>
      <c r="G1150">
        <v>284.08</v>
      </c>
      <c r="H1150" t="s">
        <v>35</v>
      </c>
      <c r="I1150" t="s">
        <v>1871</v>
      </c>
      <c r="J1150" t="s">
        <v>55</v>
      </c>
      <c r="K1150" t="s">
        <v>78</v>
      </c>
      <c r="L1150" t="s">
        <v>28</v>
      </c>
      <c r="M1150" t="s">
        <v>67</v>
      </c>
      <c r="N1150">
        <v>1988.56</v>
      </c>
    </row>
    <row r="1151" spans="1:14" x14ac:dyDescent="0.35">
      <c r="A1151" s="2">
        <v>45580</v>
      </c>
      <c r="B1151" t="s">
        <v>149</v>
      </c>
      <c r="C1151" t="s">
        <v>71</v>
      </c>
      <c r="D1151" t="s">
        <v>52</v>
      </c>
      <c r="E1151" t="s">
        <v>34</v>
      </c>
      <c r="F1151">
        <v>7</v>
      </c>
      <c r="G1151">
        <v>244.27</v>
      </c>
      <c r="H1151" t="s">
        <v>24</v>
      </c>
      <c r="I1151" t="s">
        <v>1872</v>
      </c>
      <c r="J1151" t="s">
        <v>37</v>
      </c>
      <c r="K1151" t="s">
        <v>27</v>
      </c>
      <c r="L1151" t="s">
        <v>39</v>
      </c>
      <c r="M1151" t="s">
        <v>49</v>
      </c>
      <c r="N1151">
        <v>1709.89</v>
      </c>
    </row>
    <row r="1152" spans="1:14" x14ac:dyDescent="0.35">
      <c r="A1152" s="2">
        <v>45625</v>
      </c>
      <c r="B1152" t="s">
        <v>309</v>
      </c>
      <c r="C1152" t="s">
        <v>21</v>
      </c>
      <c r="D1152" t="s">
        <v>52</v>
      </c>
      <c r="E1152" t="s">
        <v>53</v>
      </c>
      <c r="F1152">
        <v>1</v>
      </c>
      <c r="G1152">
        <v>58.12</v>
      </c>
      <c r="H1152" t="s">
        <v>35</v>
      </c>
      <c r="I1152" t="s">
        <v>1873</v>
      </c>
      <c r="J1152" t="s">
        <v>37</v>
      </c>
      <c r="K1152" t="s">
        <v>38</v>
      </c>
      <c r="L1152" t="s">
        <v>39</v>
      </c>
      <c r="M1152" t="s">
        <v>61</v>
      </c>
      <c r="N1152">
        <v>58.12</v>
      </c>
    </row>
    <row r="1153" spans="1:14" x14ac:dyDescent="0.35">
      <c r="A1153" s="2">
        <v>45400</v>
      </c>
      <c r="B1153" t="s">
        <v>646</v>
      </c>
      <c r="C1153" t="s">
        <v>51</v>
      </c>
      <c r="D1153" t="s">
        <v>52</v>
      </c>
      <c r="E1153" t="s">
        <v>53</v>
      </c>
      <c r="F1153">
        <v>4</v>
      </c>
      <c r="G1153">
        <v>296.7</v>
      </c>
      <c r="H1153" t="s">
        <v>58</v>
      </c>
      <c r="I1153" t="s">
        <v>1874</v>
      </c>
      <c r="J1153" t="s">
        <v>55</v>
      </c>
      <c r="K1153" t="s">
        <v>27</v>
      </c>
      <c r="L1153" t="s">
        <v>28</v>
      </c>
      <c r="M1153" t="s">
        <v>56</v>
      </c>
      <c r="N1153">
        <v>1186.8</v>
      </c>
    </row>
    <row r="1154" spans="1:14" x14ac:dyDescent="0.35">
      <c r="A1154" s="2">
        <v>45052</v>
      </c>
      <c r="B1154" t="s">
        <v>1875</v>
      </c>
      <c r="C1154" t="s">
        <v>21</v>
      </c>
      <c r="D1154" t="s">
        <v>52</v>
      </c>
      <c r="E1154" t="s">
        <v>63</v>
      </c>
      <c r="F1154">
        <v>8</v>
      </c>
      <c r="G1154">
        <v>113.49</v>
      </c>
      <c r="H1154" t="s">
        <v>35</v>
      </c>
      <c r="I1154" t="s">
        <v>1876</v>
      </c>
      <c r="J1154" t="s">
        <v>94</v>
      </c>
      <c r="K1154" t="s">
        <v>60</v>
      </c>
      <c r="L1154" t="s">
        <v>28</v>
      </c>
      <c r="M1154" t="s">
        <v>79</v>
      </c>
      <c r="N1154">
        <v>907.92</v>
      </c>
    </row>
    <row r="1155" spans="1:14" x14ac:dyDescent="0.35">
      <c r="A1155" s="2">
        <v>45314</v>
      </c>
      <c r="B1155" t="s">
        <v>1649</v>
      </c>
      <c r="C1155" t="s">
        <v>74</v>
      </c>
      <c r="D1155" t="s">
        <v>52</v>
      </c>
      <c r="E1155" t="s">
        <v>53</v>
      </c>
      <c r="F1155">
        <v>3</v>
      </c>
      <c r="G1155">
        <v>170.52</v>
      </c>
      <c r="H1155" t="s">
        <v>24</v>
      </c>
      <c r="I1155" t="s">
        <v>1877</v>
      </c>
      <c r="J1155" t="s">
        <v>37</v>
      </c>
      <c r="K1155" t="s">
        <v>27</v>
      </c>
      <c r="L1155" t="s">
        <v>66</v>
      </c>
      <c r="M1155" t="s">
        <v>49</v>
      </c>
      <c r="N1155">
        <v>511.56000000000012</v>
      </c>
    </row>
    <row r="1156" spans="1:14" x14ac:dyDescent="0.35">
      <c r="A1156" s="2">
        <v>45775</v>
      </c>
      <c r="B1156" t="s">
        <v>1510</v>
      </c>
      <c r="C1156" t="s">
        <v>81</v>
      </c>
      <c r="D1156" t="s">
        <v>42</v>
      </c>
      <c r="E1156" t="s">
        <v>53</v>
      </c>
      <c r="F1156">
        <v>5</v>
      </c>
      <c r="G1156">
        <v>90.6</v>
      </c>
      <c r="H1156" t="s">
        <v>58</v>
      </c>
      <c r="I1156" t="s">
        <v>1878</v>
      </c>
      <c r="J1156" t="s">
        <v>55</v>
      </c>
      <c r="K1156" t="s">
        <v>78</v>
      </c>
      <c r="L1156" t="s">
        <v>66</v>
      </c>
      <c r="M1156" t="s">
        <v>29</v>
      </c>
      <c r="N1156">
        <v>453</v>
      </c>
    </row>
    <row r="1157" spans="1:14" x14ac:dyDescent="0.35">
      <c r="A1157" s="2">
        <v>45784</v>
      </c>
      <c r="B1157" t="s">
        <v>495</v>
      </c>
      <c r="C1157" t="s">
        <v>71</v>
      </c>
      <c r="D1157" t="s">
        <v>33</v>
      </c>
      <c r="E1157" t="s">
        <v>92</v>
      </c>
      <c r="F1157">
        <v>3</v>
      </c>
      <c r="G1157">
        <v>91.49</v>
      </c>
      <c r="H1157" t="s">
        <v>64</v>
      </c>
      <c r="I1157" t="s">
        <v>1879</v>
      </c>
      <c r="J1157" t="s">
        <v>26</v>
      </c>
      <c r="K1157" t="s">
        <v>27</v>
      </c>
      <c r="L1157" t="s">
        <v>28</v>
      </c>
      <c r="M1157" t="s">
        <v>67</v>
      </c>
      <c r="N1157">
        <v>274.47000000000003</v>
      </c>
    </row>
    <row r="1158" spans="1:14" x14ac:dyDescent="0.35">
      <c r="A1158" s="2">
        <v>44938</v>
      </c>
      <c r="B1158" t="s">
        <v>1485</v>
      </c>
      <c r="C1158" t="s">
        <v>86</v>
      </c>
      <c r="D1158" t="s">
        <v>52</v>
      </c>
      <c r="E1158" t="s">
        <v>83</v>
      </c>
      <c r="F1158">
        <v>1</v>
      </c>
      <c r="G1158">
        <v>310.38</v>
      </c>
      <c r="H1158" t="s">
        <v>58</v>
      </c>
      <c r="I1158" t="s">
        <v>1880</v>
      </c>
      <c r="J1158" t="s">
        <v>55</v>
      </c>
      <c r="K1158" t="s">
        <v>78</v>
      </c>
      <c r="L1158" t="s">
        <v>28</v>
      </c>
      <c r="M1158" t="s">
        <v>56</v>
      </c>
      <c r="N1158">
        <v>310.38</v>
      </c>
    </row>
    <row r="1159" spans="1:14" x14ac:dyDescent="0.35">
      <c r="A1159" s="2">
        <v>45538</v>
      </c>
      <c r="B1159" t="s">
        <v>1881</v>
      </c>
      <c r="C1159" t="s">
        <v>86</v>
      </c>
      <c r="D1159" t="s">
        <v>22</v>
      </c>
      <c r="E1159" t="s">
        <v>92</v>
      </c>
      <c r="F1159">
        <v>5</v>
      </c>
      <c r="G1159">
        <v>141.82</v>
      </c>
      <c r="H1159" t="s">
        <v>35</v>
      </c>
      <c r="I1159" t="s">
        <v>1882</v>
      </c>
      <c r="J1159" t="s">
        <v>94</v>
      </c>
      <c r="K1159" t="s">
        <v>38</v>
      </c>
      <c r="L1159" t="s">
        <v>39</v>
      </c>
      <c r="M1159" t="s">
        <v>49</v>
      </c>
      <c r="N1159">
        <v>709.09999999999991</v>
      </c>
    </row>
    <row r="1160" spans="1:14" x14ac:dyDescent="0.35">
      <c r="A1160" s="2">
        <v>45407</v>
      </c>
      <c r="B1160" t="s">
        <v>1386</v>
      </c>
      <c r="C1160" t="s">
        <v>81</v>
      </c>
      <c r="D1160" t="s">
        <v>33</v>
      </c>
      <c r="E1160" t="s">
        <v>34</v>
      </c>
      <c r="F1160">
        <v>3</v>
      </c>
      <c r="G1160">
        <v>306.64999999999998</v>
      </c>
      <c r="H1160" t="s">
        <v>58</v>
      </c>
      <c r="I1160" t="s">
        <v>1883</v>
      </c>
      <c r="J1160" t="s">
        <v>26</v>
      </c>
      <c r="K1160" t="s">
        <v>60</v>
      </c>
      <c r="L1160" t="s">
        <v>28</v>
      </c>
      <c r="M1160" t="s">
        <v>56</v>
      </c>
      <c r="N1160">
        <v>919.94999999999993</v>
      </c>
    </row>
    <row r="1161" spans="1:14" x14ac:dyDescent="0.35">
      <c r="A1161" s="2">
        <v>45246</v>
      </c>
      <c r="B1161" t="s">
        <v>1884</v>
      </c>
      <c r="C1161" t="s">
        <v>74</v>
      </c>
      <c r="D1161" t="s">
        <v>52</v>
      </c>
      <c r="E1161" t="s">
        <v>92</v>
      </c>
      <c r="F1161">
        <v>4</v>
      </c>
      <c r="G1161">
        <v>380.96</v>
      </c>
      <c r="H1161" t="s">
        <v>58</v>
      </c>
      <c r="I1161" t="s">
        <v>1885</v>
      </c>
      <c r="J1161" t="s">
        <v>97</v>
      </c>
      <c r="K1161" t="s">
        <v>27</v>
      </c>
      <c r="L1161" t="s">
        <v>28</v>
      </c>
      <c r="M1161" t="s">
        <v>56</v>
      </c>
      <c r="N1161">
        <v>1523.84</v>
      </c>
    </row>
    <row r="1162" spans="1:14" x14ac:dyDescent="0.35">
      <c r="A1162" s="2">
        <v>45637</v>
      </c>
      <c r="B1162" t="s">
        <v>1886</v>
      </c>
      <c r="C1162" t="s">
        <v>47</v>
      </c>
      <c r="D1162" t="s">
        <v>22</v>
      </c>
      <c r="E1162" t="s">
        <v>92</v>
      </c>
      <c r="F1162">
        <v>1</v>
      </c>
      <c r="G1162">
        <v>183.95</v>
      </c>
      <c r="H1162" t="s">
        <v>35</v>
      </c>
      <c r="I1162" t="s">
        <v>1887</v>
      </c>
      <c r="J1162" t="s">
        <v>26</v>
      </c>
      <c r="K1162" t="s">
        <v>27</v>
      </c>
      <c r="L1162" t="s">
        <v>39</v>
      </c>
      <c r="M1162" t="s">
        <v>67</v>
      </c>
      <c r="N1162">
        <v>183.95</v>
      </c>
    </row>
    <row r="1163" spans="1:14" x14ac:dyDescent="0.35">
      <c r="A1163" s="2">
        <v>45735</v>
      </c>
      <c r="B1163" t="s">
        <v>1888</v>
      </c>
      <c r="C1163" t="s">
        <v>74</v>
      </c>
      <c r="D1163" t="s">
        <v>42</v>
      </c>
      <c r="E1163" t="s">
        <v>63</v>
      </c>
      <c r="F1163">
        <v>7</v>
      </c>
      <c r="G1163">
        <v>265</v>
      </c>
      <c r="H1163" t="s">
        <v>44</v>
      </c>
      <c r="I1163" t="s">
        <v>1889</v>
      </c>
      <c r="J1163" t="s">
        <v>55</v>
      </c>
      <c r="K1163" t="s">
        <v>78</v>
      </c>
      <c r="L1163" t="s">
        <v>66</v>
      </c>
      <c r="M1163" t="s">
        <v>67</v>
      </c>
      <c r="N1163">
        <v>1855</v>
      </c>
    </row>
    <row r="1164" spans="1:14" x14ac:dyDescent="0.35">
      <c r="A1164" s="2">
        <v>45655</v>
      </c>
      <c r="B1164" t="s">
        <v>1299</v>
      </c>
      <c r="C1164" t="s">
        <v>71</v>
      </c>
      <c r="D1164" t="s">
        <v>42</v>
      </c>
      <c r="E1164" t="s">
        <v>43</v>
      </c>
      <c r="F1164">
        <v>8</v>
      </c>
      <c r="G1164">
        <v>270.64</v>
      </c>
      <c r="H1164" t="s">
        <v>44</v>
      </c>
      <c r="I1164" t="s">
        <v>1890</v>
      </c>
      <c r="J1164" t="s">
        <v>26</v>
      </c>
      <c r="K1164" t="s">
        <v>38</v>
      </c>
      <c r="L1164" t="s">
        <v>28</v>
      </c>
      <c r="M1164" t="s">
        <v>101</v>
      </c>
      <c r="N1164">
        <v>2165.12</v>
      </c>
    </row>
    <row r="1165" spans="1:14" x14ac:dyDescent="0.35">
      <c r="A1165" s="2">
        <v>45266</v>
      </c>
      <c r="B1165" t="s">
        <v>545</v>
      </c>
      <c r="C1165" t="s">
        <v>51</v>
      </c>
      <c r="D1165" t="s">
        <v>22</v>
      </c>
      <c r="E1165" t="s">
        <v>23</v>
      </c>
      <c r="F1165">
        <v>1</v>
      </c>
      <c r="G1165">
        <v>313.58999999999997</v>
      </c>
      <c r="H1165" t="s">
        <v>44</v>
      </c>
      <c r="I1165" t="s">
        <v>1891</v>
      </c>
      <c r="J1165" t="s">
        <v>94</v>
      </c>
      <c r="K1165" t="s">
        <v>78</v>
      </c>
      <c r="L1165" t="s">
        <v>39</v>
      </c>
      <c r="M1165" t="s">
        <v>67</v>
      </c>
      <c r="N1165">
        <v>313.58999999999997</v>
      </c>
    </row>
    <row r="1166" spans="1:14" x14ac:dyDescent="0.35">
      <c r="A1166" s="2">
        <v>45590</v>
      </c>
      <c r="B1166" t="s">
        <v>1892</v>
      </c>
      <c r="C1166" t="s">
        <v>21</v>
      </c>
      <c r="D1166" t="s">
        <v>42</v>
      </c>
      <c r="E1166" t="s">
        <v>43</v>
      </c>
      <c r="F1166">
        <v>2</v>
      </c>
      <c r="G1166">
        <v>92.83</v>
      </c>
      <c r="H1166" t="s">
        <v>44</v>
      </c>
      <c r="I1166" t="s">
        <v>1893</v>
      </c>
      <c r="J1166" t="s">
        <v>97</v>
      </c>
      <c r="K1166" t="s">
        <v>38</v>
      </c>
      <c r="L1166" t="s">
        <v>28</v>
      </c>
      <c r="M1166" t="s">
        <v>61</v>
      </c>
      <c r="N1166">
        <v>185.66</v>
      </c>
    </row>
    <row r="1167" spans="1:14" x14ac:dyDescent="0.35">
      <c r="A1167" s="2">
        <v>45657</v>
      </c>
      <c r="B1167" t="s">
        <v>234</v>
      </c>
      <c r="C1167" t="s">
        <v>47</v>
      </c>
      <c r="D1167" t="s">
        <v>22</v>
      </c>
      <c r="E1167" t="s">
        <v>34</v>
      </c>
      <c r="F1167">
        <v>8</v>
      </c>
      <c r="G1167">
        <v>12.45</v>
      </c>
      <c r="H1167" t="s">
        <v>35</v>
      </c>
      <c r="I1167" t="s">
        <v>1894</v>
      </c>
      <c r="J1167" t="s">
        <v>26</v>
      </c>
      <c r="K1167" t="s">
        <v>38</v>
      </c>
      <c r="L1167" t="s">
        <v>39</v>
      </c>
      <c r="M1167" t="s">
        <v>49</v>
      </c>
      <c r="N1167">
        <v>99.6</v>
      </c>
    </row>
    <row r="1168" spans="1:14" x14ac:dyDescent="0.35">
      <c r="A1168" s="2">
        <v>45631</v>
      </c>
      <c r="B1168" t="s">
        <v>296</v>
      </c>
      <c r="C1168" t="s">
        <v>86</v>
      </c>
      <c r="D1168" t="s">
        <v>33</v>
      </c>
      <c r="E1168" t="s">
        <v>34</v>
      </c>
      <c r="F1168">
        <v>5</v>
      </c>
      <c r="G1168">
        <v>101.99</v>
      </c>
      <c r="H1168" t="s">
        <v>64</v>
      </c>
      <c r="I1168" t="s">
        <v>1895</v>
      </c>
      <c r="J1168" t="s">
        <v>94</v>
      </c>
      <c r="K1168" t="s">
        <v>27</v>
      </c>
      <c r="L1168" t="s">
        <v>28</v>
      </c>
      <c r="M1168" t="s">
        <v>56</v>
      </c>
      <c r="N1168">
        <v>509.95</v>
      </c>
    </row>
    <row r="1169" spans="1:14" x14ac:dyDescent="0.35">
      <c r="A1169" s="2">
        <v>45533</v>
      </c>
      <c r="B1169" t="s">
        <v>740</v>
      </c>
      <c r="C1169" t="s">
        <v>106</v>
      </c>
      <c r="D1169" t="s">
        <v>33</v>
      </c>
      <c r="E1169" t="s">
        <v>43</v>
      </c>
      <c r="F1169">
        <v>7</v>
      </c>
      <c r="G1169">
        <v>85.84</v>
      </c>
      <c r="H1169" t="s">
        <v>35</v>
      </c>
      <c r="I1169" t="s">
        <v>1896</v>
      </c>
      <c r="J1169" t="s">
        <v>97</v>
      </c>
      <c r="K1169" t="s">
        <v>38</v>
      </c>
      <c r="L1169" t="s">
        <v>28</v>
      </c>
      <c r="M1169" t="s">
        <v>56</v>
      </c>
      <c r="N1169">
        <v>600.88</v>
      </c>
    </row>
    <row r="1170" spans="1:14" x14ac:dyDescent="0.35">
      <c r="A1170" s="2">
        <v>45462</v>
      </c>
      <c r="B1170" t="s">
        <v>719</v>
      </c>
      <c r="C1170" t="s">
        <v>89</v>
      </c>
      <c r="D1170" t="s">
        <v>42</v>
      </c>
      <c r="E1170" t="s">
        <v>34</v>
      </c>
      <c r="F1170">
        <v>10</v>
      </c>
      <c r="G1170">
        <v>36.18</v>
      </c>
      <c r="H1170" t="s">
        <v>35</v>
      </c>
      <c r="I1170" t="s">
        <v>1897</v>
      </c>
      <c r="J1170" t="s">
        <v>26</v>
      </c>
      <c r="K1170" t="s">
        <v>60</v>
      </c>
      <c r="L1170" t="s">
        <v>66</v>
      </c>
      <c r="M1170" t="s">
        <v>67</v>
      </c>
      <c r="N1170">
        <v>361.8</v>
      </c>
    </row>
    <row r="1171" spans="1:14" x14ac:dyDescent="0.35">
      <c r="A1171" s="2">
        <v>45484</v>
      </c>
      <c r="B1171" t="s">
        <v>1898</v>
      </c>
      <c r="C1171" t="s">
        <v>86</v>
      </c>
      <c r="D1171" t="s">
        <v>22</v>
      </c>
      <c r="E1171" t="s">
        <v>83</v>
      </c>
      <c r="F1171">
        <v>2</v>
      </c>
      <c r="G1171">
        <v>352.11</v>
      </c>
      <c r="H1171" t="s">
        <v>35</v>
      </c>
      <c r="I1171" t="s">
        <v>1899</v>
      </c>
      <c r="J1171" t="s">
        <v>55</v>
      </c>
      <c r="K1171" t="s">
        <v>78</v>
      </c>
      <c r="L1171" t="s">
        <v>28</v>
      </c>
      <c r="M1171" t="s">
        <v>56</v>
      </c>
      <c r="N1171">
        <v>704.22</v>
      </c>
    </row>
    <row r="1172" spans="1:14" x14ac:dyDescent="0.35">
      <c r="A1172" s="2">
        <v>45229</v>
      </c>
      <c r="B1172" t="s">
        <v>1344</v>
      </c>
      <c r="C1172" t="s">
        <v>71</v>
      </c>
      <c r="D1172" t="s">
        <v>22</v>
      </c>
      <c r="E1172" t="s">
        <v>34</v>
      </c>
      <c r="F1172">
        <v>2</v>
      </c>
      <c r="G1172">
        <v>376.14</v>
      </c>
      <c r="H1172" t="s">
        <v>58</v>
      </c>
      <c r="I1172" t="s">
        <v>1900</v>
      </c>
      <c r="J1172" t="s">
        <v>37</v>
      </c>
      <c r="K1172" t="s">
        <v>78</v>
      </c>
      <c r="L1172" t="s">
        <v>66</v>
      </c>
      <c r="M1172" t="s">
        <v>29</v>
      </c>
      <c r="N1172">
        <v>752.28</v>
      </c>
    </row>
    <row r="1173" spans="1:14" x14ac:dyDescent="0.35">
      <c r="A1173" s="2">
        <v>45774</v>
      </c>
      <c r="B1173" t="s">
        <v>459</v>
      </c>
      <c r="C1173" t="s">
        <v>106</v>
      </c>
      <c r="D1173" t="s">
        <v>42</v>
      </c>
      <c r="E1173" t="s">
        <v>53</v>
      </c>
      <c r="F1173">
        <v>1</v>
      </c>
      <c r="G1173">
        <v>301.39999999999998</v>
      </c>
      <c r="H1173" t="s">
        <v>24</v>
      </c>
      <c r="I1173" t="s">
        <v>1901</v>
      </c>
      <c r="J1173" t="s">
        <v>26</v>
      </c>
      <c r="K1173" t="s">
        <v>27</v>
      </c>
      <c r="L1173" t="s">
        <v>66</v>
      </c>
      <c r="M1173" t="s">
        <v>101</v>
      </c>
      <c r="N1173">
        <v>301.39999999999998</v>
      </c>
    </row>
    <row r="1174" spans="1:14" x14ac:dyDescent="0.35">
      <c r="A1174" s="2">
        <v>45461</v>
      </c>
      <c r="B1174" t="s">
        <v>1902</v>
      </c>
      <c r="C1174" t="s">
        <v>47</v>
      </c>
      <c r="D1174" t="s">
        <v>33</v>
      </c>
      <c r="E1174" t="s">
        <v>83</v>
      </c>
      <c r="F1174">
        <v>1</v>
      </c>
      <c r="G1174">
        <v>255.95</v>
      </c>
      <c r="H1174" t="s">
        <v>24</v>
      </c>
      <c r="I1174" t="s">
        <v>1903</v>
      </c>
      <c r="J1174" t="s">
        <v>26</v>
      </c>
      <c r="K1174" t="s">
        <v>78</v>
      </c>
      <c r="L1174" t="s">
        <v>66</v>
      </c>
      <c r="M1174" t="s">
        <v>49</v>
      </c>
      <c r="N1174">
        <v>255.95</v>
      </c>
    </row>
    <row r="1175" spans="1:14" x14ac:dyDescent="0.35">
      <c r="A1175" s="2">
        <v>45336</v>
      </c>
      <c r="B1175" t="s">
        <v>222</v>
      </c>
      <c r="C1175" t="s">
        <v>106</v>
      </c>
      <c r="D1175" t="s">
        <v>52</v>
      </c>
      <c r="E1175" t="s">
        <v>53</v>
      </c>
      <c r="F1175">
        <v>10</v>
      </c>
      <c r="G1175">
        <v>159.59</v>
      </c>
      <c r="H1175" t="s">
        <v>44</v>
      </c>
      <c r="I1175" t="s">
        <v>1904</v>
      </c>
      <c r="J1175" t="s">
        <v>55</v>
      </c>
      <c r="K1175" t="s">
        <v>60</v>
      </c>
      <c r="L1175" t="s">
        <v>28</v>
      </c>
      <c r="M1175" t="s">
        <v>67</v>
      </c>
      <c r="N1175">
        <v>1595.9</v>
      </c>
    </row>
    <row r="1176" spans="1:14" x14ac:dyDescent="0.35">
      <c r="A1176" s="2">
        <v>44955</v>
      </c>
      <c r="B1176" t="s">
        <v>1645</v>
      </c>
      <c r="C1176" t="s">
        <v>81</v>
      </c>
      <c r="D1176" t="s">
        <v>33</v>
      </c>
      <c r="E1176" t="s">
        <v>34</v>
      </c>
      <c r="F1176">
        <v>4</v>
      </c>
      <c r="G1176">
        <v>104.77</v>
      </c>
      <c r="H1176" t="s">
        <v>44</v>
      </c>
      <c r="I1176" t="s">
        <v>1905</v>
      </c>
      <c r="J1176" t="s">
        <v>55</v>
      </c>
      <c r="K1176" t="s">
        <v>27</v>
      </c>
      <c r="L1176" t="s">
        <v>39</v>
      </c>
      <c r="M1176" t="s">
        <v>101</v>
      </c>
      <c r="N1176">
        <v>419.08</v>
      </c>
    </row>
    <row r="1177" spans="1:14" x14ac:dyDescent="0.35">
      <c r="A1177" s="2">
        <v>45034</v>
      </c>
      <c r="B1177" t="s">
        <v>536</v>
      </c>
      <c r="C1177" t="s">
        <v>51</v>
      </c>
      <c r="D1177" t="s">
        <v>42</v>
      </c>
      <c r="E1177" t="s">
        <v>34</v>
      </c>
      <c r="F1177">
        <v>8</v>
      </c>
      <c r="G1177">
        <v>342.27</v>
      </c>
      <c r="H1177" t="s">
        <v>24</v>
      </c>
      <c r="I1177" t="s">
        <v>1906</v>
      </c>
      <c r="J1177" t="s">
        <v>55</v>
      </c>
      <c r="K1177" t="s">
        <v>60</v>
      </c>
      <c r="L1177" t="s">
        <v>66</v>
      </c>
      <c r="M1177" t="s">
        <v>49</v>
      </c>
      <c r="N1177">
        <v>2738.16</v>
      </c>
    </row>
    <row r="1178" spans="1:14" x14ac:dyDescent="0.35">
      <c r="A1178" s="2">
        <v>45574</v>
      </c>
      <c r="B1178" t="s">
        <v>102</v>
      </c>
      <c r="C1178" t="s">
        <v>47</v>
      </c>
      <c r="D1178" t="s">
        <v>22</v>
      </c>
      <c r="E1178" t="s">
        <v>23</v>
      </c>
      <c r="F1178">
        <v>6</v>
      </c>
      <c r="G1178">
        <v>100.27</v>
      </c>
      <c r="H1178" t="s">
        <v>64</v>
      </c>
      <c r="I1178" t="s">
        <v>1907</v>
      </c>
      <c r="J1178" t="s">
        <v>97</v>
      </c>
      <c r="K1178" t="s">
        <v>38</v>
      </c>
      <c r="L1178" t="s">
        <v>39</v>
      </c>
      <c r="M1178" t="s">
        <v>67</v>
      </c>
      <c r="N1178">
        <v>601.62</v>
      </c>
    </row>
    <row r="1179" spans="1:14" x14ac:dyDescent="0.35">
      <c r="A1179" s="2">
        <v>45515</v>
      </c>
      <c r="B1179" t="s">
        <v>953</v>
      </c>
      <c r="C1179" t="s">
        <v>74</v>
      </c>
      <c r="D1179" t="s">
        <v>22</v>
      </c>
      <c r="E1179" t="s">
        <v>53</v>
      </c>
      <c r="F1179">
        <v>2</v>
      </c>
      <c r="G1179">
        <v>363.67</v>
      </c>
      <c r="H1179" t="s">
        <v>64</v>
      </c>
      <c r="I1179" t="s">
        <v>1908</v>
      </c>
      <c r="J1179" t="s">
        <v>97</v>
      </c>
      <c r="K1179" t="s">
        <v>27</v>
      </c>
      <c r="L1179" t="s">
        <v>28</v>
      </c>
      <c r="M1179" t="s">
        <v>101</v>
      </c>
      <c r="N1179">
        <v>727.34</v>
      </c>
    </row>
    <row r="1180" spans="1:14" x14ac:dyDescent="0.35">
      <c r="A1180" s="2">
        <v>45494</v>
      </c>
      <c r="B1180" t="s">
        <v>1909</v>
      </c>
      <c r="C1180" t="s">
        <v>89</v>
      </c>
      <c r="D1180" t="s">
        <v>42</v>
      </c>
      <c r="E1180" t="s">
        <v>63</v>
      </c>
      <c r="F1180">
        <v>7</v>
      </c>
      <c r="G1180">
        <v>63.5</v>
      </c>
      <c r="H1180" t="s">
        <v>64</v>
      </c>
      <c r="I1180" t="s">
        <v>1910</v>
      </c>
      <c r="J1180" t="s">
        <v>37</v>
      </c>
      <c r="K1180" t="s">
        <v>78</v>
      </c>
      <c r="L1180" t="s">
        <v>39</v>
      </c>
      <c r="M1180" t="s">
        <v>101</v>
      </c>
      <c r="N1180">
        <v>444.5</v>
      </c>
    </row>
    <row r="1181" spans="1:14" x14ac:dyDescent="0.35">
      <c r="A1181" s="2">
        <v>45373</v>
      </c>
      <c r="B1181" t="s">
        <v>1721</v>
      </c>
      <c r="C1181" t="s">
        <v>106</v>
      </c>
      <c r="D1181" t="s">
        <v>33</v>
      </c>
      <c r="E1181" t="s">
        <v>92</v>
      </c>
      <c r="F1181">
        <v>4</v>
      </c>
      <c r="G1181">
        <v>297.67</v>
      </c>
      <c r="H1181" t="s">
        <v>44</v>
      </c>
      <c r="I1181" t="s">
        <v>1911</v>
      </c>
      <c r="J1181" t="s">
        <v>97</v>
      </c>
      <c r="K1181" t="s">
        <v>27</v>
      </c>
      <c r="L1181" t="s">
        <v>28</v>
      </c>
      <c r="M1181" t="s">
        <v>61</v>
      </c>
      <c r="N1181">
        <v>1190.68</v>
      </c>
    </row>
    <row r="1182" spans="1:14" x14ac:dyDescent="0.35">
      <c r="A1182" s="2">
        <v>45702</v>
      </c>
      <c r="B1182" t="s">
        <v>70</v>
      </c>
      <c r="C1182" t="s">
        <v>89</v>
      </c>
      <c r="D1182" t="s">
        <v>33</v>
      </c>
      <c r="E1182" t="s">
        <v>63</v>
      </c>
      <c r="F1182">
        <v>1</v>
      </c>
      <c r="G1182">
        <v>25.56</v>
      </c>
      <c r="H1182" t="s">
        <v>44</v>
      </c>
      <c r="I1182" t="s">
        <v>1912</v>
      </c>
      <c r="J1182" t="s">
        <v>26</v>
      </c>
      <c r="K1182" t="s">
        <v>38</v>
      </c>
      <c r="L1182" t="s">
        <v>28</v>
      </c>
      <c r="M1182" t="s">
        <v>61</v>
      </c>
      <c r="N1182">
        <v>25.56</v>
      </c>
    </row>
    <row r="1183" spans="1:14" x14ac:dyDescent="0.35">
      <c r="A1183" s="2">
        <v>45465</v>
      </c>
      <c r="B1183" t="s">
        <v>1088</v>
      </c>
      <c r="C1183" t="s">
        <v>51</v>
      </c>
      <c r="D1183" t="s">
        <v>52</v>
      </c>
      <c r="E1183" t="s">
        <v>92</v>
      </c>
      <c r="F1183">
        <v>6</v>
      </c>
      <c r="G1183">
        <v>298.27999999999997</v>
      </c>
      <c r="H1183" t="s">
        <v>58</v>
      </c>
      <c r="I1183" t="s">
        <v>1913</v>
      </c>
      <c r="J1183" t="s">
        <v>26</v>
      </c>
      <c r="K1183" t="s">
        <v>60</v>
      </c>
      <c r="L1183" t="s">
        <v>66</v>
      </c>
      <c r="M1183" t="s">
        <v>79</v>
      </c>
      <c r="N1183">
        <v>1789.68</v>
      </c>
    </row>
    <row r="1184" spans="1:14" x14ac:dyDescent="0.35">
      <c r="A1184" s="2">
        <v>45359</v>
      </c>
      <c r="B1184" t="s">
        <v>1914</v>
      </c>
      <c r="C1184" t="s">
        <v>74</v>
      </c>
      <c r="D1184" t="s">
        <v>52</v>
      </c>
      <c r="E1184" t="s">
        <v>92</v>
      </c>
      <c r="F1184">
        <v>7</v>
      </c>
      <c r="G1184">
        <v>372.01</v>
      </c>
      <c r="H1184" t="s">
        <v>64</v>
      </c>
      <c r="I1184" t="s">
        <v>1915</v>
      </c>
      <c r="J1184" t="s">
        <v>37</v>
      </c>
      <c r="K1184" t="s">
        <v>60</v>
      </c>
      <c r="L1184" t="s">
        <v>28</v>
      </c>
      <c r="M1184" t="s">
        <v>61</v>
      </c>
      <c r="N1184">
        <v>2604.0700000000002</v>
      </c>
    </row>
    <row r="1185" spans="1:14" x14ac:dyDescent="0.35">
      <c r="A1185" s="2">
        <v>45224</v>
      </c>
      <c r="B1185" t="s">
        <v>189</v>
      </c>
      <c r="C1185" t="s">
        <v>47</v>
      </c>
      <c r="D1185" t="s">
        <v>22</v>
      </c>
      <c r="E1185" t="s">
        <v>92</v>
      </c>
      <c r="F1185">
        <v>1</v>
      </c>
      <c r="G1185">
        <v>117.04</v>
      </c>
      <c r="H1185" t="s">
        <v>44</v>
      </c>
      <c r="I1185" t="s">
        <v>1916</v>
      </c>
      <c r="J1185" t="s">
        <v>55</v>
      </c>
      <c r="K1185" t="s">
        <v>38</v>
      </c>
      <c r="L1185" t="s">
        <v>39</v>
      </c>
      <c r="M1185" t="s">
        <v>67</v>
      </c>
      <c r="N1185">
        <v>117.04</v>
      </c>
    </row>
    <row r="1186" spans="1:14" x14ac:dyDescent="0.35">
      <c r="A1186" s="2">
        <v>45788</v>
      </c>
      <c r="B1186" t="s">
        <v>127</v>
      </c>
      <c r="C1186" t="s">
        <v>89</v>
      </c>
      <c r="D1186" t="s">
        <v>33</v>
      </c>
      <c r="E1186" t="s">
        <v>53</v>
      </c>
      <c r="F1186">
        <v>6</v>
      </c>
      <c r="G1186">
        <v>153.29</v>
      </c>
      <c r="H1186" t="s">
        <v>35</v>
      </c>
      <c r="I1186" t="s">
        <v>1917</v>
      </c>
      <c r="J1186" t="s">
        <v>97</v>
      </c>
      <c r="K1186" t="s">
        <v>27</v>
      </c>
      <c r="L1186" t="s">
        <v>39</v>
      </c>
      <c r="M1186" t="s">
        <v>101</v>
      </c>
      <c r="N1186">
        <v>919.74</v>
      </c>
    </row>
    <row r="1187" spans="1:14" x14ac:dyDescent="0.35">
      <c r="A1187" s="2">
        <v>45476</v>
      </c>
      <c r="B1187" t="s">
        <v>1918</v>
      </c>
      <c r="C1187" t="s">
        <v>106</v>
      </c>
      <c r="D1187" t="s">
        <v>42</v>
      </c>
      <c r="E1187" t="s">
        <v>92</v>
      </c>
      <c r="F1187">
        <v>4</v>
      </c>
      <c r="G1187">
        <v>130.30000000000001</v>
      </c>
      <c r="H1187" t="s">
        <v>44</v>
      </c>
      <c r="I1187" t="s">
        <v>1919</v>
      </c>
      <c r="J1187" t="s">
        <v>37</v>
      </c>
      <c r="K1187" t="s">
        <v>27</v>
      </c>
      <c r="L1187" t="s">
        <v>66</v>
      </c>
      <c r="M1187" t="s">
        <v>67</v>
      </c>
      <c r="N1187">
        <v>521.20000000000005</v>
      </c>
    </row>
    <row r="1188" spans="1:14" x14ac:dyDescent="0.35">
      <c r="A1188" s="2">
        <v>45419</v>
      </c>
      <c r="B1188" t="s">
        <v>1920</v>
      </c>
      <c r="C1188" t="s">
        <v>41</v>
      </c>
      <c r="D1188" t="s">
        <v>33</v>
      </c>
      <c r="E1188" t="s">
        <v>43</v>
      </c>
      <c r="F1188">
        <v>8</v>
      </c>
      <c r="G1188">
        <v>263.16000000000003</v>
      </c>
      <c r="H1188" t="s">
        <v>44</v>
      </c>
      <c r="I1188" t="s">
        <v>1921</v>
      </c>
      <c r="J1188" t="s">
        <v>97</v>
      </c>
      <c r="K1188" t="s">
        <v>27</v>
      </c>
      <c r="L1188" t="s">
        <v>28</v>
      </c>
      <c r="M1188" t="s">
        <v>49</v>
      </c>
      <c r="N1188">
        <v>2105.2800000000002</v>
      </c>
    </row>
    <row r="1189" spans="1:14" x14ac:dyDescent="0.35">
      <c r="A1189" s="2">
        <v>45752</v>
      </c>
      <c r="B1189" t="s">
        <v>821</v>
      </c>
      <c r="C1189" t="s">
        <v>89</v>
      </c>
      <c r="D1189" t="s">
        <v>42</v>
      </c>
      <c r="E1189" t="s">
        <v>53</v>
      </c>
      <c r="F1189">
        <v>8</v>
      </c>
      <c r="G1189">
        <v>254.66</v>
      </c>
      <c r="H1189" t="s">
        <v>35</v>
      </c>
      <c r="I1189" t="s">
        <v>1922</v>
      </c>
      <c r="J1189" t="s">
        <v>37</v>
      </c>
      <c r="K1189" t="s">
        <v>38</v>
      </c>
      <c r="L1189" t="s">
        <v>28</v>
      </c>
      <c r="M1189" t="s">
        <v>79</v>
      </c>
      <c r="N1189">
        <v>2037.28</v>
      </c>
    </row>
    <row r="1190" spans="1:14" x14ac:dyDescent="0.35">
      <c r="A1190" s="2">
        <v>45472</v>
      </c>
      <c r="B1190" t="s">
        <v>1202</v>
      </c>
      <c r="C1190" t="s">
        <v>71</v>
      </c>
      <c r="D1190" t="s">
        <v>42</v>
      </c>
      <c r="E1190" t="s">
        <v>92</v>
      </c>
      <c r="F1190">
        <v>5</v>
      </c>
      <c r="G1190">
        <v>32.6</v>
      </c>
      <c r="H1190" t="s">
        <v>58</v>
      </c>
      <c r="I1190" t="s">
        <v>1923</v>
      </c>
      <c r="J1190" t="s">
        <v>37</v>
      </c>
      <c r="K1190" t="s">
        <v>27</v>
      </c>
      <c r="L1190" t="s">
        <v>39</v>
      </c>
      <c r="M1190" t="s">
        <v>79</v>
      </c>
      <c r="N1190">
        <v>163</v>
      </c>
    </row>
    <row r="1191" spans="1:14" x14ac:dyDescent="0.35">
      <c r="A1191" s="2">
        <v>45005</v>
      </c>
      <c r="B1191" t="s">
        <v>246</v>
      </c>
      <c r="C1191" t="s">
        <v>71</v>
      </c>
      <c r="D1191" t="s">
        <v>33</v>
      </c>
      <c r="E1191" t="s">
        <v>83</v>
      </c>
      <c r="F1191">
        <v>7</v>
      </c>
      <c r="G1191">
        <v>28.32</v>
      </c>
      <c r="H1191" t="s">
        <v>64</v>
      </c>
      <c r="I1191" t="s">
        <v>1924</v>
      </c>
      <c r="J1191" t="s">
        <v>97</v>
      </c>
      <c r="K1191" t="s">
        <v>38</v>
      </c>
      <c r="L1191" t="s">
        <v>39</v>
      </c>
      <c r="M1191" t="s">
        <v>29</v>
      </c>
      <c r="N1191">
        <v>198.24</v>
      </c>
    </row>
    <row r="1192" spans="1:14" x14ac:dyDescent="0.35">
      <c r="A1192" s="2">
        <v>45780</v>
      </c>
      <c r="B1192" t="s">
        <v>131</v>
      </c>
      <c r="C1192" t="s">
        <v>81</v>
      </c>
      <c r="D1192" t="s">
        <v>42</v>
      </c>
      <c r="E1192" t="s">
        <v>34</v>
      </c>
      <c r="F1192">
        <v>3</v>
      </c>
      <c r="G1192">
        <v>188.67</v>
      </c>
      <c r="H1192" t="s">
        <v>64</v>
      </c>
      <c r="I1192" t="s">
        <v>1925</v>
      </c>
      <c r="J1192" t="s">
        <v>55</v>
      </c>
      <c r="K1192" t="s">
        <v>27</v>
      </c>
      <c r="L1192" t="s">
        <v>66</v>
      </c>
      <c r="M1192" t="s">
        <v>79</v>
      </c>
      <c r="N1192">
        <v>566.01</v>
      </c>
    </row>
    <row r="1193" spans="1:14" x14ac:dyDescent="0.35">
      <c r="A1193" s="2">
        <v>45150</v>
      </c>
      <c r="B1193" t="s">
        <v>897</v>
      </c>
      <c r="C1193" t="s">
        <v>106</v>
      </c>
      <c r="D1193" t="s">
        <v>33</v>
      </c>
      <c r="E1193" t="s">
        <v>23</v>
      </c>
      <c r="F1193">
        <v>5</v>
      </c>
      <c r="G1193">
        <v>123.41</v>
      </c>
      <c r="H1193" t="s">
        <v>24</v>
      </c>
      <c r="I1193" t="s">
        <v>1926</v>
      </c>
      <c r="J1193" t="s">
        <v>94</v>
      </c>
      <c r="K1193" t="s">
        <v>38</v>
      </c>
      <c r="L1193" t="s">
        <v>39</v>
      </c>
      <c r="M1193" t="s">
        <v>79</v>
      </c>
      <c r="N1193">
        <v>617.04999999999995</v>
      </c>
    </row>
    <row r="1194" spans="1:14" x14ac:dyDescent="0.35">
      <c r="A1194" s="2">
        <v>45754</v>
      </c>
      <c r="B1194" t="s">
        <v>1419</v>
      </c>
      <c r="C1194" t="s">
        <v>41</v>
      </c>
      <c r="D1194" t="s">
        <v>42</v>
      </c>
      <c r="E1194" t="s">
        <v>53</v>
      </c>
      <c r="F1194">
        <v>4</v>
      </c>
      <c r="G1194">
        <v>296.67</v>
      </c>
      <c r="H1194" t="s">
        <v>64</v>
      </c>
      <c r="I1194" t="s">
        <v>1927</v>
      </c>
      <c r="J1194" t="s">
        <v>97</v>
      </c>
      <c r="K1194" t="s">
        <v>60</v>
      </c>
      <c r="L1194" t="s">
        <v>66</v>
      </c>
      <c r="M1194" t="s">
        <v>29</v>
      </c>
      <c r="N1194">
        <v>1186.68</v>
      </c>
    </row>
    <row r="1195" spans="1:14" x14ac:dyDescent="0.35">
      <c r="A1195" s="2">
        <v>45589</v>
      </c>
      <c r="B1195" t="s">
        <v>1928</v>
      </c>
      <c r="C1195" t="s">
        <v>89</v>
      </c>
      <c r="D1195" t="s">
        <v>52</v>
      </c>
      <c r="E1195" t="s">
        <v>43</v>
      </c>
      <c r="F1195">
        <v>8</v>
      </c>
      <c r="G1195">
        <v>205.08</v>
      </c>
      <c r="H1195" t="s">
        <v>64</v>
      </c>
      <c r="I1195" t="s">
        <v>1929</v>
      </c>
      <c r="J1195" t="s">
        <v>37</v>
      </c>
      <c r="K1195" t="s">
        <v>38</v>
      </c>
      <c r="L1195" t="s">
        <v>39</v>
      </c>
      <c r="M1195" t="s">
        <v>56</v>
      </c>
      <c r="N1195">
        <v>1640.64</v>
      </c>
    </row>
    <row r="1196" spans="1:14" x14ac:dyDescent="0.35">
      <c r="A1196" s="2">
        <v>45488</v>
      </c>
      <c r="B1196" t="s">
        <v>1930</v>
      </c>
      <c r="C1196" t="s">
        <v>81</v>
      </c>
      <c r="D1196" t="s">
        <v>42</v>
      </c>
      <c r="E1196" t="s">
        <v>83</v>
      </c>
      <c r="F1196">
        <v>1</v>
      </c>
      <c r="G1196">
        <v>61.21</v>
      </c>
      <c r="H1196" t="s">
        <v>64</v>
      </c>
      <c r="I1196" t="s">
        <v>1931</v>
      </c>
      <c r="J1196" t="s">
        <v>97</v>
      </c>
      <c r="K1196" t="s">
        <v>27</v>
      </c>
      <c r="L1196" t="s">
        <v>66</v>
      </c>
      <c r="M1196" t="s">
        <v>29</v>
      </c>
      <c r="N1196">
        <v>61.21</v>
      </c>
    </row>
    <row r="1197" spans="1:14" x14ac:dyDescent="0.35">
      <c r="A1197" s="2">
        <v>45440</v>
      </c>
      <c r="B1197" t="s">
        <v>859</v>
      </c>
      <c r="C1197" t="s">
        <v>41</v>
      </c>
      <c r="D1197" t="s">
        <v>33</v>
      </c>
      <c r="E1197" t="s">
        <v>23</v>
      </c>
      <c r="F1197">
        <v>8</v>
      </c>
      <c r="G1197">
        <v>160.44999999999999</v>
      </c>
      <c r="H1197" t="s">
        <v>58</v>
      </c>
      <c r="I1197" t="s">
        <v>1932</v>
      </c>
      <c r="J1197" t="s">
        <v>97</v>
      </c>
      <c r="K1197" t="s">
        <v>38</v>
      </c>
      <c r="L1197" t="s">
        <v>39</v>
      </c>
      <c r="M1197" t="s">
        <v>49</v>
      </c>
      <c r="N1197">
        <v>1283.5999999999999</v>
      </c>
    </row>
    <row r="1198" spans="1:14" x14ac:dyDescent="0.35">
      <c r="A1198" s="2">
        <v>45412</v>
      </c>
      <c r="B1198" t="s">
        <v>396</v>
      </c>
      <c r="C1198" t="s">
        <v>106</v>
      </c>
      <c r="D1198" t="s">
        <v>22</v>
      </c>
      <c r="E1198" t="s">
        <v>43</v>
      </c>
      <c r="F1198">
        <v>6</v>
      </c>
      <c r="G1198">
        <v>339.61</v>
      </c>
      <c r="H1198" t="s">
        <v>64</v>
      </c>
      <c r="I1198" t="s">
        <v>1933</v>
      </c>
      <c r="J1198" t="s">
        <v>55</v>
      </c>
      <c r="K1198" t="s">
        <v>27</v>
      </c>
      <c r="L1198" t="s">
        <v>66</v>
      </c>
      <c r="M1198" t="s">
        <v>49</v>
      </c>
      <c r="N1198">
        <v>2037.66</v>
      </c>
    </row>
    <row r="1199" spans="1:14" x14ac:dyDescent="0.35">
      <c r="A1199" s="2">
        <v>45571</v>
      </c>
      <c r="B1199" t="s">
        <v>746</v>
      </c>
      <c r="C1199" t="s">
        <v>106</v>
      </c>
      <c r="D1199" t="s">
        <v>42</v>
      </c>
      <c r="E1199" t="s">
        <v>63</v>
      </c>
      <c r="F1199">
        <v>7</v>
      </c>
      <c r="G1199">
        <v>136.57</v>
      </c>
      <c r="H1199" t="s">
        <v>64</v>
      </c>
      <c r="I1199" t="s">
        <v>1934</v>
      </c>
      <c r="J1199" t="s">
        <v>26</v>
      </c>
      <c r="K1199" t="s">
        <v>60</v>
      </c>
      <c r="L1199" t="s">
        <v>66</v>
      </c>
      <c r="M1199" t="s">
        <v>101</v>
      </c>
      <c r="N1199">
        <v>955.99</v>
      </c>
    </row>
    <row r="1200" spans="1:14" x14ac:dyDescent="0.35">
      <c r="A1200" s="2">
        <v>45463</v>
      </c>
      <c r="B1200" t="s">
        <v>287</v>
      </c>
      <c r="C1200" t="s">
        <v>81</v>
      </c>
      <c r="D1200" t="s">
        <v>33</v>
      </c>
      <c r="E1200" t="s">
        <v>92</v>
      </c>
      <c r="F1200">
        <v>5</v>
      </c>
      <c r="G1200">
        <v>117.18</v>
      </c>
      <c r="H1200" t="s">
        <v>35</v>
      </c>
      <c r="I1200" t="s">
        <v>1935</v>
      </c>
      <c r="J1200" t="s">
        <v>26</v>
      </c>
      <c r="K1200" t="s">
        <v>38</v>
      </c>
      <c r="L1200" t="s">
        <v>39</v>
      </c>
      <c r="M1200" t="s">
        <v>56</v>
      </c>
      <c r="N1200">
        <v>585.90000000000009</v>
      </c>
    </row>
    <row r="1201" spans="1:14" x14ac:dyDescent="0.35">
      <c r="A1201" s="2">
        <v>45269</v>
      </c>
      <c r="B1201" t="s">
        <v>1741</v>
      </c>
      <c r="C1201" t="s">
        <v>74</v>
      </c>
      <c r="D1201" t="s">
        <v>22</v>
      </c>
      <c r="E1201" t="s">
        <v>92</v>
      </c>
      <c r="F1201">
        <v>7</v>
      </c>
      <c r="G1201">
        <v>310.19</v>
      </c>
      <c r="H1201" t="s">
        <v>44</v>
      </c>
      <c r="I1201" t="s">
        <v>1936</v>
      </c>
      <c r="J1201" t="s">
        <v>94</v>
      </c>
      <c r="K1201" t="s">
        <v>60</v>
      </c>
      <c r="L1201" t="s">
        <v>39</v>
      </c>
      <c r="M1201" t="s">
        <v>79</v>
      </c>
      <c r="N1201">
        <v>2171.33</v>
      </c>
    </row>
    <row r="1202" spans="1:14" x14ac:dyDescent="0.35">
      <c r="A1202" s="2">
        <v>45590</v>
      </c>
      <c r="B1202" t="s">
        <v>538</v>
      </c>
      <c r="C1202" t="s">
        <v>21</v>
      </c>
      <c r="D1202" t="s">
        <v>42</v>
      </c>
      <c r="E1202" t="s">
        <v>34</v>
      </c>
      <c r="F1202">
        <v>5</v>
      </c>
      <c r="G1202">
        <v>143.27000000000001</v>
      </c>
      <c r="H1202" t="s">
        <v>44</v>
      </c>
      <c r="I1202" t="s">
        <v>1937</v>
      </c>
      <c r="J1202" t="s">
        <v>37</v>
      </c>
      <c r="K1202" t="s">
        <v>38</v>
      </c>
      <c r="L1202" t="s">
        <v>28</v>
      </c>
      <c r="M1202" t="s">
        <v>61</v>
      </c>
      <c r="N1202">
        <v>716.35</v>
      </c>
    </row>
    <row r="1203" spans="1:14" x14ac:dyDescent="0.35">
      <c r="A1203" s="2">
        <v>45748</v>
      </c>
      <c r="B1203" t="s">
        <v>677</v>
      </c>
      <c r="C1203" t="s">
        <v>106</v>
      </c>
      <c r="D1203" t="s">
        <v>52</v>
      </c>
      <c r="E1203" t="s">
        <v>34</v>
      </c>
      <c r="F1203">
        <v>5</v>
      </c>
      <c r="G1203">
        <v>205.46</v>
      </c>
      <c r="H1203" t="s">
        <v>24</v>
      </c>
      <c r="I1203" t="s">
        <v>1938</v>
      </c>
      <c r="J1203" t="s">
        <v>26</v>
      </c>
      <c r="K1203" t="s">
        <v>27</v>
      </c>
      <c r="L1203" t="s">
        <v>66</v>
      </c>
      <c r="M1203" t="s">
        <v>49</v>
      </c>
      <c r="N1203">
        <v>1027.3</v>
      </c>
    </row>
    <row r="1204" spans="1:14" x14ac:dyDescent="0.35">
      <c r="A1204" s="2">
        <v>45273</v>
      </c>
      <c r="B1204" t="s">
        <v>1107</v>
      </c>
      <c r="C1204" t="s">
        <v>106</v>
      </c>
      <c r="D1204" t="s">
        <v>22</v>
      </c>
      <c r="E1204" t="s">
        <v>92</v>
      </c>
      <c r="F1204">
        <v>8</v>
      </c>
      <c r="G1204">
        <v>269.41000000000003</v>
      </c>
      <c r="H1204" t="s">
        <v>35</v>
      </c>
      <c r="I1204" t="s">
        <v>1939</v>
      </c>
      <c r="J1204" t="s">
        <v>94</v>
      </c>
      <c r="K1204" t="s">
        <v>78</v>
      </c>
      <c r="L1204" t="s">
        <v>39</v>
      </c>
      <c r="M1204" t="s">
        <v>67</v>
      </c>
      <c r="N1204">
        <v>2155.2800000000002</v>
      </c>
    </row>
    <row r="1205" spans="1:14" x14ac:dyDescent="0.35">
      <c r="A1205" s="2">
        <v>45523</v>
      </c>
      <c r="B1205" t="s">
        <v>1194</v>
      </c>
      <c r="C1205" t="s">
        <v>74</v>
      </c>
      <c r="D1205" t="s">
        <v>42</v>
      </c>
      <c r="E1205" t="s">
        <v>63</v>
      </c>
      <c r="F1205">
        <v>9</v>
      </c>
      <c r="G1205">
        <v>22.41</v>
      </c>
      <c r="H1205" t="s">
        <v>24</v>
      </c>
      <c r="I1205" t="s">
        <v>1940</v>
      </c>
      <c r="J1205" t="s">
        <v>97</v>
      </c>
      <c r="K1205" t="s">
        <v>78</v>
      </c>
      <c r="L1205" t="s">
        <v>28</v>
      </c>
      <c r="M1205" t="s">
        <v>29</v>
      </c>
      <c r="N1205">
        <v>201.69</v>
      </c>
    </row>
    <row r="1206" spans="1:14" x14ac:dyDescent="0.35">
      <c r="A1206" s="2">
        <v>45722</v>
      </c>
      <c r="B1206" t="s">
        <v>1898</v>
      </c>
      <c r="C1206" t="s">
        <v>71</v>
      </c>
      <c r="D1206" t="s">
        <v>33</v>
      </c>
      <c r="E1206" t="s">
        <v>53</v>
      </c>
      <c r="F1206">
        <v>8</v>
      </c>
      <c r="G1206">
        <v>189.34</v>
      </c>
      <c r="H1206" t="s">
        <v>35</v>
      </c>
      <c r="I1206" t="s">
        <v>1941</v>
      </c>
      <c r="J1206" t="s">
        <v>37</v>
      </c>
      <c r="K1206" t="s">
        <v>60</v>
      </c>
      <c r="L1206" t="s">
        <v>28</v>
      </c>
      <c r="M1206" t="s">
        <v>56</v>
      </c>
      <c r="N1206">
        <v>1514.72</v>
      </c>
    </row>
    <row r="1207" spans="1:14" x14ac:dyDescent="0.35">
      <c r="A1207" s="2">
        <v>45176</v>
      </c>
      <c r="B1207" t="s">
        <v>679</v>
      </c>
      <c r="C1207" t="s">
        <v>106</v>
      </c>
      <c r="D1207" t="s">
        <v>22</v>
      </c>
      <c r="E1207" t="s">
        <v>83</v>
      </c>
      <c r="F1207">
        <v>8</v>
      </c>
      <c r="G1207">
        <v>125.02</v>
      </c>
      <c r="H1207" t="s">
        <v>35</v>
      </c>
      <c r="I1207" t="s">
        <v>1942</v>
      </c>
      <c r="J1207" t="s">
        <v>37</v>
      </c>
      <c r="K1207" t="s">
        <v>27</v>
      </c>
      <c r="L1207" t="s">
        <v>28</v>
      </c>
      <c r="M1207" t="s">
        <v>56</v>
      </c>
      <c r="N1207">
        <v>1000.16</v>
      </c>
    </row>
    <row r="1208" spans="1:14" x14ac:dyDescent="0.35">
      <c r="A1208" s="2">
        <v>45545</v>
      </c>
      <c r="B1208" t="s">
        <v>1430</v>
      </c>
      <c r="C1208" t="s">
        <v>47</v>
      </c>
      <c r="D1208" t="s">
        <v>33</v>
      </c>
      <c r="E1208" t="s">
        <v>34</v>
      </c>
      <c r="F1208">
        <v>10</v>
      </c>
      <c r="G1208">
        <v>116.36</v>
      </c>
      <c r="H1208" t="s">
        <v>64</v>
      </c>
      <c r="I1208" t="s">
        <v>1943</v>
      </c>
      <c r="J1208" t="s">
        <v>55</v>
      </c>
      <c r="K1208" t="s">
        <v>38</v>
      </c>
      <c r="L1208" t="s">
        <v>39</v>
      </c>
      <c r="M1208" t="s">
        <v>49</v>
      </c>
      <c r="N1208">
        <v>1163.5999999999999</v>
      </c>
    </row>
    <row r="1209" spans="1:14" x14ac:dyDescent="0.35">
      <c r="A1209" s="2">
        <v>45163</v>
      </c>
      <c r="B1209" t="s">
        <v>1292</v>
      </c>
      <c r="C1209" t="s">
        <v>74</v>
      </c>
      <c r="D1209" t="s">
        <v>42</v>
      </c>
      <c r="E1209" t="s">
        <v>34</v>
      </c>
      <c r="F1209">
        <v>3</v>
      </c>
      <c r="G1209">
        <v>122.4</v>
      </c>
      <c r="H1209" t="s">
        <v>44</v>
      </c>
      <c r="I1209" t="s">
        <v>1944</v>
      </c>
      <c r="J1209" t="s">
        <v>37</v>
      </c>
      <c r="K1209" t="s">
        <v>27</v>
      </c>
      <c r="L1209" t="s">
        <v>39</v>
      </c>
      <c r="M1209" t="s">
        <v>61</v>
      </c>
      <c r="N1209">
        <v>367.2</v>
      </c>
    </row>
    <row r="1210" spans="1:14" x14ac:dyDescent="0.35">
      <c r="A1210" s="2">
        <v>45686</v>
      </c>
      <c r="B1210" t="s">
        <v>1397</v>
      </c>
      <c r="C1210" t="s">
        <v>74</v>
      </c>
      <c r="D1210" t="s">
        <v>33</v>
      </c>
      <c r="E1210" t="s">
        <v>92</v>
      </c>
      <c r="F1210">
        <v>4</v>
      </c>
      <c r="G1210">
        <v>143.65</v>
      </c>
      <c r="H1210" t="s">
        <v>64</v>
      </c>
      <c r="I1210" t="s">
        <v>1945</v>
      </c>
      <c r="J1210" t="s">
        <v>37</v>
      </c>
      <c r="K1210" t="s">
        <v>78</v>
      </c>
      <c r="L1210" t="s">
        <v>39</v>
      </c>
      <c r="M1210" t="s">
        <v>67</v>
      </c>
      <c r="N1210">
        <v>574.6</v>
      </c>
    </row>
    <row r="1211" spans="1:14" x14ac:dyDescent="0.35">
      <c r="A1211" s="2">
        <v>45455</v>
      </c>
      <c r="B1211" t="s">
        <v>1946</v>
      </c>
      <c r="C1211" t="s">
        <v>41</v>
      </c>
      <c r="D1211" t="s">
        <v>42</v>
      </c>
      <c r="E1211" t="s">
        <v>34</v>
      </c>
      <c r="F1211">
        <v>7</v>
      </c>
      <c r="G1211">
        <v>270.52999999999997</v>
      </c>
      <c r="H1211" t="s">
        <v>35</v>
      </c>
      <c r="I1211" t="s">
        <v>1947</v>
      </c>
      <c r="J1211" t="s">
        <v>55</v>
      </c>
      <c r="K1211" t="s">
        <v>60</v>
      </c>
      <c r="L1211" t="s">
        <v>28</v>
      </c>
      <c r="M1211" t="s">
        <v>67</v>
      </c>
      <c r="N1211">
        <v>1893.71</v>
      </c>
    </row>
    <row r="1212" spans="1:14" x14ac:dyDescent="0.35">
      <c r="A1212" s="2">
        <v>44989</v>
      </c>
      <c r="B1212" t="s">
        <v>1564</v>
      </c>
      <c r="C1212" t="s">
        <v>81</v>
      </c>
      <c r="D1212" t="s">
        <v>42</v>
      </c>
      <c r="E1212" t="s">
        <v>23</v>
      </c>
      <c r="F1212">
        <v>1</v>
      </c>
      <c r="G1212">
        <v>322.36</v>
      </c>
      <c r="H1212" t="s">
        <v>64</v>
      </c>
      <c r="I1212" t="s">
        <v>1948</v>
      </c>
      <c r="J1212" t="s">
        <v>55</v>
      </c>
      <c r="K1212" t="s">
        <v>78</v>
      </c>
      <c r="L1212" t="s">
        <v>28</v>
      </c>
      <c r="M1212" t="s">
        <v>79</v>
      </c>
      <c r="N1212">
        <v>322.36</v>
      </c>
    </row>
    <row r="1213" spans="1:14" x14ac:dyDescent="0.35">
      <c r="A1213" s="2">
        <v>45299</v>
      </c>
      <c r="B1213" t="s">
        <v>1406</v>
      </c>
      <c r="C1213" t="s">
        <v>47</v>
      </c>
      <c r="D1213" t="s">
        <v>42</v>
      </c>
      <c r="E1213" t="s">
        <v>34</v>
      </c>
      <c r="F1213">
        <v>7</v>
      </c>
      <c r="G1213">
        <v>155.29</v>
      </c>
      <c r="H1213" t="s">
        <v>35</v>
      </c>
      <c r="I1213" t="s">
        <v>1949</v>
      </c>
      <c r="J1213" t="s">
        <v>94</v>
      </c>
      <c r="K1213" t="s">
        <v>38</v>
      </c>
      <c r="L1213" t="s">
        <v>28</v>
      </c>
      <c r="M1213" t="s">
        <v>29</v>
      </c>
      <c r="N1213">
        <v>1087.03</v>
      </c>
    </row>
    <row r="1214" spans="1:14" x14ac:dyDescent="0.35">
      <c r="A1214" s="2">
        <v>45339</v>
      </c>
      <c r="B1214" t="s">
        <v>1397</v>
      </c>
      <c r="C1214" t="s">
        <v>89</v>
      </c>
      <c r="D1214" t="s">
        <v>33</v>
      </c>
      <c r="E1214" t="s">
        <v>53</v>
      </c>
      <c r="F1214">
        <v>6</v>
      </c>
      <c r="G1214">
        <v>56.79</v>
      </c>
      <c r="H1214" t="s">
        <v>44</v>
      </c>
      <c r="I1214" t="s">
        <v>1950</v>
      </c>
      <c r="J1214" t="s">
        <v>26</v>
      </c>
      <c r="K1214" t="s">
        <v>27</v>
      </c>
      <c r="L1214" t="s">
        <v>39</v>
      </c>
      <c r="M1214" t="s">
        <v>79</v>
      </c>
      <c r="N1214">
        <v>340.74</v>
      </c>
    </row>
    <row r="1215" spans="1:14" x14ac:dyDescent="0.35">
      <c r="A1215" s="2">
        <v>44962</v>
      </c>
      <c r="B1215" t="s">
        <v>903</v>
      </c>
      <c r="C1215" t="s">
        <v>51</v>
      </c>
      <c r="D1215" t="s">
        <v>33</v>
      </c>
      <c r="E1215" t="s">
        <v>63</v>
      </c>
      <c r="F1215">
        <v>8</v>
      </c>
      <c r="G1215">
        <v>263.27999999999997</v>
      </c>
      <c r="H1215" t="s">
        <v>24</v>
      </c>
      <c r="I1215" t="s">
        <v>1951</v>
      </c>
      <c r="J1215" t="s">
        <v>26</v>
      </c>
      <c r="K1215" t="s">
        <v>38</v>
      </c>
      <c r="L1215" t="s">
        <v>28</v>
      </c>
      <c r="M1215" t="s">
        <v>101</v>
      </c>
      <c r="N1215">
        <v>2106.2399999999998</v>
      </c>
    </row>
    <row r="1216" spans="1:14" x14ac:dyDescent="0.35">
      <c r="A1216" s="2">
        <v>45355</v>
      </c>
      <c r="B1216" t="s">
        <v>346</v>
      </c>
      <c r="C1216" t="s">
        <v>81</v>
      </c>
      <c r="D1216" t="s">
        <v>33</v>
      </c>
      <c r="E1216" t="s">
        <v>43</v>
      </c>
      <c r="F1216">
        <v>7</v>
      </c>
      <c r="G1216">
        <v>55.57</v>
      </c>
      <c r="H1216" t="s">
        <v>35</v>
      </c>
      <c r="I1216" t="s">
        <v>1952</v>
      </c>
      <c r="J1216" t="s">
        <v>97</v>
      </c>
      <c r="K1216" t="s">
        <v>60</v>
      </c>
      <c r="L1216" t="s">
        <v>39</v>
      </c>
      <c r="M1216" t="s">
        <v>29</v>
      </c>
      <c r="N1216">
        <v>388.99</v>
      </c>
    </row>
    <row r="1217" spans="1:14" x14ac:dyDescent="0.35">
      <c r="A1217" s="2">
        <v>45071</v>
      </c>
      <c r="B1217" t="s">
        <v>153</v>
      </c>
      <c r="C1217" t="s">
        <v>89</v>
      </c>
      <c r="D1217" t="s">
        <v>42</v>
      </c>
      <c r="E1217" t="s">
        <v>92</v>
      </c>
      <c r="F1217">
        <v>2</v>
      </c>
      <c r="G1217">
        <v>30.24</v>
      </c>
      <c r="H1217" t="s">
        <v>35</v>
      </c>
      <c r="I1217" t="s">
        <v>1953</v>
      </c>
      <c r="J1217" t="s">
        <v>94</v>
      </c>
      <c r="K1217" t="s">
        <v>60</v>
      </c>
      <c r="L1217" t="s">
        <v>39</v>
      </c>
      <c r="M1217" t="s">
        <v>56</v>
      </c>
      <c r="N1217">
        <v>60.48</v>
      </c>
    </row>
    <row r="1218" spans="1:14" x14ac:dyDescent="0.35">
      <c r="A1218" s="2">
        <v>45694</v>
      </c>
      <c r="B1218" t="s">
        <v>1691</v>
      </c>
      <c r="C1218" t="s">
        <v>71</v>
      </c>
      <c r="D1218" t="s">
        <v>52</v>
      </c>
      <c r="E1218" t="s">
        <v>83</v>
      </c>
      <c r="F1218">
        <v>2</v>
      </c>
      <c r="G1218">
        <v>346.3</v>
      </c>
      <c r="H1218" t="s">
        <v>64</v>
      </c>
      <c r="I1218" t="s">
        <v>1954</v>
      </c>
      <c r="J1218" t="s">
        <v>55</v>
      </c>
      <c r="K1218" t="s">
        <v>38</v>
      </c>
      <c r="L1218" t="s">
        <v>39</v>
      </c>
      <c r="M1218" t="s">
        <v>56</v>
      </c>
      <c r="N1218">
        <v>692.6</v>
      </c>
    </row>
    <row r="1219" spans="1:14" x14ac:dyDescent="0.35">
      <c r="A1219" s="2">
        <v>45099</v>
      </c>
      <c r="B1219" t="s">
        <v>797</v>
      </c>
      <c r="C1219" t="s">
        <v>21</v>
      </c>
      <c r="D1219" t="s">
        <v>33</v>
      </c>
      <c r="E1219" t="s">
        <v>34</v>
      </c>
      <c r="F1219">
        <v>10</v>
      </c>
      <c r="G1219">
        <v>262.02</v>
      </c>
      <c r="H1219" t="s">
        <v>58</v>
      </c>
      <c r="I1219" t="s">
        <v>1955</v>
      </c>
      <c r="J1219" t="s">
        <v>55</v>
      </c>
      <c r="K1219" t="s">
        <v>60</v>
      </c>
      <c r="L1219" t="s">
        <v>28</v>
      </c>
      <c r="M1219" t="s">
        <v>56</v>
      </c>
      <c r="N1219">
        <v>2620.1999999999998</v>
      </c>
    </row>
    <row r="1220" spans="1:14" x14ac:dyDescent="0.35">
      <c r="A1220" s="2">
        <v>45767</v>
      </c>
      <c r="B1220" t="s">
        <v>76</v>
      </c>
      <c r="C1220" t="s">
        <v>106</v>
      </c>
      <c r="D1220" t="s">
        <v>33</v>
      </c>
      <c r="E1220" t="s">
        <v>23</v>
      </c>
      <c r="F1220">
        <v>9</v>
      </c>
      <c r="G1220">
        <v>311.86</v>
      </c>
      <c r="H1220" t="s">
        <v>24</v>
      </c>
      <c r="I1220" t="s">
        <v>1956</v>
      </c>
      <c r="J1220" t="s">
        <v>97</v>
      </c>
      <c r="K1220" t="s">
        <v>60</v>
      </c>
      <c r="L1220" t="s">
        <v>28</v>
      </c>
      <c r="M1220" t="s">
        <v>101</v>
      </c>
      <c r="N1220">
        <v>2806.74</v>
      </c>
    </row>
    <row r="1221" spans="1:14" x14ac:dyDescent="0.35">
      <c r="A1221" s="2">
        <v>45835</v>
      </c>
      <c r="B1221" t="s">
        <v>1691</v>
      </c>
      <c r="C1221" t="s">
        <v>71</v>
      </c>
      <c r="D1221" t="s">
        <v>33</v>
      </c>
      <c r="E1221" t="s">
        <v>53</v>
      </c>
      <c r="F1221">
        <v>4</v>
      </c>
      <c r="G1221">
        <v>85.86</v>
      </c>
      <c r="H1221" t="s">
        <v>58</v>
      </c>
      <c r="I1221" t="s">
        <v>1957</v>
      </c>
      <c r="J1221" t="s">
        <v>37</v>
      </c>
      <c r="K1221" t="s">
        <v>78</v>
      </c>
      <c r="L1221" t="s">
        <v>39</v>
      </c>
      <c r="M1221" t="s">
        <v>61</v>
      </c>
      <c r="N1221">
        <v>343.44</v>
      </c>
    </row>
    <row r="1222" spans="1:14" x14ac:dyDescent="0.35">
      <c r="A1222" s="2">
        <v>45654</v>
      </c>
      <c r="B1222" t="s">
        <v>1958</v>
      </c>
      <c r="C1222" t="s">
        <v>41</v>
      </c>
      <c r="D1222" t="s">
        <v>22</v>
      </c>
      <c r="E1222" t="s">
        <v>83</v>
      </c>
      <c r="F1222">
        <v>2</v>
      </c>
      <c r="G1222">
        <v>355.75</v>
      </c>
      <c r="H1222" t="s">
        <v>58</v>
      </c>
      <c r="I1222" t="s">
        <v>1959</v>
      </c>
      <c r="J1222" t="s">
        <v>55</v>
      </c>
      <c r="K1222" t="s">
        <v>60</v>
      </c>
      <c r="L1222" t="s">
        <v>28</v>
      </c>
      <c r="M1222" t="s">
        <v>79</v>
      </c>
      <c r="N1222">
        <v>711.5</v>
      </c>
    </row>
    <row r="1223" spans="1:14" x14ac:dyDescent="0.35">
      <c r="A1223" s="2">
        <v>45751</v>
      </c>
      <c r="B1223" t="s">
        <v>439</v>
      </c>
      <c r="C1223" t="s">
        <v>41</v>
      </c>
      <c r="D1223" t="s">
        <v>22</v>
      </c>
      <c r="E1223" t="s">
        <v>23</v>
      </c>
      <c r="F1223">
        <v>6</v>
      </c>
      <c r="G1223">
        <v>76.48</v>
      </c>
      <c r="H1223" t="s">
        <v>35</v>
      </c>
      <c r="I1223" t="s">
        <v>1960</v>
      </c>
      <c r="J1223" t="s">
        <v>97</v>
      </c>
      <c r="K1223" t="s">
        <v>27</v>
      </c>
      <c r="L1223" t="s">
        <v>28</v>
      </c>
      <c r="M1223" t="s">
        <v>61</v>
      </c>
      <c r="N1223">
        <v>458.88</v>
      </c>
    </row>
    <row r="1224" spans="1:14" x14ac:dyDescent="0.35">
      <c r="A1224" s="2">
        <v>45124</v>
      </c>
      <c r="B1224" t="s">
        <v>925</v>
      </c>
      <c r="C1224" t="s">
        <v>51</v>
      </c>
      <c r="D1224" t="s">
        <v>22</v>
      </c>
      <c r="E1224" t="s">
        <v>53</v>
      </c>
      <c r="F1224">
        <v>10</v>
      </c>
      <c r="G1224">
        <v>117.78</v>
      </c>
      <c r="H1224" t="s">
        <v>24</v>
      </c>
      <c r="I1224" t="s">
        <v>1961</v>
      </c>
      <c r="J1224" t="s">
        <v>94</v>
      </c>
      <c r="K1224" t="s">
        <v>38</v>
      </c>
      <c r="L1224" t="s">
        <v>39</v>
      </c>
      <c r="M1224" t="s">
        <v>29</v>
      </c>
      <c r="N1224">
        <v>1177.8</v>
      </c>
    </row>
    <row r="1225" spans="1:14" x14ac:dyDescent="0.35">
      <c r="A1225" s="2">
        <v>45730</v>
      </c>
      <c r="B1225" t="s">
        <v>648</v>
      </c>
      <c r="C1225" t="s">
        <v>106</v>
      </c>
      <c r="D1225" t="s">
        <v>22</v>
      </c>
      <c r="E1225" t="s">
        <v>53</v>
      </c>
      <c r="F1225">
        <v>6</v>
      </c>
      <c r="G1225">
        <v>274.10000000000002</v>
      </c>
      <c r="H1225" t="s">
        <v>24</v>
      </c>
      <c r="I1225" t="s">
        <v>1962</v>
      </c>
      <c r="J1225" t="s">
        <v>94</v>
      </c>
      <c r="K1225" t="s">
        <v>60</v>
      </c>
      <c r="L1225" t="s">
        <v>66</v>
      </c>
      <c r="M1225" t="s">
        <v>61</v>
      </c>
      <c r="N1225">
        <v>1644.6</v>
      </c>
    </row>
    <row r="1226" spans="1:14" x14ac:dyDescent="0.35">
      <c r="A1226" s="2">
        <v>45291</v>
      </c>
      <c r="B1226" t="s">
        <v>1963</v>
      </c>
      <c r="C1226" t="s">
        <v>71</v>
      </c>
      <c r="D1226" t="s">
        <v>22</v>
      </c>
      <c r="E1226" t="s">
        <v>34</v>
      </c>
      <c r="F1226">
        <v>3</v>
      </c>
      <c r="G1226">
        <v>138.16</v>
      </c>
      <c r="H1226" t="s">
        <v>64</v>
      </c>
      <c r="I1226" t="s">
        <v>1964</v>
      </c>
      <c r="J1226" t="s">
        <v>97</v>
      </c>
      <c r="K1226" t="s">
        <v>78</v>
      </c>
      <c r="L1226" t="s">
        <v>28</v>
      </c>
      <c r="M1226" t="s">
        <v>101</v>
      </c>
      <c r="N1226">
        <v>414.48</v>
      </c>
    </row>
    <row r="1227" spans="1:14" x14ac:dyDescent="0.35">
      <c r="A1227" s="2">
        <v>45275</v>
      </c>
      <c r="B1227" t="s">
        <v>1400</v>
      </c>
      <c r="C1227" t="s">
        <v>86</v>
      </c>
      <c r="D1227" t="s">
        <v>33</v>
      </c>
      <c r="E1227" t="s">
        <v>34</v>
      </c>
      <c r="F1227">
        <v>7</v>
      </c>
      <c r="G1227">
        <v>168.85</v>
      </c>
      <c r="H1227" t="s">
        <v>44</v>
      </c>
      <c r="I1227" t="s">
        <v>1965</v>
      </c>
      <c r="J1227" t="s">
        <v>97</v>
      </c>
      <c r="K1227" t="s">
        <v>60</v>
      </c>
      <c r="L1227" t="s">
        <v>28</v>
      </c>
      <c r="M1227" t="s">
        <v>61</v>
      </c>
      <c r="N1227">
        <v>1181.95</v>
      </c>
    </row>
    <row r="1228" spans="1:14" x14ac:dyDescent="0.35">
      <c r="A1228" s="2">
        <v>45831</v>
      </c>
      <c r="B1228" t="s">
        <v>1068</v>
      </c>
      <c r="C1228" t="s">
        <v>86</v>
      </c>
      <c r="D1228" t="s">
        <v>33</v>
      </c>
      <c r="E1228" t="s">
        <v>63</v>
      </c>
      <c r="F1228">
        <v>6</v>
      </c>
      <c r="G1228">
        <v>226.46</v>
      </c>
      <c r="H1228" t="s">
        <v>35</v>
      </c>
      <c r="I1228" t="s">
        <v>1966</v>
      </c>
      <c r="J1228" t="s">
        <v>37</v>
      </c>
      <c r="K1228" t="s">
        <v>60</v>
      </c>
      <c r="L1228" t="s">
        <v>39</v>
      </c>
      <c r="M1228" t="s">
        <v>29</v>
      </c>
      <c r="N1228">
        <v>1358.76</v>
      </c>
    </row>
    <row r="1229" spans="1:14" x14ac:dyDescent="0.35">
      <c r="A1229" s="2">
        <v>45190</v>
      </c>
      <c r="B1229" t="s">
        <v>46</v>
      </c>
      <c r="C1229" t="s">
        <v>89</v>
      </c>
      <c r="D1229" t="s">
        <v>52</v>
      </c>
      <c r="E1229" t="s">
        <v>83</v>
      </c>
      <c r="F1229">
        <v>2</v>
      </c>
      <c r="G1229">
        <v>44.04</v>
      </c>
      <c r="H1229" t="s">
        <v>35</v>
      </c>
      <c r="I1229" t="s">
        <v>1967</v>
      </c>
      <c r="J1229" t="s">
        <v>26</v>
      </c>
      <c r="K1229" t="s">
        <v>38</v>
      </c>
      <c r="L1229" t="s">
        <v>39</v>
      </c>
      <c r="M1229" t="s">
        <v>56</v>
      </c>
      <c r="N1229">
        <v>88.08</v>
      </c>
    </row>
    <row r="1230" spans="1:14" x14ac:dyDescent="0.35">
      <c r="A1230" s="2">
        <v>44936</v>
      </c>
      <c r="B1230" t="s">
        <v>667</v>
      </c>
      <c r="C1230" t="s">
        <v>89</v>
      </c>
      <c r="D1230" t="s">
        <v>52</v>
      </c>
      <c r="E1230" t="s">
        <v>83</v>
      </c>
      <c r="F1230">
        <v>10</v>
      </c>
      <c r="G1230">
        <v>132.38999999999999</v>
      </c>
      <c r="H1230" t="s">
        <v>58</v>
      </c>
      <c r="I1230" t="s">
        <v>1968</v>
      </c>
      <c r="J1230" t="s">
        <v>94</v>
      </c>
      <c r="K1230" t="s">
        <v>78</v>
      </c>
      <c r="L1230" t="s">
        <v>66</v>
      </c>
      <c r="M1230" t="s">
        <v>49</v>
      </c>
      <c r="N1230">
        <v>1323.9</v>
      </c>
    </row>
    <row r="1231" spans="1:14" x14ac:dyDescent="0.35">
      <c r="A1231" s="2">
        <v>45214</v>
      </c>
      <c r="B1231" t="s">
        <v>402</v>
      </c>
      <c r="C1231" t="s">
        <v>41</v>
      </c>
      <c r="D1231" t="s">
        <v>52</v>
      </c>
      <c r="E1231" t="s">
        <v>83</v>
      </c>
      <c r="F1231">
        <v>10</v>
      </c>
      <c r="G1231">
        <v>82.02</v>
      </c>
      <c r="H1231" t="s">
        <v>35</v>
      </c>
      <c r="I1231" t="s">
        <v>1969</v>
      </c>
      <c r="J1231" t="s">
        <v>37</v>
      </c>
      <c r="K1231" t="s">
        <v>38</v>
      </c>
      <c r="L1231" t="s">
        <v>39</v>
      </c>
      <c r="M1231" t="s">
        <v>101</v>
      </c>
      <c r="N1231">
        <v>820.19999999999993</v>
      </c>
    </row>
    <row r="1232" spans="1:14" x14ac:dyDescent="0.35">
      <c r="A1232" s="2">
        <v>45680</v>
      </c>
      <c r="B1232" t="s">
        <v>1198</v>
      </c>
      <c r="C1232" t="s">
        <v>51</v>
      </c>
      <c r="D1232" t="s">
        <v>22</v>
      </c>
      <c r="E1232" t="s">
        <v>63</v>
      </c>
      <c r="F1232">
        <v>1</v>
      </c>
      <c r="G1232">
        <v>252.48</v>
      </c>
      <c r="H1232" t="s">
        <v>35</v>
      </c>
      <c r="I1232" t="s">
        <v>1970</v>
      </c>
      <c r="J1232" t="s">
        <v>37</v>
      </c>
      <c r="K1232" t="s">
        <v>27</v>
      </c>
      <c r="L1232" t="s">
        <v>28</v>
      </c>
      <c r="M1232" t="s">
        <v>56</v>
      </c>
      <c r="N1232">
        <v>252.48</v>
      </c>
    </row>
    <row r="1233" spans="1:14" x14ac:dyDescent="0.35">
      <c r="A1233" s="2">
        <v>44933</v>
      </c>
      <c r="B1233" t="s">
        <v>1914</v>
      </c>
      <c r="C1233" t="s">
        <v>41</v>
      </c>
      <c r="D1233" t="s">
        <v>22</v>
      </c>
      <c r="E1233" t="s">
        <v>53</v>
      </c>
      <c r="F1233">
        <v>4</v>
      </c>
      <c r="G1233">
        <v>311.86</v>
      </c>
      <c r="H1233" t="s">
        <v>64</v>
      </c>
      <c r="I1233" t="s">
        <v>1971</v>
      </c>
      <c r="J1233" t="s">
        <v>37</v>
      </c>
      <c r="K1233" t="s">
        <v>78</v>
      </c>
      <c r="L1233" t="s">
        <v>28</v>
      </c>
      <c r="M1233" t="s">
        <v>79</v>
      </c>
      <c r="N1233">
        <v>1247.44</v>
      </c>
    </row>
    <row r="1234" spans="1:14" x14ac:dyDescent="0.35">
      <c r="A1234" s="2">
        <v>45471</v>
      </c>
      <c r="B1234" t="s">
        <v>821</v>
      </c>
      <c r="C1234" t="s">
        <v>86</v>
      </c>
      <c r="D1234" t="s">
        <v>42</v>
      </c>
      <c r="E1234" t="s">
        <v>83</v>
      </c>
      <c r="F1234">
        <v>7</v>
      </c>
      <c r="G1234">
        <v>125.94</v>
      </c>
      <c r="H1234" t="s">
        <v>24</v>
      </c>
      <c r="I1234" t="s">
        <v>1972</v>
      </c>
      <c r="J1234" t="s">
        <v>37</v>
      </c>
      <c r="K1234" t="s">
        <v>38</v>
      </c>
      <c r="L1234" t="s">
        <v>28</v>
      </c>
      <c r="M1234" t="s">
        <v>61</v>
      </c>
      <c r="N1234">
        <v>881.57999999999993</v>
      </c>
    </row>
    <row r="1235" spans="1:14" x14ac:dyDescent="0.35">
      <c r="A1235" s="2">
        <v>44947</v>
      </c>
      <c r="B1235" t="s">
        <v>1734</v>
      </c>
      <c r="C1235" t="s">
        <v>71</v>
      </c>
      <c r="D1235" t="s">
        <v>42</v>
      </c>
      <c r="E1235" t="s">
        <v>63</v>
      </c>
      <c r="F1235">
        <v>9</v>
      </c>
      <c r="G1235">
        <v>137.04</v>
      </c>
      <c r="H1235" t="s">
        <v>35</v>
      </c>
      <c r="I1235" t="s">
        <v>1973</v>
      </c>
      <c r="J1235" t="s">
        <v>55</v>
      </c>
      <c r="K1235" t="s">
        <v>78</v>
      </c>
      <c r="L1235" t="s">
        <v>28</v>
      </c>
      <c r="M1235" t="s">
        <v>79</v>
      </c>
      <c r="N1235">
        <v>1233.3599999999999</v>
      </c>
    </row>
    <row r="1236" spans="1:14" x14ac:dyDescent="0.35">
      <c r="A1236" s="2">
        <v>45164</v>
      </c>
      <c r="B1236" t="s">
        <v>232</v>
      </c>
      <c r="C1236" t="s">
        <v>81</v>
      </c>
      <c r="D1236" t="s">
        <v>33</v>
      </c>
      <c r="E1236" t="s">
        <v>23</v>
      </c>
      <c r="F1236">
        <v>2</v>
      </c>
      <c r="G1236">
        <v>219.9</v>
      </c>
      <c r="H1236" t="s">
        <v>24</v>
      </c>
      <c r="I1236" t="s">
        <v>1974</v>
      </c>
      <c r="J1236" t="s">
        <v>55</v>
      </c>
      <c r="K1236" t="s">
        <v>78</v>
      </c>
      <c r="L1236" t="s">
        <v>39</v>
      </c>
      <c r="M1236" t="s">
        <v>79</v>
      </c>
      <c r="N1236">
        <v>439.8</v>
      </c>
    </row>
    <row r="1237" spans="1:14" x14ac:dyDescent="0.35">
      <c r="A1237" s="2">
        <v>45007</v>
      </c>
      <c r="B1237" t="s">
        <v>1975</v>
      </c>
      <c r="C1237" t="s">
        <v>89</v>
      </c>
      <c r="D1237" t="s">
        <v>33</v>
      </c>
      <c r="E1237" t="s">
        <v>23</v>
      </c>
      <c r="F1237">
        <v>7</v>
      </c>
      <c r="G1237">
        <v>125.84</v>
      </c>
      <c r="H1237" t="s">
        <v>58</v>
      </c>
      <c r="I1237" t="s">
        <v>1976</v>
      </c>
      <c r="J1237" t="s">
        <v>94</v>
      </c>
      <c r="K1237" t="s">
        <v>60</v>
      </c>
      <c r="L1237" t="s">
        <v>39</v>
      </c>
      <c r="M1237" t="s">
        <v>67</v>
      </c>
      <c r="N1237">
        <v>880.88</v>
      </c>
    </row>
    <row r="1238" spans="1:14" x14ac:dyDescent="0.35">
      <c r="A1238" s="2">
        <v>45038</v>
      </c>
      <c r="B1238" t="s">
        <v>95</v>
      </c>
      <c r="C1238" t="s">
        <v>71</v>
      </c>
      <c r="D1238" t="s">
        <v>22</v>
      </c>
      <c r="E1238" t="s">
        <v>23</v>
      </c>
      <c r="F1238">
        <v>8</v>
      </c>
      <c r="G1238">
        <v>351.63</v>
      </c>
      <c r="H1238" t="s">
        <v>58</v>
      </c>
      <c r="I1238" t="s">
        <v>1977</v>
      </c>
      <c r="J1238" t="s">
        <v>55</v>
      </c>
      <c r="K1238" t="s">
        <v>78</v>
      </c>
      <c r="L1238" t="s">
        <v>28</v>
      </c>
      <c r="M1238" t="s">
        <v>79</v>
      </c>
      <c r="N1238">
        <v>2813.04</v>
      </c>
    </row>
    <row r="1239" spans="1:14" x14ac:dyDescent="0.35">
      <c r="A1239" s="2">
        <v>45825</v>
      </c>
      <c r="B1239" t="s">
        <v>358</v>
      </c>
      <c r="C1239" t="s">
        <v>47</v>
      </c>
      <c r="D1239" t="s">
        <v>22</v>
      </c>
      <c r="E1239" t="s">
        <v>43</v>
      </c>
      <c r="F1239">
        <v>2</v>
      </c>
      <c r="G1239">
        <v>103.88</v>
      </c>
      <c r="H1239" t="s">
        <v>24</v>
      </c>
      <c r="I1239" t="s">
        <v>1978</v>
      </c>
      <c r="J1239" t="s">
        <v>26</v>
      </c>
      <c r="K1239" t="s">
        <v>27</v>
      </c>
      <c r="L1239" t="s">
        <v>28</v>
      </c>
      <c r="M1239" t="s">
        <v>49</v>
      </c>
      <c r="N1239">
        <v>207.76</v>
      </c>
    </row>
    <row r="1240" spans="1:14" x14ac:dyDescent="0.35">
      <c r="A1240" s="2">
        <v>45401</v>
      </c>
      <c r="B1240" t="s">
        <v>957</v>
      </c>
      <c r="C1240" t="s">
        <v>89</v>
      </c>
      <c r="D1240" t="s">
        <v>42</v>
      </c>
      <c r="E1240" t="s">
        <v>23</v>
      </c>
      <c r="F1240">
        <v>2</v>
      </c>
      <c r="G1240">
        <v>291.48</v>
      </c>
      <c r="H1240" t="s">
        <v>35</v>
      </c>
      <c r="I1240" t="s">
        <v>1979</v>
      </c>
      <c r="J1240" t="s">
        <v>26</v>
      </c>
      <c r="K1240" t="s">
        <v>38</v>
      </c>
      <c r="L1240" t="s">
        <v>39</v>
      </c>
      <c r="M1240" t="s">
        <v>61</v>
      </c>
      <c r="N1240">
        <v>582.96</v>
      </c>
    </row>
    <row r="1241" spans="1:14" x14ac:dyDescent="0.35">
      <c r="A1241" s="2">
        <v>45000</v>
      </c>
      <c r="B1241" t="s">
        <v>1075</v>
      </c>
      <c r="C1241" t="s">
        <v>71</v>
      </c>
      <c r="D1241" t="s">
        <v>52</v>
      </c>
      <c r="E1241" t="s">
        <v>92</v>
      </c>
      <c r="F1241">
        <v>6</v>
      </c>
      <c r="G1241">
        <v>9.48</v>
      </c>
      <c r="H1241" t="s">
        <v>44</v>
      </c>
      <c r="I1241" t="s">
        <v>1980</v>
      </c>
      <c r="J1241" t="s">
        <v>94</v>
      </c>
      <c r="K1241" t="s">
        <v>78</v>
      </c>
      <c r="L1241" t="s">
        <v>39</v>
      </c>
      <c r="M1241" t="s">
        <v>67</v>
      </c>
      <c r="N1241">
        <v>56.88</v>
      </c>
    </row>
    <row r="1242" spans="1:14" x14ac:dyDescent="0.35">
      <c r="A1242" s="2">
        <v>45665</v>
      </c>
      <c r="B1242" t="s">
        <v>991</v>
      </c>
      <c r="C1242" t="s">
        <v>41</v>
      </c>
      <c r="D1242" t="s">
        <v>42</v>
      </c>
      <c r="E1242" t="s">
        <v>92</v>
      </c>
      <c r="F1242">
        <v>9</v>
      </c>
      <c r="G1242">
        <v>255.96</v>
      </c>
      <c r="H1242" t="s">
        <v>44</v>
      </c>
      <c r="I1242" t="s">
        <v>1981</v>
      </c>
      <c r="J1242" t="s">
        <v>94</v>
      </c>
      <c r="K1242" t="s">
        <v>60</v>
      </c>
      <c r="L1242" t="s">
        <v>28</v>
      </c>
      <c r="M1242" t="s">
        <v>67</v>
      </c>
      <c r="N1242">
        <v>2303.64</v>
      </c>
    </row>
    <row r="1243" spans="1:14" x14ac:dyDescent="0.35">
      <c r="A1243" s="2">
        <v>45300</v>
      </c>
      <c r="B1243" t="s">
        <v>1982</v>
      </c>
      <c r="C1243" t="s">
        <v>21</v>
      </c>
      <c r="D1243" t="s">
        <v>52</v>
      </c>
      <c r="E1243" t="s">
        <v>53</v>
      </c>
      <c r="F1243">
        <v>9</v>
      </c>
      <c r="G1243">
        <v>370.31</v>
      </c>
      <c r="H1243" t="s">
        <v>44</v>
      </c>
      <c r="I1243" t="s">
        <v>1983</v>
      </c>
      <c r="J1243" t="s">
        <v>97</v>
      </c>
      <c r="K1243" t="s">
        <v>78</v>
      </c>
      <c r="L1243" t="s">
        <v>28</v>
      </c>
      <c r="M1243" t="s">
        <v>49</v>
      </c>
      <c r="N1243">
        <v>3332.79</v>
      </c>
    </row>
    <row r="1244" spans="1:14" x14ac:dyDescent="0.35">
      <c r="A1244" s="2">
        <v>45461</v>
      </c>
      <c r="B1244" t="s">
        <v>1984</v>
      </c>
      <c r="C1244" t="s">
        <v>74</v>
      </c>
      <c r="D1244" t="s">
        <v>33</v>
      </c>
      <c r="E1244" t="s">
        <v>23</v>
      </c>
      <c r="F1244">
        <v>7</v>
      </c>
      <c r="G1244">
        <v>97.86</v>
      </c>
      <c r="H1244" t="s">
        <v>58</v>
      </c>
      <c r="I1244" t="s">
        <v>1985</v>
      </c>
      <c r="J1244" t="s">
        <v>37</v>
      </c>
      <c r="K1244" t="s">
        <v>78</v>
      </c>
      <c r="L1244" t="s">
        <v>39</v>
      </c>
      <c r="M1244" t="s">
        <v>49</v>
      </c>
      <c r="N1244">
        <v>685.02</v>
      </c>
    </row>
    <row r="1245" spans="1:14" x14ac:dyDescent="0.35">
      <c r="A1245" s="2">
        <v>45294</v>
      </c>
      <c r="B1245" t="s">
        <v>1963</v>
      </c>
      <c r="C1245" t="s">
        <v>81</v>
      </c>
      <c r="D1245" t="s">
        <v>52</v>
      </c>
      <c r="E1245" t="s">
        <v>83</v>
      </c>
      <c r="F1245">
        <v>9</v>
      </c>
      <c r="G1245">
        <v>247.25</v>
      </c>
      <c r="H1245" t="s">
        <v>24</v>
      </c>
      <c r="I1245" t="s">
        <v>1986</v>
      </c>
      <c r="J1245" t="s">
        <v>55</v>
      </c>
      <c r="K1245" t="s">
        <v>38</v>
      </c>
      <c r="L1245" t="s">
        <v>28</v>
      </c>
      <c r="M1245" t="s">
        <v>67</v>
      </c>
      <c r="N1245">
        <v>2225.25</v>
      </c>
    </row>
    <row r="1246" spans="1:14" x14ac:dyDescent="0.35">
      <c r="A1246" s="2">
        <v>45388</v>
      </c>
      <c r="B1246" t="s">
        <v>1738</v>
      </c>
      <c r="C1246" t="s">
        <v>89</v>
      </c>
      <c r="D1246" t="s">
        <v>22</v>
      </c>
      <c r="E1246" t="s">
        <v>53</v>
      </c>
      <c r="F1246">
        <v>2</v>
      </c>
      <c r="G1246">
        <v>215.61</v>
      </c>
      <c r="H1246" t="s">
        <v>35</v>
      </c>
      <c r="I1246" t="s">
        <v>1987</v>
      </c>
      <c r="J1246" t="s">
        <v>37</v>
      </c>
      <c r="K1246" t="s">
        <v>60</v>
      </c>
      <c r="L1246" t="s">
        <v>28</v>
      </c>
      <c r="M1246" t="s">
        <v>79</v>
      </c>
      <c r="N1246">
        <v>431.22</v>
      </c>
    </row>
    <row r="1247" spans="1:14" x14ac:dyDescent="0.35">
      <c r="A1247" s="2">
        <v>45009</v>
      </c>
      <c r="B1247" t="s">
        <v>1988</v>
      </c>
      <c r="C1247" t="s">
        <v>41</v>
      </c>
      <c r="D1247" t="s">
        <v>52</v>
      </c>
      <c r="E1247" t="s">
        <v>43</v>
      </c>
      <c r="F1247">
        <v>5</v>
      </c>
      <c r="G1247">
        <v>64.05</v>
      </c>
      <c r="H1247" t="s">
        <v>64</v>
      </c>
      <c r="I1247" t="s">
        <v>1989</v>
      </c>
      <c r="J1247" t="s">
        <v>55</v>
      </c>
      <c r="K1247" t="s">
        <v>27</v>
      </c>
      <c r="L1247" t="s">
        <v>28</v>
      </c>
      <c r="M1247" t="s">
        <v>61</v>
      </c>
      <c r="N1247">
        <v>320.25</v>
      </c>
    </row>
    <row r="1248" spans="1:14" x14ac:dyDescent="0.35">
      <c r="A1248" s="2">
        <v>45821</v>
      </c>
      <c r="B1248" t="s">
        <v>1990</v>
      </c>
      <c r="C1248" t="s">
        <v>51</v>
      </c>
      <c r="D1248" t="s">
        <v>22</v>
      </c>
      <c r="E1248" t="s">
        <v>23</v>
      </c>
      <c r="F1248">
        <v>9</v>
      </c>
      <c r="G1248">
        <v>25.13</v>
      </c>
      <c r="H1248" t="s">
        <v>58</v>
      </c>
      <c r="I1248" t="s">
        <v>1991</v>
      </c>
      <c r="J1248" t="s">
        <v>26</v>
      </c>
      <c r="K1248" t="s">
        <v>78</v>
      </c>
      <c r="L1248" t="s">
        <v>28</v>
      </c>
      <c r="M1248" t="s">
        <v>61</v>
      </c>
      <c r="N1248">
        <v>226.17</v>
      </c>
    </row>
    <row r="1249" spans="1:14" x14ac:dyDescent="0.35">
      <c r="A1249" s="2">
        <v>45339</v>
      </c>
      <c r="B1249" t="s">
        <v>1499</v>
      </c>
      <c r="C1249" t="s">
        <v>41</v>
      </c>
      <c r="D1249" t="s">
        <v>42</v>
      </c>
      <c r="E1249" t="s">
        <v>83</v>
      </c>
      <c r="F1249">
        <v>3</v>
      </c>
      <c r="G1249">
        <v>62.74</v>
      </c>
      <c r="H1249" t="s">
        <v>58</v>
      </c>
      <c r="I1249" t="s">
        <v>1992</v>
      </c>
      <c r="J1249" t="s">
        <v>26</v>
      </c>
      <c r="K1249" t="s">
        <v>60</v>
      </c>
      <c r="L1249" t="s">
        <v>66</v>
      </c>
      <c r="M1249" t="s">
        <v>79</v>
      </c>
      <c r="N1249">
        <v>188.22</v>
      </c>
    </row>
    <row r="1250" spans="1:14" x14ac:dyDescent="0.35">
      <c r="A1250" s="2">
        <v>45044</v>
      </c>
      <c r="B1250" t="s">
        <v>1707</v>
      </c>
      <c r="C1250" t="s">
        <v>47</v>
      </c>
      <c r="D1250" t="s">
        <v>33</v>
      </c>
      <c r="E1250" t="s">
        <v>63</v>
      </c>
      <c r="F1250">
        <v>7</v>
      </c>
      <c r="G1250">
        <v>152.62</v>
      </c>
      <c r="H1250" t="s">
        <v>24</v>
      </c>
      <c r="I1250" t="s">
        <v>1993</v>
      </c>
      <c r="J1250" t="s">
        <v>55</v>
      </c>
      <c r="K1250" t="s">
        <v>60</v>
      </c>
      <c r="L1250" t="s">
        <v>39</v>
      </c>
      <c r="M1250" t="s">
        <v>61</v>
      </c>
      <c r="N1250">
        <v>1068.3399999999999</v>
      </c>
    </row>
    <row r="1251" spans="1:14" x14ac:dyDescent="0.35">
      <c r="A1251" s="2">
        <v>45172</v>
      </c>
      <c r="B1251" t="s">
        <v>847</v>
      </c>
      <c r="C1251" t="s">
        <v>81</v>
      </c>
      <c r="D1251" t="s">
        <v>22</v>
      </c>
      <c r="E1251" t="s">
        <v>92</v>
      </c>
      <c r="F1251">
        <v>4</v>
      </c>
      <c r="G1251">
        <v>96.21</v>
      </c>
      <c r="H1251" t="s">
        <v>64</v>
      </c>
      <c r="I1251" t="s">
        <v>1994</v>
      </c>
      <c r="J1251" t="s">
        <v>97</v>
      </c>
      <c r="K1251" t="s">
        <v>60</v>
      </c>
      <c r="L1251" t="s">
        <v>66</v>
      </c>
      <c r="M1251" t="s">
        <v>101</v>
      </c>
      <c r="N1251">
        <v>384.84</v>
      </c>
    </row>
    <row r="1252" spans="1:14" x14ac:dyDescent="0.35">
      <c r="A1252" s="2">
        <v>45216</v>
      </c>
      <c r="B1252" t="s">
        <v>1995</v>
      </c>
      <c r="C1252" t="s">
        <v>21</v>
      </c>
      <c r="D1252" t="s">
        <v>33</v>
      </c>
      <c r="E1252" t="s">
        <v>53</v>
      </c>
      <c r="F1252">
        <v>6</v>
      </c>
      <c r="G1252">
        <v>34.020000000000003</v>
      </c>
      <c r="H1252" t="s">
        <v>44</v>
      </c>
      <c r="I1252" t="s">
        <v>1996</v>
      </c>
      <c r="J1252" t="s">
        <v>97</v>
      </c>
      <c r="K1252" t="s">
        <v>27</v>
      </c>
      <c r="L1252" t="s">
        <v>39</v>
      </c>
      <c r="M1252" t="s">
        <v>49</v>
      </c>
      <c r="N1252">
        <v>204.12</v>
      </c>
    </row>
    <row r="1253" spans="1:14" x14ac:dyDescent="0.35">
      <c r="A1253" s="2">
        <v>45106</v>
      </c>
      <c r="B1253" t="s">
        <v>378</v>
      </c>
      <c r="C1253" t="s">
        <v>106</v>
      </c>
      <c r="D1253" t="s">
        <v>22</v>
      </c>
      <c r="E1253" t="s">
        <v>23</v>
      </c>
      <c r="F1253">
        <v>3</v>
      </c>
      <c r="G1253">
        <v>372.33</v>
      </c>
      <c r="H1253" t="s">
        <v>35</v>
      </c>
      <c r="I1253" t="s">
        <v>1997</v>
      </c>
      <c r="J1253" t="s">
        <v>26</v>
      </c>
      <c r="K1253" t="s">
        <v>27</v>
      </c>
      <c r="L1253" t="s">
        <v>66</v>
      </c>
      <c r="M1253" t="s">
        <v>56</v>
      </c>
      <c r="N1253">
        <v>1116.99</v>
      </c>
    </row>
    <row r="1254" spans="1:14" x14ac:dyDescent="0.35">
      <c r="A1254" s="2">
        <v>45035</v>
      </c>
      <c r="B1254" t="s">
        <v>178</v>
      </c>
      <c r="C1254" t="s">
        <v>81</v>
      </c>
      <c r="D1254" t="s">
        <v>52</v>
      </c>
      <c r="E1254" t="s">
        <v>23</v>
      </c>
      <c r="F1254">
        <v>7</v>
      </c>
      <c r="G1254">
        <v>291.13</v>
      </c>
      <c r="H1254" t="s">
        <v>58</v>
      </c>
      <c r="I1254" t="s">
        <v>1998</v>
      </c>
      <c r="J1254" t="s">
        <v>37</v>
      </c>
      <c r="K1254" t="s">
        <v>38</v>
      </c>
      <c r="L1254" t="s">
        <v>66</v>
      </c>
      <c r="M1254" t="s">
        <v>67</v>
      </c>
      <c r="N1254">
        <v>2037.91</v>
      </c>
    </row>
    <row r="1255" spans="1:14" x14ac:dyDescent="0.35">
      <c r="A1255" s="2">
        <v>45398</v>
      </c>
      <c r="B1255" t="s">
        <v>1999</v>
      </c>
      <c r="C1255" t="s">
        <v>106</v>
      </c>
      <c r="D1255" t="s">
        <v>42</v>
      </c>
      <c r="E1255" t="s">
        <v>83</v>
      </c>
      <c r="F1255">
        <v>6</v>
      </c>
      <c r="G1255">
        <v>370.61</v>
      </c>
      <c r="H1255" t="s">
        <v>35</v>
      </c>
      <c r="I1255" t="s">
        <v>2000</v>
      </c>
      <c r="J1255" t="s">
        <v>37</v>
      </c>
      <c r="K1255" t="s">
        <v>27</v>
      </c>
      <c r="L1255" t="s">
        <v>39</v>
      </c>
      <c r="M1255" t="s">
        <v>49</v>
      </c>
      <c r="N1255">
        <v>2223.66</v>
      </c>
    </row>
    <row r="1256" spans="1:14" x14ac:dyDescent="0.35">
      <c r="A1256" s="2">
        <v>45482</v>
      </c>
      <c r="B1256" t="s">
        <v>1080</v>
      </c>
      <c r="C1256" t="s">
        <v>21</v>
      </c>
      <c r="D1256" t="s">
        <v>52</v>
      </c>
      <c r="E1256" t="s">
        <v>34</v>
      </c>
      <c r="F1256">
        <v>7</v>
      </c>
      <c r="G1256">
        <v>73</v>
      </c>
      <c r="H1256" t="s">
        <v>58</v>
      </c>
      <c r="I1256" t="s">
        <v>2001</v>
      </c>
      <c r="J1256" t="s">
        <v>97</v>
      </c>
      <c r="K1256" t="s">
        <v>60</v>
      </c>
      <c r="L1256" t="s">
        <v>66</v>
      </c>
      <c r="M1256" t="s">
        <v>49</v>
      </c>
      <c r="N1256">
        <v>511</v>
      </c>
    </row>
    <row r="1257" spans="1:14" x14ac:dyDescent="0.35">
      <c r="A1257" s="2">
        <v>45791</v>
      </c>
      <c r="B1257" t="s">
        <v>151</v>
      </c>
      <c r="C1257" t="s">
        <v>51</v>
      </c>
      <c r="D1257" t="s">
        <v>22</v>
      </c>
      <c r="E1257" t="s">
        <v>53</v>
      </c>
      <c r="F1257">
        <v>4</v>
      </c>
      <c r="G1257">
        <v>95.77</v>
      </c>
      <c r="H1257" t="s">
        <v>58</v>
      </c>
      <c r="I1257" t="s">
        <v>2002</v>
      </c>
      <c r="J1257" t="s">
        <v>26</v>
      </c>
      <c r="K1257" t="s">
        <v>78</v>
      </c>
      <c r="L1257" t="s">
        <v>39</v>
      </c>
      <c r="M1257" t="s">
        <v>67</v>
      </c>
      <c r="N1257">
        <v>383.08</v>
      </c>
    </row>
    <row r="1258" spans="1:14" x14ac:dyDescent="0.35">
      <c r="A1258" s="2">
        <v>45623</v>
      </c>
      <c r="B1258" t="s">
        <v>1160</v>
      </c>
      <c r="C1258" t="s">
        <v>21</v>
      </c>
      <c r="D1258" t="s">
        <v>42</v>
      </c>
      <c r="E1258" t="s">
        <v>43</v>
      </c>
      <c r="F1258">
        <v>8</v>
      </c>
      <c r="G1258">
        <v>142.71</v>
      </c>
      <c r="H1258" t="s">
        <v>58</v>
      </c>
      <c r="I1258" t="s">
        <v>2003</v>
      </c>
      <c r="J1258" t="s">
        <v>37</v>
      </c>
      <c r="K1258" t="s">
        <v>78</v>
      </c>
      <c r="L1258" t="s">
        <v>28</v>
      </c>
      <c r="M1258" t="s">
        <v>67</v>
      </c>
      <c r="N1258">
        <v>1141.68</v>
      </c>
    </row>
    <row r="1259" spans="1:14" x14ac:dyDescent="0.35">
      <c r="A1259" s="2">
        <v>45667</v>
      </c>
      <c r="B1259" t="s">
        <v>562</v>
      </c>
      <c r="C1259" t="s">
        <v>47</v>
      </c>
      <c r="D1259" t="s">
        <v>42</v>
      </c>
      <c r="E1259" t="s">
        <v>83</v>
      </c>
      <c r="F1259">
        <v>4</v>
      </c>
      <c r="G1259">
        <v>258.23</v>
      </c>
      <c r="H1259" t="s">
        <v>35</v>
      </c>
      <c r="I1259" t="s">
        <v>2004</v>
      </c>
      <c r="J1259" t="s">
        <v>26</v>
      </c>
      <c r="K1259" t="s">
        <v>78</v>
      </c>
      <c r="L1259" t="s">
        <v>28</v>
      </c>
      <c r="M1259" t="s">
        <v>61</v>
      </c>
      <c r="N1259">
        <v>1032.92</v>
      </c>
    </row>
    <row r="1260" spans="1:14" x14ac:dyDescent="0.35">
      <c r="A1260" s="2">
        <v>45078</v>
      </c>
      <c r="B1260" t="s">
        <v>2005</v>
      </c>
      <c r="C1260" t="s">
        <v>41</v>
      </c>
      <c r="D1260" t="s">
        <v>22</v>
      </c>
      <c r="E1260" t="s">
        <v>53</v>
      </c>
      <c r="F1260">
        <v>10</v>
      </c>
      <c r="G1260">
        <v>10.26</v>
      </c>
      <c r="H1260" t="s">
        <v>24</v>
      </c>
      <c r="I1260" t="s">
        <v>2006</v>
      </c>
      <c r="J1260" t="s">
        <v>97</v>
      </c>
      <c r="K1260" t="s">
        <v>27</v>
      </c>
      <c r="L1260" t="s">
        <v>28</v>
      </c>
      <c r="M1260" t="s">
        <v>56</v>
      </c>
      <c r="N1260">
        <v>102.6</v>
      </c>
    </row>
    <row r="1261" spans="1:14" x14ac:dyDescent="0.35">
      <c r="A1261" s="2">
        <v>45022</v>
      </c>
      <c r="B1261" t="s">
        <v>2007</v>
      </c>
      <c r="C1261" t="s">
        <v>81</v>
      </c>
      <c r="D1261" t="s">
        <v>22</v>
      </c>
      <c r="E1261" t="s">
        <v>43</v>
      </c>
      <c r="F1261">
        <v>6</v>
      </c>
      <c r="G1261">
        <v>186.47</v>
      </c>
      <c r="H1261" t="s">
        <v>44</v>
      </c>
      <c r="I1261" t="s">
        <v>2008</v>
      </c>
      <c r="J1261" t="s">
        <v>94</v>
      </c>
      <c r="K1261" t="s">
        <v>60</v>
      </c>
      <c r="L1261" t="s">
        <v>39</v>
      </c>
      <c r="M1261" t="s">
        <v>56</v>
      </c>
      <c r="N1261">
        <v>1118.82</v>
      </c>
    </row>
    <row r="1262" spans="1:14" x14ac:dyDescent="0.35">
      <c r="A1262" s="2">
        <v>45250</v>
      </c>
      <c r="B1262" t="s">
        <v>1594</v>
      </c>
      <c r="C1262" t="s">
        <v>21</v>
      </c>
      <c r="D1262" t="s">
        <v>52</v>
      </c>
      <c r="E1262" t="s">
        <v>63</v>
      </c>
      <c r="F1262">
        <v>5</v>
      </c>
      <c r="G1262">
        <v>366.33</v>
      </c>
      <c r="H1262" t="s">
        <v>64</v>
      </c>
      <c r="I1262" t="s">
        <v>2009</v>
      </c>
      <c r="J1262" t="s">
        <v>37</v>
      </c>
      <c r="K1262" t="s">
        <v>38</v>
      </c>
      <c r="L1262" t="s">
        <v>28</v>
      </c>
      <c r="M1262" t="s">
        <v>29</v>
      </c>
      <c r="N1262">
        <v>1831.65</v>
      </c>
    </row>
    <row r="1263" spans="1:14" x14ac:dyDescent="0.35">
      <c r="A1263" s="2">
        <v>45401</v>
      </c>
      <c r="B1263" t="s">
        <v>330</v>
      </c>
      <c r="C1263" t="s">
        <v>106</v>
      </c>
      <c r="D1263" t="s">
        <v>33</v>
      </c>
      <c r="E1263" t="s">
        <v>63</v>
      </c>
      <c r="F1263">
        <v>1</v>
      </c>
      <c r="G1263">
        <v>140.06</v>
      </c>
      <c r="H1263" t="s">
        <v>64</v>
      </c>
      <c r="I1263" t="s">
        <v>2010</v>
      </c>
      <c r="J1263" t="s">
        <v>26</v>
      </c>
      <c r="K1263" t="s">
        <v>38</v>
      </c>
      <c r="L1263" t="s">
        <v>28</v>
      </c>
      <c r="M1263" t="s">
        <v>61</v>
      </c>
      <c r="N1263">
        <v>140.06</v>
      </c>
    </row>
    <row r="1264" spans="1:14" x14ac:dyDescent="0.35">
      <c r="A1264" s="2">
        <v>45103</v>
      </c>
      <c r="B1264" t="s">
        <v>859</v>
      </c>
      <c r="C1264" t="s">
        <v>89</v>
      </c>
      <c r="D1264" t="s">
        <v>52</v>
      </c>
      <c r="E1264" t="s">
        <v>34</v>
      </c>
      <c r="F1264">
        <v>5</v>
      </c>
      <c r="G1264">
        <v>214.22</v>
      </c>
      <c r="H1264" t="s">
        <v>35</v>
      </c>
      <c r="I1264" t="s">
        <v>2011</v>
      </c>
      <c r="J1264" t="s">
        <v>94</v>
      </c>
      <c r="K1264" t="s">
        <v>27</v>
      </c>
      <c r="L1264" t="s">
        <v>39</v>
      </c>
      <c r="M1264" t="s">
        <v>29</v>
      </c>
      <c r="N1264">
        <v>1071.0999999999999</v>
      </c>
    </row>
    <row r="1265" spans="1:14" x14ac:dyDescent="0.35">
      <c r="A1265" s="2">
        <v>45359</v>
      </c>
      <c r="B1265" t="s">
        <v>1180</v>
      </c>
      <c r="C1265" t="s">
        <v>106</v>
      </c>
      <c r="D1265" t="s">
        <v>22</v>
      </c>
      <c r="E1265" t="s">
        <v>83</v>
      </c>
      <c r="F1265">
        <v>5</v>
      </c>
      <c r="G1265">
        <v>99.54</v>
      </c>
      <c r="H1265" t="s">
        <v>58</v>
      </c>
      <c r="I1265" t="s">
        <v>2012</v>
      </c>
      <c r="J1265" t="s">
        <v>26</v>
      </c>
      <c r="K1265" t="s">
        <v>38</v>
      </c>
      <c r="L1265" t="s">
        <v>39</v>
      </c>
      <c r="M1265" t="s">
        <v>61</v>
      </c>
      <c r="N1265">
        <v>497.7</v>
      </c>
    </row>
    <row r="1266" spans="1:14" x14ac:dyDescent="0.35">
      <c r="A1266" s="2">
        <v>45263</v>
      </c>
      <c r="B1266" t="s">
        <v>1088</v>
      </c>
      <c r="C1266" t="s">
        <v>41</v>
      </c>
      <c r="D1266" t="s">
        <v>33</v>
      </c>
      <c r="E1266" t="s">
        <v>83</v>
      </c>
      <c r="F1266">
        <v>8</v>
      </c>
      <c r="G1266">
        <v>258.17</v>
      </c>
      <c r="H1266" t="s">
        <v>58</v>
      </c>
      <c r="I1266" t="s">
        <v>2013</v>
      </c>
      <c r="J1266" t="s">
        <v>55</v>
      </c>
      <c r="K1266" t="s">
        <v>38</v>
      </c>
      <c r="L1266" t="s">
        <v>66</v>
      </c>
      <c r="M1266" t="s">
        <v>101</v>
      </c>
      <c r="N1266">
        <v>2065.36</v>
      </c>
    </row>
    <row r="1267" spans="1:14" x14ac:dyDescent="0.35">
      <c r="A1267" s="2">
        <v>45410</v>
      </c>
      <c r="B1267" t="s">
        <v>2014</v>
      </c>
      <c r="C1267" t="s">
        <v>89</v>
      </c>
      <c r="D1267" t="s">
        <v>52</v>
      </c>
      <c r="E1267" t="s">
        <v>63</v>
      </c>
      <c r="F1267">
        <v>8</v>
      </c>
      <c r="G1267">
        <v>269.14999999999998</v>
      </c>
      <c r="H1267" t="s">
        <v>64</v>
      </c>
      <c r="I1267" t="s">
        <v>2015</v>
      </c>
      <c r="J1267" t="s">
        <v>97</v>
      </c>
      <c r="K1267" t="s">
        <v>78</v>
      </c>
      <c r="L1267" t="s">
        <v>28</v>
      </c>
      <c r="M1267" t="s">
        <v>101</v>
      </c>
      <c r="N1267">
        <v>2153.1999999999998</v>
      </c>
    </row>
    <row r="1268" spans="1:14" x14ac:dyDescent="0.35">
      <c r="A1268" s="2">
        <v>45127</v>
      </c>
      <c r="B1268" t="s">
        <v>850</v>
      </c>
      <c r="C1268" t="s">
        <v>71</v>
      </c>
      <c r="D1268" t="s">
        <v>22</v>
      </c>
      <c r="E1268" t="s">
        <v>63</v>
      </c>
      <c r="F1268">
        <v>6</v>
      </c>
      <c r="G1268">
        <v>206.93</v>
      </c>
      <c r="H1268" t="s">
        <v>44</v>
      </c>
      <c r="I1268" t="s">
        <v>2016</v>
      </c>
      <c r="J1268" t="s">
        <v>97</v>
      </c>
      <c r="K1268" t="s">
        <v>78</v>
      </c>
      <c r="L1268" t="s">
        <v>66</v>
      </c>
      <c r="M1268" t="s">
        <v>56</v>
      </c>
      <c r="N1268">
        <v>1241.58</v>
      </c>
    </row>
    <row r="1269" spans="1:14" x14ac:dyDescent="0.35">
      <c r="A1269" s="2">
        <v>44985</v>
      </c>
      <c r="B1269" t="s">
        <v>125</v>
      </c>
      <c r="C1269" t="s">
        <v>51</v>
      </c>
      <c r="D1269" t="s">
        <v>33</v>
      </c>
      <c r="E1269" t="s">
        <v>43</v>
      </c>
      <c r="F1269">
        <v>4</v>
      </c>
      <c r="G1269">
        <v>380.5</v>
      </c>
      <c r="H1269" t="s">
        <v>64</v>
      </c>
      <c r="I1269" t="s">
        <v>2017</v>
      </c>
      <c r="J1269" t="s">
        <v>26</v>
      </c>
      <c r="K1269" t="s">
        <v>38</v>
      </c>
      <c r="L1269" t="s">
        <v>39</v>
      </c>
      <c r="M1269" t="s">
        <v>49</v>
      </c>
      <c r="N1269">
        <v>1522</v>
      </c>
    </row>
    <row r="1270" spans="1:14" x14ac:dyDescent="0.35">
      <c r="A1270" s="2">
        <v>45042</v>
      </c>
      <c r="B1270" t="s">
        <v>187</v>
      </c>
      <c r="C1270" t="s">
        <v>106</v>
      </c>
      <c r="D1270" t="s">
        <v>52</v>
      </c>
      <c r="E1270" t="s">
        <v>92</v>
      </c>
      <c r="F1270">
        <v>1</v>
      </c>
      <c r="G1270">
        <v>170.79</v>
      </c>
      <c r="H1270" t="s">
        <v>64</v>
      </c>
      <c r="I1270" t="s">
        <v>2018</v>
      </c>
      <c r="J1270" t="s">
        <v>94</v>
      </c>
      <c r="K1270" t="s">
        <v>78</v>
      </c>
      <c r="L1270" t="s">
        <v>28</v>
      </c>
      <c r="M1270" t="s">
        <v>67</v>
      </c>
      <c r="N1270">
        <v>170.79</v>
      </c>
    </row>
    <row r="1271" spans="1:14" x14ac:dyDescent="0.35">
      <c r="A1271" s="2">
        <v>44971</v>
      </c>
      <c r="B1271" t="s">
        <v>661</v>
      </c>
      <c r="C1271" t="s">
        <v>71</v>
      </c>
      <c r="D1271" t="s">
        <v>52</v>
      </c>
      <c r="E1271" t="s">
        <v>63</v>
      </c>
      <c r="F1271">
        <v>8</v>
      </c>
      <c r="G1271">
        <v>263.04000000000002</v>
      </c>
      <c r="H1271" t="s">
        <v>24</v>
      </c>
      <c r="I1271" t="s">
        <v>2019</v>
      </c>
      <c r="J1271" t="s">
        <v>94</v>
      </c>
      <c r="K1271" t="s">
        <v>60</v>
      </c>
      <c r="L1271" t="s">
        <v>39</v>
      </c>
      <c r="M1271" t="s">
        <v>49</v>
      </c>
      <c r="N1271">
        <v>2104.3200000000002</v>
      </c>
    </row>
    <row r="1272" spans="1:14" x14ac:dyDescent="0.35">
      <c r="A1272" s="2">
        <v>45150</v>
      </c>
      <c r="B1272" t="s">
        <v>287</v>
      </c>
      <c r="C1272" t="s">
        <v>51</v>
      </c>
      <c r="D1272" t="s">
        <v>52</v>
      </c>
      <c r="E1272" t="s">
        <v>43</v>
      </c>
      <c r="F1272">
        <v>8</v>
      </c>
      <c r="G1272">
        <v>228.64</v>
      </c>
      <c r="H1272" t="s">
        <v>24</v>
      </c>
      <c r="I1272" t="s">
        <v>2020</v>
      </c>
      <c r="J1272" t="s">
        <v>94</v>
      </c>
      <c r="K1272" t="s">
        <v>60</v>
      </c>
      <c r="L1272" t="s">
        <v>39</v>
      </c>
      <c r="M1272" t="s">
        <v>79</v>
      </c>
      <c r="N1272">
        <v>1829.12</v>
      </c>
    </row>
    <row r="1273" spans="1:14" x14ac:dyDescent="0.35">
      <c r="A1273" s="2">
        <v>45730</v>
      </c>
      <c r="B1273" t="s">
        <v>145</v>
      </c>
      <c r="C1273" t="s">
        <v>51</v>
      </c>
      <c r="D1273" t="s">
        <v>52</v>
      </c>
      <c r="E1273" t="s">
        <v>34</v>
      </c>
      <c r="F1273">
        <v>9</v>
      </c>
      <c r="G1273">
        <v>356.43</v>
      </c>
      <c r="H1273" t="s">
        <v>35</v>
      </c>
      <c r="I1273" t="s">
        <v>2021</v>
      </c>
      <c r="J1273" t="s">
        <v>37</v>
      </c>
      <c r="K1273" t="s">
        <v>78</v>
      </c>
      <c r="L1273" t="s">
        <v>28</v>
      </c>
      <c r="M1273" t="s">
        <v>61</v>
      </c>
      <c r="N1273">
        <v>3207.87</v>
      </c>
    </row>
    <row r="1274" spans="1:14" x14ac:dyDescent="0.35">
      <c r="A1274" s="2">
        <v>44928</v>
      </c>
      <c r="B1274" t="s">
        <v>2022</v>
      </c>
      <c r="C1274" t="s">
        <v>41</v>
      </c>
      <c r="D1274" t="s">
        <v>33</v>
      </c>
      <c r="E1274" t="s">
        <v>53</v>
      </c>
      <c r="F1274">
        <v>8</v>
      </c>
      <c r="G1274">
        <v>279.95999999999998</v>
      </c>
      <c r="H1274" t="s">
        <v>44</v>
      </c>
      <c r="I1274" t="s">
        <v>2023</v>
      </c>
      <c r="J1274" t="s">
        <v>37</v>
      </c>
      <c r="K1274" t="s">
        <v>78</v>
      </c>
      <c r="L1274" t="s">
        <v>39</v>
      </c>
      <c r="M1274" t="s">
        <v>29</v>
      </c>
      <c r="N1274">
        <v>2239.6799999999998</v>
      </c>
    </row>
    <row r="1275" spans="1:14" x14ac:dyDescent="0.35">
      <c r="A1275" s="2">
        <v>45072</v>
      </c>
      <c r="B1275" t="s">
        <v>2024</v>
      </c>
      <c r="C1275" t="s">
        <v>47</v>
      </c>
      <c r="D1275" t="s">
        <v>22</v>
      </c>
      <c r="E1275" t="s">
        <v>92</v>
      </c>
      <c r="F1275">
        <v>9</v>
      </c>
      <c r="G1275">
        <v>49.73</v>
      </c>
      <c r="H1275" t="s">
        <v>35</v>
      </c>
      <c r="I1275" t="s">
        <v>2025</v>
      </c>
      <c r="J1275" t="s">
        <v>97</v>
      </c>
      <c r="K1275" t="s">
        <v>38</v>
      </c>
      <c r="L1275" t="s">
        <v>66</v>
      </c>
      <c r="M1275" t="s">
        <v>61</v>
      </c>
      <c r="N1275">
        <v>447.57</v>
      </c>
    </row>
    <row r="1276" spans="1:14" x14ac:dyDescent="0.35">
      <c r="A1276" s="2">
        <v>45710</v>
      </c>
      <c r="B1276" t="s">
        <v>1102</v>
      </c>
      <c r="C1276" t="s">
        <v>41</v>
      </c>
      <c r="D1276" t="s">
        <v>52</v>
      </c>
      <c r="E1276" t="s">
        <v>63</v>
      </c>
      <c r="F1276">
        <v>3</v>
      </c>
      <c r="G1276">
        <v>372.86</v>
      </c>
      <c r="H1276" t="s">
        <v>64</v>
      </c>
      <c r="I1276" t="s">
        <v>2026</v>
      </c>
      <c r="J1276" t="s">
        <v>37</v>
      </c>
      <c r="K1276" t="s">
        <v>78</v>
      </c>
      <c r="L1276" t="s">
        <v>39</v>
      </c>
      <c r="M1276" t="s">
        <v>79</v>
      </c>
      <c r="N1276">
        <v>1118.58</v>
      </c>
    </row>
    <row r="1277" spans="1:14" x14ac:dyDescent="0.35">
      <c r="A1277" s="2">
        <v>45489</v>
      </c>
      <c r="B1277" t="s">
        <v>1556</v>
      </c>
      <c r="C1277" t="s">
        <v>81</v>
      </c>
      <c r="D1277" t="s">
        <v>42</v>
      </c>
      <c r="E1277" t="s">
        <v>23</v>
      </c>
      <c r="F1277">
        <v>3</v>
      </c>
      <c r="G1277">
        <v>183.66</v>
      </c>
      <c r="H1277" t="s">
        <v>44</v>
      </c>
      <c r="I1277" t="s">
        <v>2027</v>
      </c>
      <c r="J1277" t="s">
        <v>55</v>
      </c>
      <c r="K1277" t="s">
        <v>78</v>
      </c>
      <c r="L1277" t="s">
        <v>28</v>
      </c>
      <c r="M1277" t="s">
        <v>49</v>
      </c>
      <c r="N1277">
        <v>550.98</v>
      </c>
    </row>
    <row r="1278" spans="1:14" x14ac:dyDescent="0.35">
      <c r="A1278" s="2">
        <v>45727</v>
      </c>
      <c r="B1278" t="s">
        <v>614</v>
      </c>
      <c r="C1278" t="s">
        <v>74</v>
      </c>
      <c r="D1278" t="s">
        <v>52</v>
      </c>
      <c r="E1278" t="s">
        <v>53</v>
      </c>
      <c r="F1278">
        <v>6</v>
      </c>
      <c r="G1278">
        <v>119.43</v>
      </c>
      <c r="H1278" t="s">
        <v>35</v>
      </c>
      <c r="I1278" t="s">
        <v>2028</v>
      </c>
      <c r="J1278" t="s">
        <v>37</v>
      </c>
      <c r="K1278" t="s">
        <v>60</v>
      </c>
      <c r="L1278" t="s">
        <v>28</v>
      </c>
      <c r="M1278" t="s">
        <v>49</v>
      </c>
      <c r="N1278">
        <v>716.58</v>
      </c>
    </row>
    <row r="1279" spans="1:14" x14ac:dyDescent="0.35">
      <c r="A1279" s="2">
        <v>45739</v>
      </c>
      <c r="B1279" t="s">
        <v>1031</v>
      </c>
      <c r="C1279" t="s">
        <v>51</v>
      </c>
      <c r="D1279" t="s">
        <v>42</v>
      </c>
      <c r="E1279" t="s">
        <v>92</v>
      </c>
      <c r="F1279">
        <v>6</v>
      </c>
      <c r="G1279">
        <v>282.93</v>
      </c>
      <c r="H1279" t="s">
        <v>24</v>
      </c>
      <c r="I1279" t="s">
        <v>2029</v>
      </c>
      <c r="J1279" t="s">
        <v>94</v>
      </c>
      <c r="K1279" t="s">
        <v>27</v>
      </c>
      <c r="L1279" t="s">
        <v>66</v>
      </c>
      <c r="M1279" t="s">
        <v>101</v>
      </c>
      <c r="N1279">
        <v>1697.58</v>
      </c>
    </row>
    <row r="1280" spans="1:14" x14ac:dyDescent="0.35">
      <c r="A1280" s="2">
        <v>44971</v>
      </c>
      <c r="B1280" t="s">
        <v>719</v>
      </c>
      <c r="C1280" t="s">
        <v>86</v>
      </c>
      <c r="D1280" t="s">
        <v>42</v>
      </c>
      <c r="E1280" t="s">
        <v>63</v>
      </c>
      <c r="F1280">
        <v>9</v>
      </c>
      <c r="G1280">
        <v>246.69</v>
      </c>
      <c r="H1280" t="s">
        <v>64</v>
      </c>
      <c r="I1280" t="s">
        <v>2030</v>
      </c>
      <c r="J1280" t="s">
        <v>37</v>
      </c>
      <c r="K1280" t="s">
        <v>38</v>
      </c>
      <c r="L1280" t="s">
        <v>66</v>
      </c>
      <c r="M1280" t="s">
        <v>49</v>
      </c>
      <c r="N1280">
        <v>2220.21</v>
      </c>
    </row>
    <row r="1281" spans="1:14" x14ac:dyDescent="0.35">
      <c r="A1281" s="2">
        <v>45475</v>
      </c>
      <c r="B1281" t="s">
        <v>2031</v>
      </c>
      <c r="C1281" t="s">
        <v>47</v>
      </c>
      <c r="D1281" t="s">
        <v>33</v>
      </c>
      <c r="E1281" t="s">
        <v>63</v>
      </c>
      <c r="F1281">
        <v>7</v>
      </c>
      <c r="G1281">
        <v>269.45</v>
      </c>
      <c r="H1281" t="s">
        <v>24</v>
      </c>
      <c r="I1281" t="s">
        <v>2032</v>
      </c>
      <c r="J1281" t="s">
        <v>94</v>
      </c>
      <c r="K1281" t="s">
        <v>38</v>
      </c>
      <c r="L1281" t="s">
        <v>66</v>
      </c>
      <c r="M1281" t="s">
        <v>49</v>
      </c>
      <c r="N1281">
        <v>1886.15</v>
      </c>
    </row>
    <row r="1282" spans="1:14" x14ac:dyDescent="0.35">
      <c r="A1282" s="2">
        <v>45228</v>
      </c>
      <c r="B1282" t="s">
        <v>1319</v>
      </c>
      <c r="C1282" t="s">
        <v>47</v>
      </c>
      <c r="D1282" t="s">
        <v>52</v>
      </c>
      <c r="E1282" t="s">
        <v>53</v>
      </c>
      <c r="F1282">
        <v>6</v>
      </c>
      <c r="G1282">
        <v>346</v>
      </c>
      <c r="H1282" t="s">
        <v>64</v>
      </c>
      <c r="I1282" t="s">
        <v>2033</v>
      </c>
      <c r="J1282" t="s">
        <v>37</v>
      </c>
      <c r="K1282" t="s">
        <v>38</v>
      </c>
      <c r="L1282" t="s">
        <v>28</v>
      </c>
      <c r="M1282" t="s">
        <v>101</v>
      </c>
      <c r="N1282">
        <v>2076</v>
      </c>
    </row>
    <row r="1283" spans="1:14" x14ac:dyDescent="0.35">
      <c r="A1283" s="2">
        <v>44967</v>
      </c>
      <c r="B1283" t="s">
        <v>969</v>
      </c>
      <c r="C1283" t="s">
        <v>81</v>
      </c>
      <c r="D1283" t="s">
        <v>52</v>
      </c>
      <c r="E1283" t="s">
        <v>92</v>
      </c>
      <c r="F1283">
        <v>8</v>
      </c>
      <c r="G1283">
        <v>272.60000000000002</v>
      </c>
      <c r="H1283" t="s">
        <v>44</v>
      </c>
      <c r="I1283" t="s">
        <v>2034</v>
      </c>
      <c r="J1283" t="s">
        <v>55</v>
      </c>
      <c r="K1283" t="s">
        <v>78</v>
      </c>
      <c r="L1283" t="s">
        <v>66</v>
      </c>
      <c r="M1283" t="s">
        <v>61</v>
      </c>
      <c r="N1283">
        <v>2180.8000000000002</v>
      </c>
    </row>
    <row r="1284" spans="1:14" x14ac:dyDescent="0.35">
      <c r="A1284" s="2">
        <v>45152</v>
      </c>
      <c r="B1284" t="s">
        <v>402</v>
      </c>
      <c r="C1284" t="s">
        <v>81</v>
      </c>
      <c r="D1284" t="s">
        <v>22</v>
      </c>
      <c r="E1284" t="s">
        <v>53</v>
      </c>
      <c r="F1284">
        <v>9</v>
      </c>
      <c r="G1284">
        <v>17.850000000000001</v>
      </c>
      <c r="H1284" t="s">
        <v>64</v>
      </c>
      <c r="I1284" t="s">
        <v>2035</v>
      </c>
      <c r="J1284" t="s">
        <v>26</v>
      </c>
      <c r="K1284" t="s">
        <v>27</v>
      </c>
      <c r="L1284" t="s">
        <v>39</v>
      </c>
      <c r="M1284" t="s">
        <v>29</v>
      </c>
      <c r="N1284">
        <v>160.65</v>
      </c>
    </row>
    <row r="1285" spans="1:14" x14ac:dyDescent="0.35">
      <c r="A1285" s="2">
        <v>45098</v>
      </c>
      <c r="B1285" t="s">
        <v>396</v>
      </c>
      <c r="C1285" t="s">
        <v>74</v>
      </c>
      <c r="D1285" t="s">
        <v>33</v>
      </c>
      <c r="E1285" t="s">
        <v>63</v>
      </c>
      <c r="F1285">
        <v>10</v>
      </c>
      <c r="G1285">
        <v>368.15</v>
      </c>
      <c r="H1285" t="s">
        <v>64</v>
      </c>
      <c r="I1285" t="s">
        <v>2036</v>
      </c>
      <c r="J1285" t="s">
        <v>97</v>
      </c>
      <c r="K1285" t="s">
        <v>60</v>
      </c>
      <c r="L1285" t="s">
        <v>66</v>
      </c>
      <c r="M1285" t="s">
        <v>67</v>
      </c>
      <c r="N1285">
        <v>3681.5</v>
      </c>
    </row>
    <row r="1286" spans="1:14" x14ac:dyDescent="0.35">
      <c r="A1286" s="2">
        <v>45349</v>
      </c>
      <c r="B1286" t="s">
        <v>1358</v>
      </c>
      <c r="C1286" t="s">
        <v>51</v>
      </c>
      <c r="D1286" t="s">
        <v>42</v>
      </c>
      <c r="E1286" t="s">
        <v>43</v>
      </c>
      <c r="F1286">
        <v>7</v>
      </c>
      <c r="G1286">
        <v>253.26</v>
      </c>
      <c r="H1286" t="s">
        <v>64</v>
      </c>
      <c r="I1286" t="s">
        <v>2037</v>
      </c>
      <c r="J1286" t="s">
        <v>97</v>
      </c>
      <c r="K1286" t="s">
        <v>27</v>
      </c>
      <c r="L1286" t="s">
        <v>39</v>
      </c>
      <c r="M1286" t="s">
        <v>49</v>
      </c>
      <c r="N1286">
        <v>1772.82</v>
      </c>
    </row>
    <row r="1287" spans="1:14" x14ac:dyDescent="0.35">
      <c r="A1287" s="2">
        <v>45432</v>
      </c>
      <c r="B1287" t="s">
        <v>1659</v>
      </c>
      <c r="C1287" t="s">
        <v>74</v>
      </c>
      <c r="D1287" t="s">
        <v>52</v>
      </c>
      <c r="E1287" t="s">
        <v>43</v>
      </c>
      <c r="F1287">
        <v>1</v>
      </c>
      <c r="G1287">
        <v>109.97</v>
      </c>
      <c r="H1287" t="s">
        <v>58</v>
      </c>
      <c r="I1287" t="s">
        <v>2038</v>
      </c>
      <c r="J1287" t="s">
        <v>26</v>
      </c>
      <c r="K1287" t="s">
        <v>27</v>
      </c>
      <c r="L1287" t="s">
        <v>28</v>
      </c>
      <c r="M1287" t="s">
        <v>29</v>
      </c>
      <c r="N1287">
        <v>109.97</v>
      </c>
    </row>
    <row r="1288" spans="1:14" x14ac:dyDescent="0.35">
      <c r="A1288" s="2">
        <v>45572</v>
      </c>
      <c r="B1288" t="s">
        <v>642</v>
      </c>
      <c r="C1288" t="s">
        <v>21</v>
      </c>
      <c r="D1288" t="s">
        <v>42</v>
      </c>
      <c r="E1288" t="s">
        <v>34</v>
      </c>
      <c r="F1288">
        <v>9</v>
      </c>
      <c r="G1288">
        <v>94.96</v>
      </c>
      <c r="H1288" t="s">
        <v>44</v>
      </c>
      <c r="I1288" t="s">
        <v>2039</v>
      </c>
      <c r="J1288" t="s">
        <v>94</v>
      </c>
      <c r="K1288" t="s">
        <v>60</v>
      </c>
      <c r="L1288" t="s">
        <v>39</v>
      </c>
      <c r="M1288" t="s">
        <v>29</v>
      </c>
      <c r="N1288">
        <v>854.64</v>
      </c>
    </row>
    <row r="1289" spans="1:14" x14ac:dyDescent="0.35">
      <c r="A1289" s="2">
        <v>45057</v>
      </c>
      <c r="B1289" t="s">
        <v>394</v>
      </c>
      <c r="C1289" t="s">
        <v>89</v>
      </c>
      <c r="D1289" t="s">
        <v>42</v>
      </c>
      <c r="E1289" t="s">
        <v>63</v>
      </c>
      <c r="F1289">
        <v>8</v>
      </c>
      <c r="G1289">
        <v>267.13</v>
      </c>
      <c r="H1289" t="s">
        <v>44</v>
      </c>
      <c r="I1289" t="s">
        <v>2040</v>
      </c>
      <c r="J1289" t="s">
        <v>55</v>
      </c>
      <c r="K1289" t="s">
        <v>60</v>
      </c>
      <c r="L1289" t="s">
        <v>28</v>
      </c>
      <c r="M1289" t="s">
        <v>56</v>
      </c>
      <c r="N1289">
        <v>2137.04</v>
      </c>
    </row>
    <row r="1290" spans="1:14" x14ac:dyDescent="0.35">
      <c r="A1290" s="2">
        <v>45095</v>
      </c>
      <c r="B1290" t="s">
        <v>1246</v>
      </c>
      <c r="C1290" t="s">
        <v>21</v>
      </c>
      <c r="D1290" t="s">
        <v>52</v>
      </c>
      <c r="E1290" t="s">
        <v>43</v>
      </c>
      <c r="F1290">
        <v>2</v>
      </c>
      <c r="G1290">
        <v>393.8</v>
      </c>
      <c r="H1290" t="s">
        <v>64</v>
      </c>
      <c r="I1290" t="s">
        <v>2041</v>
      </c>
      <c r="J1290" t="s">
        <v>97</v>
      </c>
      <c r="K1290" t="s">
        <v>60</v>
      </c>
      <c r="L1290" t="s">
        <v>66</v>
      </c>
      <c r="M1290" t="s">
        <v>101</v>
      </c>
      <c r="N1290">
        <v>787.6</v>
      </c>
    </row>
    <row r="1291" spans="1:14" x14ac:dyDescent="0.35">
      <c r="A1291" s="2">
        <v>44989</v>
      </c>
      <c r="B1291" t="s">
        <v>2042</v>
      </c>
      <c r="C1291" t="s">
        <v>71</v>
      </c>
      <c r="D1291" t="s">
        <v>42</v>
      </c>
      <c r="E1291" t="s">
        <v>43</v>
      </c>
      <c r="F1291">
        <v>9</v>
      </c>
      <c r="G1291">
        <v>175.22</v>
      </c>
      <c r="H1291" t="s">
        <v>24</v>
      </c>
      <c r="I1291" t="s">
        <v>2043</v>
      </c>
      <c r="J1291" t="s">
        <v>26</v>
      </c>
      <c r="K1291" t="s">
        <v>38</v>
      </c>
      <c r="L1291" t="s">
        <v>39</v>
      </c>
      <c r="M1291" t="s">
        <v>79</v>
      </c>
      <c r="N1291">
        <v>1576.98</v>
      </c>
    </row>
    <row r="1292" spans="1:14" x14ac:dyDescent="0.35">
      <c r="A1292" s="2">
        <v>45789</v>
      </c>
      <c r="B1292" t="s">
        <v>1010</v>
      </c>
      <c r="C1292" t="s">
        <v>47</v>
      </c>
      <c r="D1292" t="s">
        <v>33</v>
      </c>
      <c r="E1292" t="s">
        <v>53</v>
      </c>
      <c r="F1292">
        <v>3</v>
      </c>
      <c r="G1292">
        <v>104.72</v>
      </c>
      <c r="H1292" t="s">
        <v>24</v>
      </c>
      <c r="I1292" t="s">
        <v>2044</v>
      </c>
      <c r="J1292" t="s">
        <v>26</v>
      </c>
      <c r="K1292" t="s">
        <v>60</v>
      </c>
      <c r="L1292" t="s">
        <v>39</v>
      </c>
      <c r="M1292" t="s">
        <v>29</v>
      </c>
      <c r="N1292">
        <v>314.16000000000003</v>
      </c>
    </row>
    <row r="1293" spans="1:14" x14ac:dyDescent="0.35">
      <c r="A1293" s="2">
        <v>45480</v>
      </c>
      <c r="B1293" t="s">
        <v>464</v>
      </c>
      <c r="C1293" t="s">
        <v>71</v>
      </c>
      <c r="D1293" t="s">
        <v>52</v>
      </c>
      <c r="E1293" t="s">
        <v>83</v>
      </c>
      <c r="F1293">
        <v>1</v>
      </c>
      <c r="G1293">
        <v>231.89</v>
      </c>
      <c r="H1293" t="s">
        <v>24</v>
      </c>
      <c r="I1293" t="s">
        <v>2045</v>
      </c>
      <c r="J1293" t="s">
        <v>94</v>
      </c>
      <c r="K1293" t="s">
        <v>60</v>
      </c>
      <c r="L1293" t="s">
        <v>39</v>
      </c>
      <c r="M1293" t="s">
        <v>101</v>
      </c>
      <c r="N1293">
        <v>231.89</v>
      </c>
    </row>
    <row r="1294" spans="1:14" x14ac:dyDescent="0.35">
      <c r="A1294" s="2">
        <v>45215</v>
      </c>
      <c r="B1294" t="s">
        <v>328</v>
      </c>
      <c r="C1294" t="s">
        <v>47</v>
      </c>
      <c r="D1294" t="s">
        <v>22</v>
      </c>
      <c r="E1294" t="s">
        <v>83</v>
      </c>
      <c r="F1294">
        <v>3</v>
      </c>
      <c r="G1294">
        <v>140.36000000000001</v>
      </c>
      <c r="H1294" t="s">
        <v>58</v>
      </c>
      <c r="I1294" t="s">
        <v>2046</v>
      </c>
      <c r="J1294" t="s">
        <v>94</v>
      </c>
      <c r="K1294" t="s">
        <v>38</v>
      </c>
      <c r="L1294" t="s">
        <v>39</v>
      </c>
      <c r="M1294" t="s">
        <v>29</v>
      </c>
      <c r="N1294">
        <v>421.08</v>
      </c>
    </row>
    <row r="1295" spans="1:14" x14ac:dyDescent="0.35">
      <c r="A1295" s="2">
        <v>45086</v>
      </c>
      <c r="B1295" t="s">
        <v>2047</v>
      </c>
      <c r="C1295" t="s">
        <v>21</v>
      </c>
      <c r="D1295" t="s">
        <v>42</v>
      </c>
      <c r="E1295" t="s">
        <v>43</v>
      </c>
      <c r="F1295">
        <v>6</v>
      </c>
      <c r="G1295">
        <v>206.9</v>
      </c>
      <c r="H1295" t="s">
        <v>64</v>
      </c>
      <c r="I1295" t="s">
        <v>2048</v>
      </c>
      <c r="J1295" t="s">
        <v>97</v>
      </c>
      <c r="K1295" t="s">
        <v>60</v>
      </c>
      <c r="L1295" t="s">
        <v>39</v>
      </c>
      <c r="M1295" t="s">
        <v>61</v>
      </c>
      <c r="N1295">
        <v>1241.4000000000001</v>
      </c>
    </row>
    <row r="1296" spans="1:14" x14ac:dyDescent="0.35">
      <c r="A1296" s="2">
        <v>45024</v>
      </c>
      <c r="B1296" t="s">
        <v>2049</v>
      </c>
      <c r="C1296" t="s">
        <v>47</v>
      </c>
      <c r="D1296" t="s">
        <v>22</v>
      </c>
      <c r="E1296" t="s">
        <v>23</v>
      </c>
      <c r="F1296">
        <v>8</v>
      </c>
      <c r="G1296">
        <v>227.59</v>
      </c>
      <c r="H1296" t="s">
        <v>44</v>
      </c>
      <c r="I1296" t="s">
        <v>2050</v>
      </c>
      <c r="J1296" t="s">
        <v>26</v>
      </c>
      <c r="K1296" t="s">
        <v>38</v>
      </c>
      <c r="L1296" t="s">
        <v>39</v>
      </c>
      <c r="M1296" t="s">
        <v>79</v>
      </c>
      <c r="N1296">
        <v>1820.72</v>
      </c>
    </row>
    <row r="1297" spans="1:14" x14ac:dyDescent="0.35">
      <c r="A1297" s="2">
        <v>45394</v>
      </c>
      <c r="B1297" t="s">
        <v>1257</v>
      </c>
      <c r="C1297" t="s">
        <v>106</v>
      </c>
      <c r="D1297" t="s">
        <v>42</v>
      </c>
      <c r="E1297" t="s">
        <v>63</v>
      </c>
      <c r="F1297">
        <v>7</v>
      </c>
      <c r="G1297">
        <v>34.520000000000003</v>
      </c>
      <c r="H1297" t="s">
        <v>58</v>
      </c>
      <c r="I1297" t="s">
        <v>2051</v>
      </c>
      <c r="J1297" t="s">
        <v>55</v>
      </c>
      <c r="K1297" t="s">
        <v>27</v>
      </c>
      <c r="L1297" t="s">
        <v>39</v>
      </c>
      <c r="M1297" t="s">
        <v>61</v>
      </c>
      <c r="N1297">
        <v>241.64</v>
      </c>
    </row>
    <row r="1298" spans="1:14" x14ac:dyDescent="0.35">
      <c r="A1298" s="2">
        <v>45654</v>
      </c>
      <c r="B1298" t="s">
        <v>1295</v>
      </c>
      <c r="C1298" t="s">
        <v>74</v>
      </c>
      <c r="D1298" t="s">
        <v>33</v>
      </c>
      <c r="E1298" t="s">
        <v>83</v>
      </c>
      <c r="F1298">
        <v>3</v>
      </c>
      <c r="G1298">
        <v>15.01</v>
      </c>
      <c r="H1298" t="s">
        <v>24</v>
      </c>
      <c r="I1298" t="s">
        <v>2052</v>
      </c>
      <c r="J1298" t="s">
        <v>26</v>
      </c>
      <c r="K1298" t="s">
        <v>78</v>
      </c>
      <c r="L1298" t="s">
        <v>28</v>
      </c>
      <c r="M1298" t="s">
        <v>79</v>
      </c>
      <c r="N1298">
        <v>45.03</v>
      </c>
    </row>
    <row r="1299" spans="1:14" x14ac:dyDescent="0.35">
      <c r="A1299" s="2">
        <v>45070</v>
      </c>
      <c r="B1299" t="s">
        <v>404</v>
      </c>
      <c r="C1299" t="s">
        <v>47</v>
      </c>
      <c r="D1299" t="s">
        <v>42</v>
      </c>
      <c r="E1299" t="s">
        <v>83</v>
      </c>
      <c r="F1299">
        <v>4</v>
      </c>
      <c r="G1299">
        <v>149.80000000000001</v>
      </c>
      <c r="H1299" t="s">
        <v>35</v>
      </c>
      <c r="I1299" t="s">
        <v>2053</v>
      </c>
      <c r="J1299" t="s">
        <v>94</v>
      </c>
      <c r="K1299" t="s">
        <v>78</v>
      </c>
      <c r="L1299" t="s">
        <v>28</v>
      </c>
      <c r="M1299" t="s">
        <v>67</v>
      </c>
      <c r="N1299">
        <v>599.20000000000005</v>
      </c>
    </row>
    <row r="1300" spans="1:14" x14ac:dyDescent="0.35">
      <c r="A1300" s="2">
        <v>45594</v>
      </c>
      <c r="B1300" t="s">
        <v>1493</v>
      </c>
      <c r="C1300" t="s">
        <v>71</v>
      </c>
      <c r="D1300" t="s">
        <v>42</v>
      </c>
      <c r="E1300" t="s">
        <v>63</v>
      </c>
      <c r="F1300">
        <v>10</v>
      </c>
      <c r="G1300">
        <v>69.23</v>
      </c>
      <c r="H1300" t="s">
        <v>44</v>
      </c>
      <c r="I1300" t="s">
        <v>2054</v>
      </c>
      <c r="J1300" t="s">
        <v>97</v>
      </c>
      <c r="K1300" t="s">
        <v>60</v>
      </c>
      <c r="L1300" t="s">
        <v>39</v>
      </c>
      <c r="M1300" t="s">
        <v>49</v>
      </c>
      <c r="N1300">
        <v>692.30000000000007</v>
      </c>
    </row>
    <row r="1301" spans="1:14" x14ac:dyDescent="0.35">
      <c r="A1301" s="2">
        <v>44961</v>
      </c>
      <c r="B1301" t="s">
        <v>632</v>
      </c>
      <c r="C1301" t="s">
        <v>41</v>
      </c>
      <c r="D1301" t="s">
        <v>52</v>
      </c>
      <c r="E1301" t="s">
        <v>23</v>
      </c>
      <c r="F1301">
        <v>5</v>
      </c>
      <c r="G1301">
        <v>264.75</v>
      </c>
      <c r="H1301" t="s">
        <v>35</v>
      </c>
      <c r="I1301" t="s">
        <v>2055</v>
      </c>
      <c r="J1301" t="s">
        <v>97</v>
      </c>
      <c r="K1301" t="s">
        <v>27</v>
      </c>
      <c r="L1301" t="s">
        <v>39</v>
      </c>
      <c r="M1301" t="s">
        <v>79</v>
      </c>
      <c r="N1301">
        <v>1323.75</v>
      </c>
    </row>
    <row r="1302" spans="1:14" x14ac:dyDescent="0.35">
      <c r="A1302" s="2">
        <v>45714</v>
      </c>
      <c r="B1302" t="s">
        <v>172</v>
      </c>
      <c r="C1302" t="s">
        <v>47</v>
      </c>
      <c r="D1302" t="s">
        <v>22</v>
      </c>
      <c r="E1302" t="s">
        <v>43</v>
      </c>
      <c r="F1302">
        <v>8</v>
      </c>
      <c r="G1302">
        <v>8.98</v>
      </c>
      <c r="H1302" t="s">
        <v>64</v>
      </c>
      <c r="I1302" t="s">
        <v>2056</v>
      </c>
      <c r="J1302" t="s">
        <v>26</v>
      </c>
      <c r="K1302" t="s">
        <v>78</v>
      </c>
      <c r="L1302" t="s">
        <v>28</v>
      </c>
      <c r="M1302" t="s">
        <v>67</v>
      </c>
      <c r="N1302">
        <v>71.84</v>
      </c>
    </row>
    <row r="1303" spans="1:14" x14ac:dyDescent="0.35">
      <c r="A1303" s="2">
        <v>45799</v>
      </c>
      <c r="B1303" t="s">
        <v>1295</v>
      </c>
      <c r="C1303" t="s">
        <v>89</v>
      </c>
      <c r="D1303" t="s">
        <v>22</v>
      </c>
      <c r="E1303" t="s">
        <v>23</v>
      </c>
      <c r="F1303">
        <v>10</v>
      </c>
      <c r="G1303">
        <v>116.92</v>
      </c>
      <c r="H1303" t="s">
        <v>24</v>
      </c>
      <c r="I1303" t="s">
        <v>2057</v>
      </c>
      <c r="J1303" t="s">
        <v>37</v>
      </c>
      <c r="K1303" t="s">
        <v>78</v>
      </c>
      <c r="L1303" t="s">
        <v>28</v>
      </c>
      <c r="M1303" t="s">
        <v>56</v>
      </c>
      <c r="N1303">
        <v>1169.2</v>
      </c>
    </row>
    <row r="1304" spans="1:14" x14ac:dyDescent="0.35">
      <c r="A1304" s="2">
        <v>45606</v>
      </c>
      <c r="B1304" t="s">
        <v>646</v>
      </c>
      <c r="C1304" t="s">
        <v>106</v>
      </c>
      <c r="D1304" t="s">
        <v>42</v>
      </c>
      <c r="E1304" t="s">
        <v>23</v>
      </c>
      <c r="F1304">
        <v>8</v>
      </c>
      <c r="G1304">
        <v>286.52</v>
      </c>
      <c r="H1304" t="s">
        <v>58</v>
      </c>
      <c r="I1304" t="s">
        <v>2058</v>
      </c>
      <c r="J1304" t="s">
        <v>94</v>
      </c>
      <c r="K1304" t="s">
        <v>60</v>
      </c>
      <c r="L1304" t="s">
        <v>28</v>
      </c>
      <c r="M1304" t="s">
        <v>101</v>
      </c>
      <c r="N1304">
        <v>2292.16</v>
      </c>
    </row>
    <row r="1305" spans="1:14" x14ac:dyDescent="0.35">
      <c r="A1305" s="2">
        <v>45716</v>
      </c>
      <c r="B1305" t="s">
        <v>661</v>
      </c>
      <c r="C1305" t="s">
        <v>41</v>
      </c>
      <c r="D1305" t="s">
        <v>33</v>
      </c>
      <c r="E1305" t="s">
        <v>63</v>
      </c>
      <c r="F1305">
        <v>10</v>
      </c>
      <c r="G1305">
        <v>272.01</v>
      </c>
      <c r="H1305" t="s">
        <v>24</v>
      </c>
      <c r="I1305" t="s">
        <v>2059</v>
      </c>
      <c r="J1305" t="s">
        <v>97</v>
      </c>
      <c r="K1305" t="s">
        <v>38</v>
      </c>
      <c r="L1305" t="s">
        <v>39</v>
      </c>
      <c r="M1305" t="s">
        <v>61</v>
      </c>
      <c r="N1305">
        <v>2720.1</v>
      </c>
    </row>
    <row r="1306" spans="1:14" x14ac:dyDescent="0.35">
      <c r="A1306" s="2">
        <v>45149</v>
      </c>
      <c r="B1306" t="s">
        <v>1290</v>
      </c>
      <c r="C1306" t="s">
        <v>51</v>
      </c>
      <c r="D1306" t="s">
        <v>52</v>
      </c>
      <c r="E1306" t="s">
        <v>43</v>
      </c>
      <c r="F1306">
        <v>4</v>
      </c>
      <c r="G1306">
        <v>382.19</v>
      </c>
      <c r="H1306" t="s">
        <v>35</v>
      </c>
      <c r="I1306" t="s">
        <v>2060</v>
      </c>
      <c r="J1306" t="s">
        <v>37</v>
      </c>
      <c r="K1306" t="s">
        <v>38</v>
      </c>
      <c r="L1306" t="s">
        <v>39</v>
      </c>
      <c r="M1306" t="s">
        <v>61</v>
      </c>
      <c r="N1306">
        <v>1528.76</v>
      </c>
    </row>
    <row r="1307" spans="1:14" x14ac:dyDescent="0.35">
      <c r="A1307" s="2">
        <v>45489</v>
      </c>
      <c r="B1307" t="s">
        <v>1102</v>
      </c>
      <c r="C1307" t="s">
        <v>41</v>
      </c>
      <c r="D1307" t="s">
        <v>52</v>
      </c>
      <c r="E1307" t="s">
        <v>34</v>
      </c>
      <c r="F1307">
        <v>4</v>
      </c>
      <c r="G1307">
        <v>374.29</v>
      </c>
      <c r="H1307" t="s">
        <v>64</v>
      </c>
      <c r="I1307" t="s">
        <v>2061</v>
      </c>
      <c r="J1307" t="s">
        <v>55</v>
      </c>
      <c r="K1307" t="s">
        <v>60</v>
      </c>
      <c r="L1307" t="s">
        <v>39</v>
      </c>
      <c r="M1307" t="s">
        <v>49</v>
      </c>
      <c r="N1307">
        <v>1497.16</v>
      </c>
    </row>
    <row r="1308" spans="1:14" x14ac:dyDescent="0.35">
      <c r="A1308" s="2">
        <v>45267</v>
      </c>
      <c r="B1308" t="s">
        <v>20</v>
      </c>
      <c r="C1308" t="s">
        <v>81</v>
      </c>
      <c r="D1308" t="s">
        <v>52</v>
      </c>
      <c r="E1308" t="s">
        <v>23</v>
      </c>
      <c r="F1308">
        <v>8</v>
      </c>
      <c r="G1308">
        <v>148.34</v>
      </c>
      <c r="H1308" t="s">
        <v>58</v>
      </c>
      <c r="I1308" t="s">
        <v>2062</v>
      </c>
      <c r="J1308" t="s">
        <v>37</v>
      </c>
      <c r="K1308" t="s">
        <v>27</v>
      </c>
      <c r="L1308" t="s">
        <v>28</v>
      </c>
      <c r="M1308" t="s">
        <v>56</v>
      </c>
      <c r="N1308">
        <v>1186.72</v>
      </c>
    </row>
    <row r="1309" spans="1:14" x14ac:dyDescent="0.35">
      <c r="A1309" s="2">
        <v>45442</v>
      </c>
      <c r="B1309" t="s">
        <v>2063</v>
      </c>
      <c r="C1309" t="s">
        <v>41</v>
      </c>
      <c r="D1309" t="s">
        <v>22</v>
      </c>
      <c r="E1309" t="s">
        <v>63</v>
      </c>
      <c r="F1309">
        <v>7</v>
      </c>
      <c r="G1309">
        <v>197.82</v>
      </c>
      <c r="H1309" t="s">
        <v>44</v>
      </c>
      <c r="I1309" t="s">
        <v>2064</v>
      </c>
      <c r="J1309" t="s">
        <v>97</v>
      </c>
      <c r="K1309" t="s">
        <v>60</v>
      </c>
      <c r="L1309" t="s">
        <v>28</v>
      </c>
      <c r="M1309" t="s">
        <v>56</v>
      </c>
      <c r="N1309">
        <v>1384.74</v>
      </c>
    </row>
    <row r="1310" spans="1:14" x14ac:dyDescent="0.35">
      <c r="A1310" s="2">
        <v>45740</v>
      </c>
      <c r="B1310" t="s">
        <v>123</v>
      </c>
      <c r="C1310" t="s">
        <v>81</v>
      </c>
      <c r="D1310" t="s">
        <v>33</v>
      </c>
      <c r="E1310" t="s">
        <v>53</v>
      </c>
      <c r="F1310">
        <v>2</v>
      </c>
      <c r="G1310">
        <v>309.61</v>
      </c>
      <c r="H1310" t="s">
        <v>24</v>
      </c>
      <c r="I1310" t="s">
        <v>2065</v>
      </c>
      <c r="J1310" t="s">
        <v>26</v>
      </c>
      <c r="K1310" t="s">
        <v>60</v>
      </c>
      <c r="L1310" t="s">
        <v>66</v>
      </c>
      <c r="M1310" t="s">
        <v>29</v>
      </c>
      <c r="N1310">
        <v>619.22</v>
      </c>
    </row>
    <row r="1311" spans="1:14" x14ac:dyDescent="0.35">
      <c r="A1311" s="2">
        <v>45316</v>
      </c>
      <c r="B1311" t="s">
        <v>540</v>
      </c>
      <c r="C1311" t="s">
        <v>81</v>
      </c>
      <c r="D1311" t="s">
        <v>33</v>
      </c>
      <c r="E1311" t="s">
        <v>43</v>
      </c>
      <c r="F1311">
        <v>5</v>
      </c>
      <c r="G1311">
        <v>195.89</v>
      </c>
      <c r="H1311" t="s">
        <v>44</v>
      </c>
      <c r="I1311" t="s">
        <v>2066</v>
      </c>
      <c r="J1311" t="s">
        <v>94</v>
      </c>
      <c r="K1311" t="s">
        <v>38</v>
      </c>
      <c r="L1311" t="s">
        <v>66</v>
      </c>
      <c r="M1311" t="s">
        <v>56</v>
      </c>
      <c r="N1311">
        <v>979.44999999999993</v>
      </c>
    </row>
    <row r="1312" spans="1:14" x14ac:dyDescent="0.35">
      <c r="A1312" s="2">
        <v>45408</v>
      </c>
      <c r="B1312" t="s">
        <v>661</v>
      </c>
      <c r="C1312" t="s">
        <v>89</v>
      </c>
      <c r="D1312" t="s">
        <v>22</v>
      </c>
      <c r="E1312" t="s">
        <v>63</v>
      </c>
      <c r="F1312">
        <v>3</v>
      </c>
      <c r="G1312">
        <v>10.99</v>
      </c>
      <c r="H1312" t="s">
        <v>24</v>
      </c>
      <c r="I1312" t="s">
        <v>2067</v>
      </c>
      <c r="J1312" t="s">
        <v>97</v>
      </c>
      <c r="K1312" t="s">
        <v>60</v>
      </c>
      <c r="L1312" t="s">
        <v>39</v>
      </c>
      <c r="M1312" t="s">
        <v>61</v>
      </c>
      <c r="N1312">
        <v>32.97</v>
      </c>
    </row>
    <row r="1313" spans="1:14" x14ac:dyDescent="0.35">
      <c r="A1313" s="2">
        <v>44964</v>
      </c>
      <c r="B1313" t="s">
        <v>1351</v>
      </c>
      <c r="C1313" t="s">
        <v>86</v>
      </c>
      <c r="D1313" t="s">
        <v>22</v>
      </c>
      <c r="E1313" t="s">
        <v>92</v>
      </c>
      <c r="F1313">
        <v>7</v>
      </c>
      <c r="G1313">
        <v>253.16</v>
      </c>
      <c r="H1313" t="s">
        <v>64</v>
      </c>
      <c r="I1313" t="s">
        <v>2068</v>
      </c>
      <c r="J1313" t="s">
        <v>37</v>
      </c>
      <c r="K1313" t="s">
        <v>38</v>
      </c>
      <c r="L1313" t="s">
        <v>28</v>
      </c>
      <c r="M1313" t="s">
        <v>49</v>
      </c>
      <c r="N1313">
        <v>1772.12</v>
      </c>
    </row>
    <row r="1314" spans="1:14" x14ac:dyDescent="0.35">
      <c r="A1314" s="2">
        <v>45584</v>
      </c>
      <c r="B1314" t="s">
        <v>166</v>
      </c>
      <c r="C1314" t="s">
        <v>74</v>
      </c>
      <c r="D1314" t="s">
        <v>42</v>
      </c>
      <c r="E1314" t="s">
        <v>63</v>
      </c>
      <c r="F1314">
        <v>3</v>
      </c>
      <c r="G1314">
        <v>76.47</v>
      </c>
      <c r="H1314" t="s">
        <v>44</v>
      </c>
      <c r="I1314" t="s">
        <v>2069</v>
      </c>
      <c r="J1314" t="s">
        <v>37</v>
      </c>
      <c r="K1314" t="s">
        <v>60</v>
      </c>
      <c r="L1314" t="s">
        <v>39</v>
      </c>
      <c r="M1314" t="s">
        <v>79</v>
      </c>
      <c r="N1314">
        <v>229.41</v>
      </c>
    </row>
    <row r="1315" spans="1:14" x14ac:dyDescent="0.35">
      <c r="A1315" s="2">
        <v>45692</v>
      </c>
      <c r="B1315" t="s">
        <v>309</v>
      </c>
      <c r="C1315" t="s">
        <v>74</v>
      </c>
      <c r="D1315" t="s">
        <v>22</v>
      </c>
      <c r="E1315" t="s">
        <v>83</v>
      </c>
      <c r="F1315">
        <v>1</v>
      </c>
      <c r="G1315">
        <v>11.77</v>
      </c>
      <c r="H1315" t="s">
        <v>44</v>
      </c>
      <c r="I1315" t="s">
        <v>2070</v>
      </c>
      <c r="J1315" t="s">
        <v>94</v>
      </c>
      <c r="K1315" t="s">
        <v>78</v>
      </c>
      <c r="L1315" t="s">
        <v>39</v>
      </c>
      <c r="M1315" t="s">
        <v>49</v>
      </c>
      <c r="N1315">
        <v>11.77</v>
      </c>
    </row>
    <row r="1316" spans="1:14" x14ac:dyDescent="0.35">
      <c r="A1316" s="2">
        <v>45659</v>
      </c>
      <c r="B1316" t="s">
        <v>352</v>
      </c>
      <c r="C1316" t="s">
        <v>89</v>
      </c>
      <c r="D1316" t="s">
        <v>33</v>
      </c>
      <c r="E1316" t="s">
        <v>83</v>
      </c>
      <c r="F1316">
        <v>6</v>
      </c>
      <c r="G1316">
        <v>223.9</v>
      </c>
      <c r="H1316" t="s">
        <v>35</v>
      </c>
      <c r="I1316" t="s">
        <v>2071</v>
      </c>
      <c r="J1316" t="s">
        <v>94</v>
      </c>
      <c r="K1316" t="s">
        <v>27</v>
      </c>
      <c r="L1316" t="s">
        <v>39</v>
      </c>
      <c r="M1316" t="s">
        <v>56</v>
      </c>
      <c r="N1316">
        <v>1343.4</v>
      </c>
    </row>
    <row r="1317" spans="1:14" x14ac:dyDescent="0.35">
      <c r="A1317" s="2">
        <v>45221</v>
      </c>
      <c r="B1317" t="s">
        <v>987</v>
      </c>
      <c r="C1317" t="s">
        <v>47</v>
      </c>
      <c r="D1317" t="s">
        <v>22</v>
      </c>
      <c r="E1317" t="s">
        <v>83</v>
      </c>
      <c r="F1317">
        <v>4</v>
      </c>
      <c r="G1317">
        <v>249.73</v>
      </c>
      <c r="H1317" t="s">
        <v>58</v>
      </c>
      <c r="I1317" t="s">
        <v>2072</v>
      </c>
      <c r="J1317" t="s">
        <v>37</v>
      </c>
      <c r="K1317" t="s">
        <v>60</v>
      </c>
      <c r="L1317" t="s">
        <v>28</v>
      </c>
      <c r="M1317" t="s">
        <v>101</v>
      </c>
      <c r="N1317">
        <v>998.92</v>
      </c>
    </row>
    <row r="1318" spans="1:14" x14ac:dyDescent="0.35">
      <c r="A1318" s="2">
        <v>45615</v>
      </c>
      <c r="B1318" t="s">
        <v>261</v>
      </c>
      <c r="C1318" t="s">
        <v>106</v>
      </c>
      <c r="D1318" t="s">
        <v>22</v>
      </c>
      <c r="E1318" t="s">
        <v>53</v>
      </c>
      <c r="F1318">
        <v>4</v>
      </c>
      <c r="G1318">
        <v>121.41</v>
      </c>
      <c r="H1318" t="s">
        <v>24</v>
      </c>
      <c r="I1318" t="s">
        <v>2073</v>
      </c>
      <c r="J1318" t="s">
        <v>55</v>
      </c>
      <c r="K1318" t="s">
        <v>27</v>
      </c>
      <c r="L1318" t="s">
        <v>39</v>
      </c>
      <c r="M1318" t="s">
        <v>49</v>
      </c>
      <c r="N1318">
        <v>485.64</v>
      </c>
    </row>
    <row r="1319" spans="1:14" x14ac:dyDescent="0.35">
      <c r="A1319" s="2">
        <v>45749</v>
      </c>
      <c r="B1319" t="s">
        <v>1006</v>
      </c>
      <c r="C1319" t="s">
        <v>21</v>
      </c>
      <c r="D1319" t="s">
        <v>22</v>
      </c>
      <c r="E1319" t="s">
        <v>83</v>
      </c>
      <c r="F1319">
        <v>9</v>
      </c>
      <c r="G1319">
        <v>299.02</v>
      </c>
      <c r="H1319" t="s">
        <v>24</v>
      </c>
      <c r="I1319" t="s">
        <v>2074</v>
      </c>
      <c r="J1319" t="s">
        <v>97</v>
      </c>
      <c r="K1319" t="s">
        <v>27</v>
      </c>
      <c r="L1319" t="s">
        <v>39</v>
      </c>
      <c r="M1319" t="s">
        <v>67</v>
      </c>
      <c r="N1319">
        <v>2691.18</v>
      </c>
    </row>
    <row r="1320" spans="1:14" x14ac:dyDescent="0.35">
      <c r="A1320" s="2">
        <v>45511</v>
      </c>
      <c r="B1320" t="s">
        <v>596</v>
      </c>
      <c r="C1320" t="s">
        <v>51</v>
      </c>
      <c r="D1320" t="s">
        <v>22</v>
      </c>
      <c r="E1320" t="s">
        <v>63</v>
      </c>
      <c r="F1320">
        <v>1</v>
      </c>
      <c r="G1320">
        <v>99.54</v>
      </c>
      <c r="H1320" t="s">
        <v>64</v>
      </c>
      <c r="I1320" t="s">
        <v>2075</v>
      </c>
      <c r="J1320" t="s">
        <v>97</v>
      </c>
      <c r="K1320" t="s">
        <v>38</v>
      </c>
      <c r="L1320" t="s">
        <v>39</v>
      </c>
      <c r="M1320" t="s">
        <v>67</v>
      </c>
      <c r="N1320">
        <v>99.54</v>
      </c>
    </row>
    <row r="1321" spans="1:14" x14ac:dyDescent="0.35">
      <c r="A1321" s="2">
        <v>45105</v>
      </c>
      <c r="B1321" t="s">
        <v>1023</v>
      </c>
      <c r="C1321" t="s">
        <v>89</v>
      </c>
      <c r="D1321" t="s">
        <v>22</v>
      </c>
      <c r="E1321" t="s">
        <v>63</v>
      </c>
      <c r="F1321">
        <v>2</v>
      </c>
      <c r="G1321">
        <v>73.849999999999994</v>
      </c>
      <c r="H1321" t="s">
        <v>64</v>
      </c>
      <c r="I1321" t="s">
        <v>2076</v>
      </c>
      <c r="J1321" t="s">
        <v>26</v>
      </c>
      <c r="K1321" t="s">
        <v>78</v>
      </c>
      <c r="L1321" t="s">
        <v>39</v>
      </c>
      <c r="M1321" t="s">
        <v>67</v>
      </c>
      <c r="N1321">
        <v>147.69999999999999</v>
      </c>
    </row>
    <row r="1322" spans="1:14" x14ac:dyDescent="0.35">
      <c r="A1322" s="2">
        <v>45183</v>
      </c>
      <c r="B1322" t="s">
        <v>495</v>
      </c>
      <c r="C1322" t="s">
        <v>81</v>
      </c>
      <c r="D1322" t="s">
        <v>42</v>
      </c>
      <c r="E1322" t="s">
        <v>53</v>
      </c>
      <c r="F1322">
        <v>9</v>
      </c>
      <c r="G1322">
        <v>378.41</v>
      </c>
      <c r="H1322" t="s">
        <v>35</v>
      </c>
      <c r="I1322" t="s">
        <v>2077</v>
      </c>
      <c r="J1322" t="s">
        <v>94</v>
      </c>
      <c r="K1322" t="s">
        <v>27</v>
      </c>
      <c r="L1322" t="s">
        <v>28</v>
      </c>
      <c r="M1322" t="s">
        <v>56</v>
      </c>
      <c r="N1322">
        <v>3405.69</v>
      </c>
    </row>
    <row r="1323" spans="1:14" x14ac:dyDescent="0.35">
      <c r="A1323" s="2">
        <v>45318</v>
      </c>
      <c r="B1323" t="s">
        <v>1319</v>
      </c>
      <c r="C1323" t="s">
        <v>21</v>
      </c>
      <c r="D1323" t="s">
        <v>22</v>
      </c>
      <c r="E1323" t="s">
        <v>23</v>
      </c>
      <c r="F1323">
        <v>9</v>
      </c>
      <c r="G1323">
        <v>73.88</v>
      </c>
      <c r="H1323" t="s">
        <v>64</v>
      </c>
      <c r="I1323" t="s">
        <v>2078</v>
      </c>
      <c r="J1323" t="s">
        <v>26</v>
      </c>
      <c r="K1323" t="s">
        <v>38</v>
      </c>
      <c r="L1323" t="s">
        <v>28</v>
      </c>
      <c r="M1323" t="s">
        <v>79</v>
      </c>
      <c r="N1323">
        <v>664.92</v>
      </c>
    </row>
    <row r="1324" spans="1:14" x14ac:dyDescent="0.35">
      <c r="A1324" s="2">
        <v>45083</v>
      </c>
      <c r="B1324" t="s">
        <v>242</v>
      </c>
      <c r="C1324" t="s">
        <v>86</v>
      </c>
      <c r="D1324" t="s">
        <v>33</v>
      </c>
      <c r="E1324" t="s">
        <v>23</v>
      </c>
      <c r="F1324">
        <v>5</v>
      </c>
      <c r="G1324">
        <v>168.94</v>
      </c>
      <c r="H1324" t="s">
        <v>35</v>
      </c>
      <c r="I1324" t="s">
        <v>2079</v>
      </c>
      <c r="J1324" t="s">
        <v>37</v>
      </c>
      <c r="K1324" t="s">
        <v>78</v>
      </c>
      <c r="L1324" t="s">
        <v>28</v>
      </c>
      <c r="M1324" t="s">
        <v>49</v>
      </c>
      <c r="N1324">
        <v>844.7</v>
      </c>
    </row>
    <row r="1325" spans="1:14" x14ac:dyDescent="0.35">
      <c r="A1325" s="2">
        <v>45048</v>
      </c>
      <c r="B1325" t="s">
        <v>524</v>
      </c>
      <c r="C1325" t="s">
        <v>106</v>
      </c>
      <c r="D1325" t="s">
        <v>33</v>
      </c>
      <c r="E1325" t="s">
        <v>63</v>
      </c>
      <c r="F1325">
        <v>2</v>
      </c>
      <c r="G1325">
        <v>368.37</v>
      </c>
      <c r="H1325" t="s">
        <v>24</v>
      </c>
      <c r="I1325" t="s">
        <v>2080</v>
      </c>
      <c r="J1325" t="s">
        <v>37</v>
      </c>
      <c r="K1325" t="s">
        <v>27</v>
      </c>
      <c r="L1325" t="s">
        <v>28</v>
      </c>
      <c r="M1325" t="s">
        <v>49</v>
      </c>
      <c r="N1325">
        <v>736.74</v>
      </c>
    </row>
    <row r="1326" spans="1:14" x14ac:dyDescent="0.35">
      <c r="A1326" s="2">
        <v>45135</v>
      </c>
      <c r="B1326" t="s">
        <v>2022</v>
      </c>
      <c r="C1326" t="s">
        <v>51</v>
      </c>
      <c r="D1326" t="s">
        <v>22</v>
      </c>
      <c r="E1326" t="s">
        <v>34</v>
      </c>
      <c r="F1326">
        <v>1</v>
      </c>
      <c r="G1326">
        <v>388.73</v>
      </c>
      <c r="H1326" t="s">
        <v>24</v>
      </c>
      <c r="I1326" t="s">
        <v>2081</v>
      </c>
      <c r="J1326" t="s">
        <v>55</v>
      </c>
      <c r="K1326" t="s">
        <v>38</v>
      </c>
      <c r="L1326" t="s">
        <v>39</v>
      </c>
      <c r="M1326" t="s">
        <v>61</v>
      </c>
      <c r="N1326">
        <v>388.73</v>
      </c>
    </row>
    <row r="1327" spans="1:14" x14ac:dyDescent="0.35">
      <c r="A1327" s="2">
        <v>45499</v>
      </c>
      <c r="B1327" t="s">
        <v>1540</v>
      </c>
      <c r="C1327" t="s">
        <v>41</v>
      </c>
      <c r="D1327" t="s">
        <v>33</v>
      </c>
      <c r="E1327" t="s">
        <v>34</v>
      </c>
      <c r="F1327">
        <v>5</v>
      </c>
      <c r="G1327">
        <v>393.72</v>
      </c>
      <c r="H1327" t="s">
        <v>58</v>
      </c>
      <c r="I1327" t="s">
        <v>2082</v>
      </c>
      <c r="J1327" t="s">
        <v>55</v>
      </c>
      <c r="K1327" t="s">
        <v>38</v>
      </c>
      <c r="L1327" t="s">
        <v>28</v>
      </c>
      <c r="M1327" t="s">
        <v>61</v>
      </c>
      <c r="N1327">
        <v>1968.6</v>
      </c>
    </row>
    <row r="1328" spans="1:14" x14ac:dyDescent="0.35">
      <c r="A1328" s="2">
        <v>45618</v>
      </c>
      <c r="B1328" t="s">
        <v>376</v>
      </c>
      <c r="C1328" t="s">
        <v>106</v>
      </c>
      <c r="D1328" t="s">
        <v>52</v>
      </c>
      <c r="E1328" t="s">
        <v>83</v>
      </c>
      <c r="F1328">
        <v>10</v>
      </c>
      <c r="G1328">
        <v>10.58</v>
      </c>
      <c r="H1328" t="s">
        <v>24</v>
      </c>
      <c r="I1328" t="s">
        <v>2083</v>
      </c>
      <c r="J1328" t="s">
        <v>55</v>
      </c>
      <c r="K1328" t="s">
        <v>60</v>
      </c>
      <c r="L1328" t="s">
        <v>66</v>
      </c>
      <c r="M1328" t="s">
        <v>61</v>
      </c>
      <c r="N1328">
        <v>105.8</v>
      </c>
    </row>
    <row r="1329" spans="1:14" x14ac:dyDescent="0.35">
      <c r="A1329" s="2">
        <v>45280</v>
      </c>
      <c r="B1329" t="s">
        <v>1277</v>
      </c>
      <c r="C1329" t="s">
        <v>106</v>
      </c>
      <c r="D1329" t="s">
        <v>42</v>
      </c>
      <c r="E1329" t="s">
        <v>23</v>
      </c>
      <c r="F1329">
        <v>6</v>
      </c>
      <c r="G1329">
        <v>344.74</v>
      </c>
      <c r="H1329" t="s">
        <v>44</v>
      </c>
      <c r="I1329" t="s">
        <v>2084</v>
      </c>
      <c r="J1329" t="s">
        <v>94</v>
      </c>
      <c r="K1329" t="s">
        <v>60</v>
      </c>
      <c r="L1329" t="s">
        <v>66</v>
      </c>
      <c r="M1329" t="s">
        <v>67</v>
      </c>
      <c r="N1329">
        <v>2068.44</v>
      </c>
    </row>
    <row r="1330" spans="1:14" x14ac:dyDescent="0.35">
      <c r="A1330" s="2">
        <v>45520</v>
      </c>
      <c r="B1330" t="s">
        <v>2085</v>
      </c>
      <c r="C1330" t="s">
        <v>71</v>
      </c>
      <c r="D1330" t="s">
        <v>33</v>
      </c>
      <c r="E1330" t="s">
        <v>83</v>
      </c>
      <c r="F1330">
        <v>6</v>
      </c>
      <c r="G1330">
        <v>64.099999999999994</v>
      </c>
      <c r="H1330" t="s">
        <v>35</v>
      </c>
      <c r="I1330" t="s">
        <v>2086</v>
      </c>
      <c r="J1330" t="s">
        <v>37</v>
      </c>
      <c r="K1330" t="s">
        <v>38</v>
      </c>
      <c r="L1330" t="s">
        <v>39</v>
      </c>
      <c r="M1330" t="s">
        <v>61</v>
      </c>
      <c r="N1330">
        <v>384.6</v>
      </c>
    </row>
    <row r="1331" spans="1:14" x14ac:dyDescent="0.35">
      <c r="A1331" s="2">
        <v>45329</v>
      </c>
      <c r="B1331" t="s">
        <v>1902</v>
      </c>
      <c r="C1331" t="s">
        <v>41</v>
      </c>
      <c r="D1331" t="s">
        <v>52</v>
      </c>
      <c r="E1331" t="s">
        <v>83</v>
      </c>
      <c r="F1331">
        <v>5</v>
      </c>
      <c r="G1331">
        <v>203.39</v>
      </c>
      <c r="H1331" t="s">
        <v>35</v>
      </c>
      <c r="I1331" t="s">
        <v>2087</v>
      </c>
      <c r="J1331" t="s">
        <v>94</v>
      </c>
      <c r="K1331" t="s">
        <v>60</v>
      </c>
      <c r="L1331" t="s">
        <v>66</v>
      </c>
      <c r="M1331" t="s">
        <v>67</v>
      </c>
      <c r="N1331">
        <v>1016.95</v>
      </c>
    </row>
    <row r="1332" spans="1:14" x14ac:dyDescent="0.35">
      <c r="A1332" s="2">
        <v>45565</v>
      </c>
      <c r="B1332" t="s">
        <v>2088</v>
      </c>
      <c r="C1332" t="s">
        <v>21</v>
      </c>
      <c r="D1332" t="s">
        <v>33</v>
      </c>
      <c r="E1332" t="s">
        <v>53</v>
      </c>
      <c r="F1332">
        <v>3</v>
      </c>
      <c r="G1332">
        <v>175.8</v>
      </c>
      <c r="H1332" t="s">
        <v>24</v>
      </c>
      <c r="I1332" t="s">
        <v>2089</v>
      </c>
      <c r="J1332" t="s">
        <v>26</v>
      </c>
      <c r="K1332" t="s">
        <v>78</v>
      </c>
      <c r="L1332" t="s">
        <v>39</v>
      </c>
      <c r="M1332" t="s">
        <v>29</v>
      </c>
      <c r="N1332">
        <v>527.40000000000009</v>
      </c>
    </row>
    <row r="1333" spans="1:14" x14ac:dyDescent="0.35">
      <c r="A1333" s="2">
        <v>45694</v>
      </c>
      <c r="B1333" t="s">
        <v>2090</v>
      </c>
      <c r="C1333" t="s">
        <v>51</v>
      </c>
      <c r="D1333" t="s">
        <v>42</v>
      </c>
      <c r="E1333" t="s">
        <v>53</v>
      </c>
      <c r="F1333">
        <v>5</v>
      </c>
      <c r="G1333">
        <v>343.61</v>
      </c>
      <c r="H1333" t="s">
        <v>35</v>
      </c>
      <c r="I1333" t="s">
        <v>2091</v>
      </c>
      <c r="J1333" t="s">
        <v>94</v>
      </c>
      <c r="K1333" t="s">
        <v>60</v>
      </c>
      <c r="L1333" t="s">
        <v>39</v>
      </c>
      <c r="M1333" t="s">
        <v>56</v>
      </c>
      <c r="N1333">
        <v>1718.05</v>
      </c>
    </row>
    <row r="1334" spans="1:14" x14ac:dyDescent="0.35">
      <c r="A1334" s="2">
        <v>45476</v>
      </c>
      <c r="B1334" t="s">
        <v>1746</v>
      </c>
      <c r="C1334" t="s">
        <v>81</v>
      </c>
      <c r="D1334" t="s">
        <v>22</v>
      </c>
      <c r="E1334" t="s">
        <v>63</v>
      </c>
      <c r="F1334">
        <v>5</v>
      </c>
      <c r="G1334">
        <v>364.79</v>
      </c>
      <c r="H1334" t="s">
        <v>58</v>
      </c>
      <c r="I1334" t="s">
        <v>2092</v>
      </c>
      <c r="J1334" t="s">
        <v>55</v>
      </c>
      <c r="K1334" t="s">
        <v>27</v>
      </c>
      <c r="L1334" t="s">
        <v>66</v>
      </c>
      <c r="M1334" t="s">
        <v>67</v>
      </c>
      <c r="N1334">
        <v>1823.95</v>
      </c>
    </row>
    <row r="1335" spans="1:14" x14ac:dyDescent="0.35">
      <c r="A1335" s="2">
        <v>45675</v>
      </c>
      <c r="B1335" t="s">
        <v>1771</v>
      </c>
      <c r="C1335" t="s">
        <v>81</v>
      </c>
      <c r="D1335" t="s">
        <v>22</v>
      </c>
      <c r="E1335" t="s">
        <v>53</v>
      </c>
      <c r="F1335">
        <v>9</v>
      </c>
      <c r="G1335">
        <v>92.12</v>
      </c>
      <c r="H1335" t="s">
        <v>58</v>
      </c>
      <c r="I1335" t="s">
        <v>2093</v>
      </c>
      <c r="J1335" t="s">
        <v>97</v>
      </c>
      <c r="K1335" t="s">
        <v>27</v>
      </c>
      <c r="L1335" t="s">
        <v>66</v>
      </c>
      <c r="M1335" t="s">
        <v>79</v>
      </c>
      <c r="N1335">
        <v>829.08</v>
      </c>
    </row>
    <row r="1336" spans="1:14" x14ac:dyDescent="0.35">
      <c r="A1336" s="2">
        <v>45761</v>
      </c>
      <c r="B1336" t="s">
        <v>2094</v>
      </c>
      <c r="C1336" t="s">
        <v>89</v>
      </c>
      <c r="D1336" t="s">
        <v>33</v>
      </c>
      <c r="E1336" t="s">
        <v>43</v>
      </c>
      <c r="F1336">
        <v>4</v>
      </c>
      <c r="G1336">
        <v>129.88999999999999</v>
      </c>
      <c r="H1336" t="s">
        <v>58</v>
      </c>
      <c r="I1336" t="s">
        <v>2095</v>
      </c>
      <c r="J1336" t="s">
        <v>94</v>
      </c>
      <c r="K1336" t="s">
        <v>38</v>
      </c>
      <c r="L1336" t="s">
        <v>39</v>
      </c>
      <c r="M1336" t="s">
        <v>29</v>
      </c>
      <c r="N1336">
        <v>519.55999999999995</v>
      </c>
    </row>
    <row r="1337" spans="1:14" x14ac:dyDescent="0.35">
      <c r="A1337" s="2">
        <v>45427</v>
      </c>
      <c r="B1337" t="s">
        <v>871</v>
      </c>
      <c r="C1337" t="s">
        <v>51</v>
      </c>
      <c r="D1337" t="s">
        <v>22</v>
      </c>
      <c r="E1337" t="s">
        <v>63</v>
      </c>
      <c r="F1337">
        <v>4</v>
      </c>
      <c r="G1337">
        <v>354.63</v>
      </c>
      <c r="H1337" t="s">
        <v>58</v>
      </c>
      <c r="I1337" t="s">
        <v>2096</v>
      </c>
      <c r="J1337" t="s">
        <v>37</v>
      </c>
      <c r="K1337" t="s">
        <v>60</v>
      </c>
      <c r="L1337" t="s">
        <v>66</v>
      </c>
      <c r="M1337" t="s">
        <v>67</v>
      </c>
      <c r="N1337">
        <v>1418.52</v>
      </c>
    </row>
    <row r="1338" spans="1:14" x14ac:dyDescent="0.35">
      <c r="A1338" s="2">
        <v>45356</v>
      </c>
      <c r="B1338" t="s">
        <v>1338</v>
      </c>
      <c r="C1338" t="s">
        <v>41</v>
      </c>
      <c r="D1338" t="s">
        <v>33</v>
      </c>
      <c r="E1338" t="s">
        <v>34</v>
      </c>
      <c r="F1338">
        <v>4</v>
      </c>
      <c r="G1338">
        <v>115.36</v>
      </c>
      <c r="H1338" t="s">
        <v>64</v>
      </c>
      <c r="I1338" t="s">
        <v>2097</v>
      </c>
      <c r="J1338" t="s">
        <v>26</v>
      </c>
      <c r="K1338" t="s">
        <v>38</v>
      </c>
      <c r="L1338" t="s">
        <v>39</v>
      </c>
      <c r="M1338" t="s">
        <v>49</v>
      </c>
      <c r="N1338">
        <v>461.44</v>
      </c>
    </row>
    <row r="1339" spans="1:14" x14ac:dyDescent="0.35">
      <c r="A1339" s="2">
        <v>45748</v>
      </c>
      <c r="B1339" t="s">
        <v>374</v>
      </c>
      <c r="C1339" t="s">
        <v>86</v>
      </c>
      <c r="D1339" t="s">
        <v>42</v>
      </c>
      <c r="E1339" t="s">
        <v>43</v>
      </c>
      <c r="F1339">
        <v>5</v>
      </c>
      <c r="G1339">
        <v>20.36</v>
      </c>
      <c r="H1339" t="s">
        <v>64</v>
      </c>
      <c r="I1339" t="s">
        <v>2098</v>
      </c>
      <c r="J1339" t="s">
        <v>37</v>
      </c>
      <c r="K1339" t="s">
        <v>38</v>
      </c>
      <c r="L1339" t="s">
        <v>39</v>
      </c>
      <c r="M1339" t="s">
        <v>49</v>
      </c>
      <c r="N1339">
        <v>101.8</v>
      </c>
    </row>
    <row r="1340" spans="1:14" x14ac:dyDescent="0.35">
      <c r="A1340" s="2">
        <v>45055</v>
      </c>
      <c r="B1340" t="s">
        <v>616</v>
      </c>
      <c r="C1340" t="s">
        <v>21</v>
      </c>
      <c r="D1340" t="s">
        <v>22</v>
      </c>
      <c r="E1340" t="s">
        <v>53</v>
      </c>
      <c r="F1340">
        <v>2</v>
      </c>
      <c r="G1340">
        <v>89.15</v>
      </c>
      <c r="H1340" t="s">
        <v>44</v>
      </c>
      <c r="I1340" t="s">
        <v>2099</v>
      </c>
      <c r="J1340" t="s">
        <v>94</v>
      </c>
      <c r="K1340" t="s">
        <v>60</v>
      </c>
      <c r="L1340" t="s">
        <v>39</v>
      </c>
      <c r="M1340" t="s">
        <v>49</v>
      </c>
      <c r="N1340">
        <v>178.3</v>
      </c>
    </row>
    <row r="1341" spans="1:14" x14ac:dyDescent="0.35">
      <c r="A1341" s="2">
        <v>45825</v>
      </c>
      <c r="B1341" t="s">
        <v>1564</v>
      </c>
      <c r="C1341" t="s">
        <v>81</v>
      </c>
      <c r="D1341" t="s">
        <v>33</v>
      </c>
      <c r="E1341" t="s">
        <v>83</v>
      </c>
      <c r="F1341">
        <v>10</v>
      </c>
      <c r="G1341">
        <v>326.45</v>
      </c>
      <c r="H1341" t="s">
        <v>24</v>
      </c>
      <c r="I1341" t="s">
        <v>2100</v>
      </c>
      <c r="J1341" t="s">
        <v>97</v>
      </c>
      <c r="K1341" t="s">
        <v>78</v>
      </c>
      <c r="L1341" t="s">
        <v>28</v>
      </c>
      <c r="M1341" t="s">
        <v>49</v>
      </c>
      <c r="N1341">
        <v>3264.5</v>
      </c>
    </row>
    <row r="1342" spans="1:14" x14ac:dyDescent="0.35">
      <c r="A1342" s="2">
        <v>45115</v>
      </c>
      <c r="B1342" t="s">
        <v>1785</v>
      </c>
      <c r="C1342" t="s">
        <v>74</v>
      </c>
      <c r="D1342" t="s">
        <v>52</v>
      </c>
      <c r="E1342" t="s">
        <v>63</v>
      </c>
      <c r="F1342">
        <v>9</v>
      </c>
      <c r="G1342">
        <v>224.31</v>
      </c>
      <c r="H1342" t="s">
        <v>35</v>
      </c>
      <c r="I1342" t="s">
        <v>2101</v>
      </c>
      <c r="J1342" t="s">
        <v>37</v>
      </c>
      <c r="K1342" t="s">
        <v>38</v>
      </c>
      <c r="L1342" t="s">
        <v>66</v>
      </c>
      <c r="M1342" t="s">
        <v>79</v>
      </c>
      <c r="N1342">
        <v>2018.79</v>
      </c>
    </row>
    <row r="1343" spans="1:14" x14ac:dyDescent="0.35">
      <c r="A1343" s="2">
        <v>45053</v>
      </c>
      <c r="B1343" t="s">
        <v>99</v>
      </c>
      <c r="C1343" t="s">
        <v>89</v>
      </c>
      <c r="D1343" t="s">
        <v>33</v>
      </c>
      <c r="E1343" t="s">
        <v>92</v>
      </c>
      <c r="F1343">
        <v>1</v>
      </c>
      <c r="G1343">
        <v>221.96</v>
      </c>
      <c r="H1343" t="s">
        <v>64</v>
      </c>
      <c r="I1343" t="s">
        <v>2102</v>
      </c>
      <c r="J1343" t="s">
        <v>26</v>
      </c>
      <c r="K1343" t="s">
        <v>78</v>
      </c>
      <c r="L1343" t="s">
        <v>28</v>
      </c>
      <c r="M1343" t="s">
        <v>101</v>
      </c>
      <c r="N1343">
        <v>221.96</v>
      </c>
    </row>
    <row r="1344" spans="1:14" x14ac:dyDescent="0.35">
      <c r="A1344" s="2">
        <v>45162</v>
      </c>
      <c r="B1344" t="s">
        <v>2103</v>
      </c>
      <c r="C1344" t="s">
        <v>81</v>
      </c>
      <c r="D1344" t="s">
        <v>42</v>
      </c>
      <c r="E1344" t="s">
        <v>63</v>
      </c>
      <c r="F1344">
        <v>3</v>
      </c>
      <c r="G1344">
        <v>376.76</v>
      </c>
      <c r="H1344" t="s">
        <v>35</v>
      </c>
      <c r="I1344" t="s">
        <v>2104</v>
      </c>
      <c r="J1344" t="s">
        <v>97</v>
      </c>
      <c r="K1344" t="s">
        <v>38</v>
      </c>
      <c r="L1344" t="s">
        <v>28</v>
      </c>
      <c r="M1344" t="s">
        <v>56</v>
      </c>
      <c r="N1344">
        <v>1130.28</v>
      </c>
    </row>
    <row r="1345" spans="1:14" x14ac:dyDescent="0.35">
      <c r="A1345" s="2">
        <v>45617</v>
      </c>
      <c r="B1345" t="s">
        <v>468</v>
      </c>
      <c r="C1345" t="s">
        <v>74</v>
      </c>
      <c r="D1345" t="s">
        <v>52</v>
      </c>
      <c r="E1345" t="s">
        <v>43</v>
      </c>
      <c r="F1345">
        <v>8</v>
      </c>
      <c r="G1345">
        <v>152.29</v>
      </c>
      <c r="H1345" t="s">
        <v>58</v>
      </c>
      <c r="I1345" t="s">
        <v>2105</v>
      </c>
      <c r="J1345" t="s">
        <v>37</v>
      </c>
      <c r="K1345" t="s">
        <v>60</v>
      </c>
      <c r="L1345" t="s">
        <v>66</v>
      </c>
      <c r="M1345" t="s">
        <v>56</v>
      </c>
      <c r="N1345">
        <v>1218.32</v>
      </c>
    </row>
    <row r="1346" spans="1:14" x14ac:dyDescent="0.35">
      <c r="A1346" s="2">
        <v>45193</v>
      </c>
      <c r="B1346" t="s">
        <v>1213</v>
      </c>
      <c r="C1346" t="s">
        <v>86</v>
      </c>
      <c r="D1346" t="s">
        <v>52</v>
      </c>
      <c r="E1346" t="s">
        <v>92</v>
      </c>
      <c r="F1346">
        <v>2</v>
      </c>
      <c r="G1346">
        <v>98.37</v>
      </c>
      <c r="H1346" t="s">
        <v>35</v>
      </c>
      <c r="I1346" t="s">
        <v>2106</v>
      </c>
      <c r="J1346" t="s">
        <v>94</v>
      </c>
      <c r="K1346" t="s">
        <v>60</v>
      </c>
      <c r="L1346" t="s">
        <v>39</v>
      </c>
      <c r="M1346" t="s">
        <v>101</v>
      </c>
      <c r="N1346">
        <v>196.74</v>
      </c>
    </row>
    <row r="1347" spans="1:14" x14ac:dyDescent="0.35">
      <c r="A1347" s="2">
        <v>44945</v>
      </c>
      <c r="B1347" t="s">
        <v>743</v>
      </c>
      <c r="C1347" t="s">
        <v>21</v>
      </c>
      <c r="D1347" t="s">
        <v>22</v>
      </c>
      <c r="E1347" t="s">
        <v>92</v>
      </c>
      <c r="F1347">
        <v>10</v>
      </c>
      <c r="G1347">
        <v>262.33</v>
      </c>
      <c r="H1347" t="s">
        <v>24</v>
      </c>
      <c r="I1347" t="s">
        <v>2107</v>
      </c>
      <c r="J1347" t="s">
        <v>97</v>
      </c>
      <c r="K1347" t="s">
        <v>27</v>
      </c>
      <c r="L1347" t="s">
        <v>39</v>
      </c>
      <c r="M1347" t="s">
        <v>56</v>
      </c>
      <c r="N1347">
        <v>2623.3</v>
      </c>
    </row>
    <row r="1348" spans="1:14" x14ac:dyDescent="0.35">
      <c r="A1348" s="2">
        <v>45711</v>
      </c>
      <c r="B1348" t="s">
        <v>908</v>
      </c>
      <c r="C1348" t="s">
        <v>71</v>
      </c>
      <c r="D1348" t="s">
        <v>33</v>
      </c>
      <c r="E1348" t="s">
        <v>63</v>
      </c>
      <c r="F1348">
        <v>10</v>
      </c>
      <c r="G1348">
        <v>207.55</v>
      </c>
      <c r="H1348" t="s">
        <v>64</v>
      </c>
      <c r="I1348" t="s">
        <v>2108</v>
      </c>
      <c r="J1348" t="s">
        <v>97</v>
      </c>
      <c r="K1348" t="s">
        <v>27</v>
      </c>
      <c r="L1348" t="s">
        <v>28</v>
      </c>
      <c r="M1348" t="s">
        <v>101</v>
      </c>
      <c r="N1348">
        <v>2075.5</v>
      </c>
    </row>
    <row r="1349" spans="1:14" x14ac:dyDescent="0.35">
      <c r="A1349" s="2">
        <v>45714</v>
      </c>
      <c r="B1349" t="s">
        <v>827</v>
      </c>
      <c r="C1349" t="s">
        <v>21</v>
      </c>
      <c r="D1349" t="s">
        <v>42</v>
      </c>
      <c r="E1349" t="s">
        <v>23</v>
      </c>
      <c r="F1349">
        <v>1</v>
      </c>
      <c r="G1349">
        <v>67.34</v>
      </c>
      <c r="H1349" t="s">
        <v>64</v>
      </c>
      <c r="I1349" t="s">
        <v>2109</v>
      </c>
      <c r="J1349" t="s">
        <v>97</v>
      </c>
      <c r="K1349" t="s">
        <v>60</v>
      </c>
      <c r="L1349" t="s">
        <v>39</v>
      </c>
      <c r="M1349" t="s">
        <v>67</v>
      </c>
      <c r="N1349">
        <v>67.34</v>
      </c>
    </row>
    <row r="1350" spans="1:14" x14ac:dyDescent="0.35">
      <c r="A1350" s="2">
        <v>45733</v>
      </c>
      <c r="B1350" t="s">
        <v>76</v>
      </c>
      <c r="C1350" t="s">
        <v>41</v>
      </c>
      <c r="D1350" t="s">
        <v>42</v>
      </c>
      <c r="E1350" t="s">
        <v>53</v>
      </c>
      <c r="F1350">
        <v>3</v>
      </c>
      <c r="G1350">
        <v>346.35</v>
      </c>
      <c r="H1350" t="s">
        <v>64</v>
      </c>
      <c r="I1350" t="s">
        <v>2110</v>
      </c>
      <c r="J1350" t="s">
        <v>94</v>
      </c>
      <c r="K1350" t="s">
        <v>78</v>
      </c>
      <c r="L1350" t="s">
        <v>28</v>
      </c>
      <c r="M1350" t="s">
        <v>29</v>
      </c>
      <c r="N1350">
        <v>1039.05</v>
      </c>
    </row>
    <row r="1351" spans="1:14" x14ac:dyDescent="0.35">
      <c r="A1351" s="2">
        <v>45561</v>
      </c>
      <c r="B1351" t="s">
        <v>2111</v>
      </c>
      <c r="C1351" t="s">
        <v>89</v>
      </c>
      <c r="D1351" t="s">
        <v>22</v>
      </c>
      <c r="E1351" t="s">
        <v>34</v>
      </c>
      <c r="F1351">
        <v>1</v>
      </c>
      <c r="G1351">
        <v>124.46</v>
      </c>
      <c r="H1351" t="s">
        <v>44</v>
      </c>
      <c r="I1351" t="s">
        <v>2112</v>
      </c>
      <c r="J1351" t="s">
        <v>37</v>
      </c>
      <c r="K1351" t="s">
        <v>38</v>
      </c>
      <c r="L1351" t="s">
        <v>28</v>
      </c>
      <c r="M1351" t="s">
        <v>56</v>
      </c>
      <c r="N1351">
        <v>124.46</v>
      </c>
    </row>
    <row r="1352" spans="1:14" x14ac:dyDescent="0.35">
      <c r="A1352" s="2">
        <v>45573</v>
      </c>
      <c r="B1352" t="s">
        <v>806</v>
      </c>
      <c r="C1352" t="s">
        <v>47</v>
      </c>
      <c r="D1352" t="s">
        <v>42</v>
      </c>
      <c r="E1352" t="s">
        <v>92</v>
      </c>
      <c r="F1352">
        <v>2</v>
      </c>
      <c r="G1352">
        <v>298.99</v>
      </c>
      <c r="H1352" t="s">
        <v>58</v>
      </c>
      <c r="I1352" t="s">
        <v>2113</v>
      </c>
      <c r="J1352" t="s">
        <v>37</v>
      </c>
      <c r="K1352" t="s">
        <v>78</v>
      </c>
      <c r="L1352" t="s">
        <v>66</v>
      </c>
      <c r="M1352" t="s">
        <v>49</v>
      </c>
      <c r="N1352">
        <v>597.98</v>
      </c>
    </row>
    <row r="1353" spans="1:14" x14ac:dyDescent="0.35">
      <c r="A1353" s="2">
        <v>45488</v>
      </c>
      <c r="B1353" t="s">
        <v>459</v>
      </c>
      <c r="C1353" t="s">
        <v>86</v>
      </c>
      <c r="D1353" t="s">
        <v>22</v>
      </c>
      <c r="E1353" t="s">
        <v>23</v>
      </c>
      <c r="F1353">
        <v>1</v>
      </c>
      <c r="G1353">
        <v>318.83</v>
      </c>
      <c r="H1353" t="s">
        <v>35</v>
      </c>
      <c r="I1353" t="s">
        <v>2114</v>
      </c>
      <c r="J1353" t="s">
        <v>55</v>
      </c>
      <c r="K1353" t="s">
        <v>78</v>
      </c>
      <c r="L1353" t="s">
        <v>66</v>
      </c>
      <c r="M1353" t="s">
        <v>29</v>
      </c>
      <c r="N1353">
        <v>318.83</v>
      </c>
    </row>
    <row r="1354" spans="1:14" x14ac:dyDescent="0.35">
      <c r="A1354" s="2">
        <v>45313</v>
      </c>
      <c r="B1354" t="s">
        <v>1400</v>
      </c>
      <c r="C1354" t="s">
        <v>21</v>
      </c>
      <c r="D1354" t="s">
        <v>33</v>
      </c>
      <c r="E1354" t="s">
        <v>83</v>
      </c>
      <c r="F1354">
        <v>4</v>
      </c>
      <c r="G1354">
        <v>107.64</v>
      </c>
      <c r="H1354" t="s">
        <v>44</v>
      </c>
      <c r="I1354" t="s">
        <v>2115</v>
      </c>
      <c r="J1354" t="s">
        <v>26</v>
      </c>
      <c r="K1354" t="s">
        <v>27</v>
      </c>
      <c r="L1354" t="s">
        <v>28</v>
      </c>
      <c r="M1354" t="s">
        <v>29</v>
      </c>
      <c r="N1354">
        <v>430.56</v>
      </c>
    </row>
    <row r="1355" spans="1:14" x14ac:dyDescent="0.35">
      <c r="A1355" s="2">
        <v>45629</v>
      </c>
      <c r="B1355" t="s">
        <v>923</v>
      </c>
      <c r="C1355" t="s">
        <v>86</v>
      </c>
      <c r="D1355" t="s">
        <v>22</v>
      </c>
      <c r="E1355" t="s">
        <v>34</v>
      </c>
      <c r="F1355">
        <v>5</v>
      </c>
      <c r="G1355">
        <v>96.13</v>
      </c>
      <c r="H1355" t="s">
        <v>44</v>
      </c>
      <c r="I1355" t="s">
        <v>2116</v>
      </c>
      <c r="J1355" t="s">
        <v>37</v>
      </c>
      <c r="K1355" t="s">
        <v>78</v>
      </c>
      <c r="L1355" t="s">
        <v>39</v>
      </c>
      <c r="M1355" t="s">
        <v>49</v>
      </c>
      <c r="N1355">
        <v>480.65</v>
      </c>
    </row>
    <row r="1356" spans="1:14" x14ac:dyDescent="0.35">
      <c r="A1356" s="2">
        <v>45559</v>
      </c>
      <c r="B1356" t="s">
        <v>2117</v>
      </c>
      <c r="C1356" t="s">
        <v>81</v>
      </c>
      <c r="D1356" t="s">
        <v>42</v>
      </c>
      <c r="E1356" t="s">
        <v>53</v>
      </c>
      <c r="F1356">
        <v>3</v>
      </c>
      <c r="G1356">
        <v>377.63</v>
      </c>
      <c r="H1356" t="s">
        <v>44</v>
      </c>
      <c r="I1356" t="s">
        <v>2118</v>
      </c>
      <c r="J1356" t="s">
        <v>26</v>
      </c>
      <c r="K1356" t="s">
        <v>38</v>
      </c>
      <c r="L1356" t="s">
        <v>39</v>
      </c>
      <c r="M1356" t="s">
        <v>49</v>
      </c>
      <c r="N1356">
        <v>1132.8900000000001</v>
      </c>
    </row>
    <row r="1357" spans="1:14" x14ac:dyDescent="0.35">
      <c r="A1357" s="2">
        <v>45692</v>
      </c>
      <c r="B1357" t="s">
        <v>1744</v>
      </c>
      <c r="C1357" t="s">
        <v>21</v>
      </c>
      <c r="D1357" t="s">
        <v>42</v>
      </c>
      <c r="E1357" t="s">
        <v>63</v>
      </c>
      <c r="F1357">
        <v>6</v>
      </c>
      <c r="G1357">
        <v>115.95</v>
      </c>
      <c r="H1357" t="s">
        <v>58</v>
      </c>
      <c r="I1357" t="s">
        <v>2119</v>
      </c>
      <c r="J1357" t="s">
        <v>37</v>
      </c>
      <c r="K1357" t="s">
        <v>60</v>
      </c>
      <c r="L1357" t="s">
        <v>28</v>
      </c>
      <c r="M1357" t="s">
        <v>49</v>
      </c>
      <c r="N1357">
        <v>695.7</v>
      </c>
    </row>
    <row r="1358" spans="1:14" x14ac:dyDescent="0.35">
      <c r="A1358" s="2">
        <v>45829</v>
      </c>
      <c r="B1358" t="s">
        <v>503</v>
      </c>
      <c r="C1358" t="s">
        <v>51</v>
      </c>
      <c r="D1358" t="s">
        <v>42</v>
      </c>
      <c r="E1358" t="s">
        <v>34</v>
      </c>
      <c r="F1358">
        <v>8</v>
      </c>
      <c r="G1358">
        <v>80.38</v>
      </c>
      <c r="H1358" t="s">
        <v>44</v>
      </c>
      <c r="I1358" t="s">
        <v>2120</v>
      </c>
      <c r="J1358" t="s">
        <v>97</v>
      </c>
      <c r="K1358" t="s">
        <v>38</v>
      </c>
      <c r="L1358" t="s">
        <v>28</v>
      </c>
      <c r="M1358" t="s">
        <v>79</v>
      </c>
      <c r="N1358">
        <v>643.04</v>
      </c>
    </row>
    <row r="1359" spans="1:14" x14ac:dyDescent="0.35">
      <c r="A1359" s="2">
        <v>45050</v>
      </c>
      <c r="B1359" t="s">
        <v>2121</v>
      </c>
      <c r="C1359" t="s">
        <v>21</v>
      </c>
      <c r="D1359" t="s">
        <v>52</v>
      </c>
      <c r="E1359" t="s">
        <v>23</v>
      </c>
      <c r="F1359">
        <v>9</v>
      </c>
      <c r="G1359">
        <v>387.83</v>
      </c>
      <c r="H1359" t="s">
        <v>24</v>
      </c>
      <c r="I1359" t="s">
        <v>2122</v>
      </c>
      <c r="J1359" t="s">
        <v>26</v>
      </c>
      <c r="K1359" t="s">
        <v>78</v>
      </c>
      <c r="L1359" t="s">
        <v>39</v>
      </c>
      <c r="M1359" t="s">
        <v>56</v>
      </c>
      <c r="N1359">
        <v>3490.47</v>
      </c>
    </row>
    <row r="1360" spans="1:14" x14ac:dyDescent="0.35">
      <c r="A1360" s="2">
        <v>45731</v>
      </c>
      <c r="B1360" t="s">
        <v>577</v>
      </c>
      <c r="C1360" t="s">
        <v>71</v>
      </c>
      <c r="D1360" t="s">
        <v>22</v>
      </c>
      <c r="E1360" t="s">
        <v>63</v>
      </c>
      <c r="F1360">
        <v>8</v>
      </c>
      <c r="G1360">
        <v>142.19999999999999</v>
      </c>
      <c r="H1360" t="s">
        <v>64</v>
      </c>
      <c r="I1360" t="s">
        <v>2123</v>
      </c>
      <c r="J1360" t="s">
        <v>55</v>
      </c>
      <c r="K1360" t="s">
        <v>78</v>
      </c>
      <c r="L1360" t="s">
        <v>39</v>
      </c>
      <c r="M1360" t="s">
        <v>79</v>
      </c>
      <c r="N1360">
        <v>1137.5999999999999</v>
      </c>
    </row>
    <row r="1361" spans="1:14" x14ac:dyDescent="0.35">
      <c r="A1361" s="2">
        <v>45445</v>
      </c>
      <c r="B1361" t="s">
        <v>900</v>
      </c>
      <c r="C1361" t="s">
        <v>89</v>
      </c>
      <c r="D1361" t="s">
        <v>22</v>
      </c>
      <c r="E1361" t="s">
        <v>23</v>
      </c>
      <c r="F1361">
        <v>8</v>
      </c>
      <c r="G1361">
        <v>221.86</v>
      </c>
      <c r="H1361" t="s">
        <v>58</v>
      </c>
      <c r="I1361" t="s">
        <v>2124</v>
      </c>
      <c r="J1361" t="s">
        <v>97</v>
      </c>
      <c r="K1361" t="s">
        <v>78</v>
      </c>
      <c r="L1361" t="s">
        <v>39</v>
      </c>
      <c r="M1361" t="s">
        <v>101</v>
      </c>
      <c r="N1361">
        <v>1774.88</v>
      </c>
    </row>
    <row r="1362" spans="1:14" x14ac:dyDescent="0.35">
      <c r="A1362" s="2">
        <v>45621</v>
      </c>
      <c r="B1362" t="s">
        <v>2125</v>
      </c>
      <c r="C1362" t="s">
        <v>81</v>
      </c>
      <c r="D1362" t="s">
        <v>22</v>
      </c>
      <c r="E1362" t="s">
        <v>34</v>
      </c>
      <c r="F1362">
        <v>3</v>
      </c>
      <c r="G1362">
        <v>331.95</v>
      </c>
      <c r="H1362" t="s">
        <v>58</v>
      </c>
      <c r="I1362" t="s">
        <v>2126</v>
      </c>
      <c r="J1362" t="s">
        <v>55</v>
      </c>
      <c r="K1362" t="s">
        <v>38</v>
      </c>
      <c r="L1362" t="s">
        <v>66</v>
      </c>
      <c r="M1362" t="s">
        <v>29</v>
      </c>
      <c r="N1362">
        <v>995.84999999999991</v>
      </c>
    </row>
    <row r="1363" spans="1:14" x14ac:dyDescent="0.35">
      <c r="A1363" s="2">
        <v>45458</v>
      </c>
      <c r="B1363" t="s">
        <v>1687</v>
      </c>
      <c r="C1363" t="s">
        <v>86</v>
      </c>
      <c r="D1363" t="s">
        <v>33</v>
      </c>
      <c r="E1363" t="s">
        <v>34</v>
      </c>
      <c r="F1363">
        <v>10</v>
      </c>
      <c r="G1363">
        <v>109.91</v>
      </c>
      <c r="H1363" t="s">
        <v>35</v>
      </c>
      <c r="I1363" t="s">
        <v>2127</v>
      </c>
      <c r="J1363" t="s">
        <v>37</v>
      </c>
      <c r="K1363" t="s">
        <v>60</v>
      </c>
      <c r="L1363" t="s">
        <v>28</v>
      </c>
      <c r="M1363" t="s">
        <v>79</v>
      </c>
      <c r="N1363">
        <v>1099.0999999999999</v>
      </c>
    </row>
    <row r="1364" spans="1:14" x14ac:dyDescent="0.35">
      <c r="A1364" s="2">
        <v>45030</v>
      </c>
      <c r="B1364" t="s">
        <v>1273</v>
      </c>
      <c r="C1364" t="s">
        <v>41</v>
      </c>
      <c r="D1364" t="s">
        <v>22</v>
      </c>
      <c r="E1364" t="s">
        <v>23</v>
      </c>
      <c r="F1364">
        <v>5</v>
      </c>
      <c r="G1364">
        <v>386.16</v>
      </c>
      <c r="H1364" t="s">
        <v>64</v>
      </c>
      <c r="I1364" t="s">
        <v>2128</v>
      </c>
      <c r="J1364" t="s">
        <v>37</v>
      </c>
      <c r="K1364" t="s">
        <v>78</v>
      </c>
      <c r="L1364" t="s">
        <v>28</v>
      </c>
      <c r="M1364" t="s">
        <v>61</v>
      </c>
      <c r="N1364">
        <v>1930.8</v>
      </c>
    </row>
    <row r="1365" spans="1:14" x14ac:dyDescent="0.35">
      <c r="A1365" s="2">
        <v>45181</v>
      </c>
      <c r="B1365" t="s">
        <v>474</v>
      </c>
      <c r="C1365" t="s">
        <v>71</v>
      </c>
      <c r="D1365" t="s">
        <v>42</v>
      </c>
      <c r="E1365" t="s">
        <v>43</v>
      </c>
      <c r="F1365">
        <v>6</v>
      </c>
      <c r="G1365">
        <v>202.43</v>
      </c>
      <c r="H1365" t="s">
        <v>44</v>
      </c>
      <c r="I1365" t="s">
        <v>2129</v>
      </c>
      <c r="J1365" t="s">
        <v>97</v>
      </c>
      <c r="K1365" t="s">
        <v>78</v>
      </c>
      <c r="L1365" t="s">
        <v>39</v>
      </c>
      <c r="M1365" t="s">
        <v>49</v>
      </c>
      <c r="N1365">
        <v>1214.58</v>
      </c>
    </row>
    <row r="1366" spans="1:14" x14ac:dyDescent="0.35">
      <c r="A1366" s="2">
        <v>45009</v>
      </c>
      <c r="B1366" t="s">
        <v>433</v>
      </c>
      <c r="C1366" t="s">
        <v>89</v>
      </c>
      <c r="D1366" t="s">
        <v>42</v>
      </c>
      <c r="E1366" t="s">
        <v>34</v>
      </c>
      <c r="F1366">
        <v>5</v>
      </c>
      <c r="G1366">
        <v>249.96</v>
      </c>
      <c r="H1366" t="s">
        <v>64</v>
      </c>
      <c r="I1366" t="s">
        <v>2130</v>
      </c>
      <c r="J1366" t="s">
        <v>26</v>
      </c>
      <c r="K1366" t="s">
        <v>38</v>
      </c>
      <c r="L1366" t="s">
        <v>66</v>
      </c>
      <c r="M1366" t="s">
        <v>61</v>
      </c>
      <c r="N1366">
        <v>1249.8</v>
      </c>
    </row>
    <row r="1367" spans="1:14" x14ac:dyDescent="0.35">
      <c r="A1367" s="2">
        <v>45381</v>
      </c>
      <c r="B1367" t="s">
        <v>2131</v>
      </c>
      <c r="C1367" t="s">
        <v>71</v>
      </c>
      <c r="D1367" t="s">
        <v>22</v>
      </c>
      <c r="E1367" t="s">
        <v>43</v>
      </c>
      <c r="F1367">
        <v>8</v>
      </c>
      <c r="G1367">
        <v>22.18</v>
      </c>
      <c r="H1367" t="s">
        <v>35</v>
      </c>
      <c r="I1367" t="s">
        <v>2132</v>
      </c>
      <c r="J1367" t="s">
        <v>37</v>
      </c>
      <c r="K1367" t="s">
        <v>38</v>
      </c>
      <c r="L1367" t="s">
        <v>39</v>
      </c>
      <c r="M1367" t="s">
        <v>79</v>
      </c>
      <c r="N1367">
        <v>177.44</v>
      </c>
    </row>
    <row r="1368" spans="1:14" x14ac:dyDescent="0.35">
      <c r="A1368" s="2">
        <v>45006</v>
      </c>
      <c r="B1368" t="s">
        <v>490</v>
      </c>
      <c r="C1368" t="s">
        <v>41</v>
      </c>
      <c r="D1368" t="s">
        <v>52</v>
      </c>
      <c r="E1368" t="s">
        <v>83</v>
      </c>
      <c r="F1368">
        <v>5</v>
      </c>
      <c r="G1368">
        <v>398.19</v>
      </c>
      <c r="H1368" t="s">
        <v>24</v>
      </c>
      <c r="I1368" t="s">
        <v>2133</v>
      </c>
      <c r="J1368" t="s">
        <v>37</v>
      </c>
      <c r="K1368" t="s">
        <v>27</v>
      </c>
      <c r="L1368" t="s">
        <v>66</v>
      </c>
      <c r="M1368" t="s">
        <v>49</v>
      </c>
      <c r="N1368">
        <v>1990.95</v>
      </c>
    </row>
    <row r="1369" spans="1:14" x14ac:dyDescent="0.35">
      <c r="A1369" s="2">
        <v>45760</v>
      </c>
      <c r="B1369" t="s">
        <v>706</v>
      </c>
      <c r="C1369" t="s">
        <v>51</v>
      </c>
      <c r="D1369" t="s">
        <v>33</v>
      </c>
      <c r="E1369" t="s">
        <v>23</v>
      </c>
      <c r="F1369">
        <v>7</v>
      </c>
      <c r="G1369">
        <v>61.81</v>
      </c>
      <c r="H1369" t="s">
        <v>58</v>
      </c>
      <c r="I1369" t="s">
        <v>2134</v>
      </c>
      <c r="J1369" t="s">
        <v>55</v>
      </c>
      <c r="K1369" t="s">
        <v>38</v>
      </c>
      <c r="L1369" t="s">
        <v>28</v>
      </c>
      <c r="M1369" t="s">
        <v>101</v>
      </c>
      <c r="N1369">
        <v>432.67</v>
      </c>
    </row>
    <row r="1370" spans="1:14" x14ac:dyDescent="0.35">
      <c r="A1370" s="2">
        <v>45354</v>
      </c>
      <c r="B1370" t="s">
        <v>861</v>
      </c>
      <c r="C1370" t="s">
        <v>81</v>
      </c>
      <c r="D1370" t="s">
        <v>52</v>
      </c>
      <c r="E1370" t="s">
        <v>43</v>
      </c>
      <c r="F1370">
        <v>6</v>
      </c>
      <c r="G1370">
        <v>120.36</v>
      </c>
      <c r="H1370" t="s">
        <v>44</v>
      </c>
      <c r="I1370" t="s">
        <v>2135</v>
      </c>
      <c r="J1370" t="s">
        <v>94</v>
      </c>
      <c r="K1370" t="s">
        <v>60</v>
      </c>
      <c r="L1370" t="s">
        <v>28</v>
      </c>
      <c r="M1370" t="s">
        <v>101</v>
      </c>
      <c r="N1370">
        <v>722.16</v>
      </c>
    </row>
    <row r="1371" spans="1:14" x14ac:dyDescent="0.35">
      <c r="A1371" s="2">
        <v>45614</v>
      </c>
      <c r="B1371" t="s">
        <v>1264</v>
      </c>
      <c r="C1371" t="s">
        <v>89</v>
      </c>
      <c r="D1371" t="s">
        <v>22</v>
      </c>
      <c r="E1371" t="s">
        <v>23</v>
      </c>
      <c r="F1371">
        <v>1</v>
      </c>
      <c r="G1371">
        <v>371.02</v>
      </c>
      <c r="H1371" t="s">
        <v>44</v>
      </c>
      <c r="I1371" t="s">
        <v>2136</v>
      </c>
      <c r="J1371" t="s">
        <v>55</v>
      </c>
      <c r="K1371" t="s">
        <v>38</v>
      </c>
      <c r="L1371" t="s">
        <v>39</v>
      </c>
      <c r="M1371" t="s">
        <v>29</v>
      </c>
      <c r="N1371">
        <v>371.02</v>
      </c>
    </row>
    <row r="1372" spans="1:14" x14ac:dyDescent="0.35">
      <c r="A1372" s="2">
        <v>45019</v>
      </c>
      <c r="B1372" t="s">
        <v>837</v>
      </c>
      <c r="C1372" t="s">
        <v>21</v>
      </c>
      <c r="D1372" t="s">
        <v>42</v>
      </c>
      <c r="E1372" t="s">
        <v>63</v>
      </c>
      <c r="F1372">
        <v>9</v>
      </c>
      <c r="G1372">
        <v>67.98</v>
      </c>
      <c r="H1372" t="s">
        <v>58</v>
      </c>
      <c r="I1372" t="s">
        <v>2137</v>
      </c>
      <c r="J1372" t="s">
        <v>37</v>
      </c>
      <c r="K1372" t="s">
        <v>27</v>
      </c>
      <c r="L1372" t="s">
        <v>39</v>
      </c>
      <c r="M1372" t="s">
        <v>29</v>
      </c>
      <c r="N1372">
        <v>611.82000000000005</v>
      </c>
    </row>
    <row r="1373" spans="1:14" x14ac:dyDescent="0.35">
      <c r="A1373" s="2">
        <v>45228</v>
      </c>
      <c r="B1373" t="s">
        <v>281</v>
      </c>
      <c r="C1373" t="s">
        <v>81</v>
      </c>
      <c r="D1373" t="s">
        <v>52</v>
      </c>
      <c r="E1373" t="s">
        <v>23</v>
      </c>
      <c r="F1373">
        <v>7</v>
      </c>
      <c r="G1373">
        <v>194.84</v>
      </c>
      <c r="H1373" t="s">
        <v>44</v>
      </c>
      <c r="I1373" t="s">
        <v>2138</v>
      </c>
      <c r="J1373" t="s">
        <v>26</v>
      </c>
      <c r="K1373" t="s">
        <v>60</v>
      </c>
      <c r="L1373" t="s">
        <v>66</v>
      </c>
      <c r="M1373" t="s">
        <v>101</v>
      </c>
      <c r="N1373">
        <v>1363.88</v>
      </c>
    </row>
    <row r="1374" spans="1:14" x14ac:dyDescent="0.35">
      <c r="A1374" s="2">
        <v>45543</v>
      </c>
      <c r="B1374" t="s">
        <v>2139</v>
      </c>
      <c r="C1374" t="s">
        <v>21</v>
      </c>
      <c r="D1374" t="s">
        <v>42</v>
      </c>
      <c r="E1374" t="s">
        <v>43</v>
      </c>
      <c r="F1374">
        <v>2</v>
      </c>
      <c r="G1374">
        <v>301.23</v>
      </c>
      <c r="H1374" t="s">
        <v>44</v>
      </c>
      <c r="I1374" t="s">
        <v>2140</v>
      </c>
      <c r="J1374" t="s">
        <v>55</v>
      </c>
      <c r="K1374" t="s">
        <v>27</v>
      </c>
      <c r="L1374" t="s">
        <v>66</v>
      </c>
      <c r="M1374" t="s">
        <v>101</v>
      </c>
      <c r="N1374">
        <v>602.46</v>
      </c>
    </row>
    <row r="1375" spans="1:14" x14ac:dyDescent="0.35">
      <c r="A1375" s="2">
        <v>45789</v>
      </c>
      <c r="B1375" t="s">
        <v>2141</v>
      </c>
      <c r="C1375" t="s">
        <v>89</v>
      </c>
      <c r="D1375" t="s">
        <v>33</v>
      </c>
      <c r="E1375" t="s">
        <v>43</v>
      </c>
      <c r="F1375">
        <v>6</v>
      </c>
      <c r="G1375">
        <v>284.08</v>
      </c>
      <c r="H1375" t="s">
        <v>35</v>
      </c>
      <c r="I1375" t="s">
        <v>2142</v>
      </c>
      <c r="J1375" t="s">
        <v>97</v>
      </c>
      <c r="K1375" t="s">
        <v>60</v>
      </c>
      <c r="L1375" t="s">
        <v>66</v>
      </c>
      <c r="M1375" t="s">
        <v>29</v>
      </c>
      <c r="N1375">
        <v>1704.48</v>
      </c>
    </row>
    <row r="1376" spans="1:14" x14ac:dyDescent="0.35">
      <c r="A1376" s="2">
        <v>45252</v>
      </c>
      <c r="B1376" t="s">
        <v>164</v>
      </c>
      <c r="C1376" t="s">
        <v>41</v>
      </c>
      <c r="D1376" t="s">
        <v>22</v>
      </c>
      <c r="E1376" t="s">
        <v>83</v>
      </c>
      <c r="F1376">
        <v>4</v>
      </c>
      <c r="G1376">
        <v>220.45</v>
      </c>
      <c r="H1376" t="s">
        <v>64</v>
      </c>
      <c r="I1376" t="s">
        <v>2143</v>
      </c>
      <c r="J1376" t="s">
        <v>97</v>
      </c>
      <c r="K1376" t="s">
        <v>38</v>
      </c>
      <c r="L1376" t="s">
        <v>28</v>
      </c>
      <c r="M1376" t="s">
        <v>67</v>
      </c>
      <c r="N1376">
        <v>881.8</v>
      </c>
    </row>
    <row r="1377" spans="1:14" x14ac:dyDescent="0.35">
      <c r="A1377" s="2">
        <v>45710</v>
      </c>
      <c r="B1377" t="s">
        <v>923</v>
      </c>
      <c r="C1377" t="s">
        <v>47</v>
      </c>
      <c r="D1377" t="s">
        <v>42</v>
      </c>
      <c r="E1377" t="s">
        <v>92</v>
      </c>
      <c r="F1377">
        <v>5</v>
      </c>
      <c r="G1377">
        <v>254.06</v>
      </c>
      <c r="H1377" t="s">
        <v>44</v>
      </c>
      <c r="I1377" t="s">
        <v>2144</v>
      </c>
      <c r="J1377" t="s">
        <v>26</v>
      </c>
      <c r="K1377" t="s">
        <v>38</v>
      </c>
      <c r="L1377" t="s">
        <v>39</v>
      </c>
      <c r="M1377" t="s">
        <v>79</v>
      </c>
      <c r="N1377">
        <v>1270.3</v>
      </c>
    </row>
    <row r="1378" spans="1:14" x14ac:dyDescent="0.35">
      <c r="A1378" s="2">
        <v>45280</v>
      </c>
      <c r="B1378" t="s">
        <v>133</v>
      </c>
      <c r="C1378" t="s">
        <v>21</v>
      </c>
      <c r="D1378" t="s">
        <v>22</v>
      </c>
      <c r="E1378" t="s">
        <v>53</v>
      </c>
      <c r="F1378">
        <v>6</v>
      </c>
      <c r="G1378">
        <v>194.11</v>
      </c>
      <c r="H1378" t="s">
        <v>44</v>
      </c>
      <c r="I1378" t="s">
        <v>2145</v>
      </c>
      <c r="J1378" t="s">
        <v>37</v>
      </c>
      <c r="K1378" t="s">
        <v>27</v>
      </c>
      <c r="L1378" t="s">
        <v>39</v>
      </c>
      <c r="M1378" t="s">
        <v>67</v>
      </c>
      <c r="N1378">
        <v>1164.6600000000001</v>
      </c>
    </row>
    <row r="1379" spans="1:14" x14ac:dyDescent="0.35">
      <c r="A1379" s="2">
        <v>45030</v>
      </c>
      <c r="B1379" t="s">
        <v>1400</v>
      </c>
      <c r="C1379" t="s">
        <v>21</v>
      </c>
      <c r="D1379" t="s">
        <v>22</v>
      </c>
      <c r="E1379" t="s">
        <v>23</v>
      </c>
      <c r="F1379">
        <v>4</v>
      </c>
      <c r="G1379">
        <v>324.27999999999997</v>
      </c>
      <c r="H1379" t="s">
        <v>24</v>
      </c>
      <c r="I1379" t="s">
        <v>2146</v>
      </c>
      <c r="J1379" t="s">
        <v>97</v>
      </c>
      <c r="K1379" t="s">
        <v>38</v>
      </c>
      <c r="L1379" t="s">
        <v>28</v>
      </c>
      <c r="M1379" t="s">
        <v>61</v>
      </c>
      <c r="N1379">
        <v>1297.1199999999999</v>
      </c>
    </row>
    <row r="1380" spans="1:14" x14ac:dyDescent="0.35">
      <c r="A1380" s="2">
        <v>45252</v>
      </c>
      <c r="B1380" t="s">
        <v>435</v>
      </c>
      <c r="C1380" t="s">
        <v>106</v>
      </c>
      <c r="D1380" t="s">
        <v>42</v>
      </c>
      <c r="E1380" t="s">
        <v>23</v>
      </c>
      <c r="F1380">
        <v>1</v>
      </c>
      <c r="G1380">
        <v>390.76</v>
      </c>
      <c r="H1380" t="s">
        <v>44</v>
      </c>
      <c r="I1380" t="s">
        <v>2147</v>
      </c>
      <c r="J1380" t="s">
        <v>97</v>
      </c>
      <c r="K1380" t="s">
        <v>60</v>
      </c>
      <c r="L1380" t="s">
        <v>28</v>
      </c>
      <c r="M1380" t="s">
        <v>67</v>
      </c>
      <c r="N1380">
        <v>390.76</v>
      </c>
    </row>
    <row r="1381" spans="1:14" x14ac:dyDescent="0.35">
      <c r="A1381" s="2">
        <v>45338</v>
      </c>
      <c r="B1381" t="s">
        <v>240</v>
      </c>
      <c r="C1381" t="s">
        <v>47</v>
      </c>
      <c r="D1381" t="s">
        <v>52</v>
      </c>
      <c r="E1381" t="s">
        <v>53</v>
      </c>
      <c r="F1381">
        <v>3</v>
      </c>
      <c r="G1381">
        <v>24.64</v>
      </c>
      <c r="H1381" t="s">
        <v>58</v>
      </c>
      <c r="I1381" t="s">
        <v>2148</v>
      </c>
      <c r="J1381" t="s">
        <v>26</v>
      </c>
      <c r="K1381" t="s">
        <v>78</v>
      </c>
      <c r="L1381" t="s">
        <v>28</v>
      </c>
      <c r="M1381" t="s">
        <v>61</v>
      </c>
      <c r="N1381">
        <v>73.92</v>
      </c>
    </row>
    <row r="1382" spans="1:14" x14ac:dyDescent="0.35">
      <c r="A1382" s="2">
        <v>45813</v>
      </c>
      <c r="B1382" t="s">
        <v>1892</v>
      </c>
      <c r="C1382" t="s">
        <v>86</v>
      </c>
      <c r="D1382" t="s">
        <v>52</v>
      </c>
      <c r="E1382" t="s">
        <v>53</v>
      </c>
      <c r="F1382">
        <v>1</v>
      </c>
      <c r="G1382">
        <v>263.08999999999997</v>
      </c>
      <c r="H1382" t="s">
        <v>44</v>
      </c>
      <c r="I1382" t="s">
        <v>2149</v>
      </c>
      <c r="J1382" t="s">
        <v>97</v>
      </c>
      <c r="K1382" t="s">
        <v>38</v>
      </c>
      <c r="L1382" t="s">
        <v>28</v>
      </c>
      <c r="M1382" t="s">
        <v>56</v>
      </c>
      <c r="N1382">
        <v>263.08999999999997</v>
      </c>
    </row>
    <row r="1383" spans="1:14" x14ac:dyDescent="0.35">
      <c r="A1383" s="2">
        <v>44928</v>
      </c>
      <c r="B1383" t="s">
        <v>2150</v>
      </c>
      <c r="C1383" t="s">
        <v>71</v>
      </c>
      <c r="D1383" t="s">
        <v>22</v>
      </c>
      <c r="E1383" t="s">
        <v>53</v>
      </c>
      <c r="F1383">
        <v>6</v>
      </c>
      <c r="G1383">
        <v>345.68</v>
      </c>
      <c r="H1383" t="s">
        <v>64</v>
      </c>
      <c r="I1383" t="s">
        <v>2151</v>
      </c>
      <c r="J1383" t="s">
        <v>55</v>
      </c>
      <c r="K1383" t="s">
        <v>38</v>
      </c>
      <c r="L1383" t="s">
        <v>28</v>
      </c>
      <c r="M1383" t="s">
        <v>29</v>
      </c>
      <c r="N1383">
        <v>2074.08</v>
      </c>
    </row>
    <row r="1384" spans="1:14" x14ac:dyDescent="0.35">
      <c r="A1384" s="2">
        <v>45235</v>
      </c>
      <c r="B1384" t="s">
        <v>156</v>
      </c>
      <c r="C1384" t="s">
        <v>47</v>
      </c>
      <c r="D1384" t="s">
        <v>22</v>
      </c>
      <c r="E1384" t="s">
        <v>92</v>
      </c>
      <c r="F1384">
        <v>1</v>
      </c>
      <c r="G1384">
        <v>197.46</v>
      </c>
      <c r="H1384" t="s">
        <v>58</v>
      </c>
      <c r="I1384" t="s">
        <v>2152</v>
      </c>
      <c r="J1384" t="s">
        <v>97</v>
      </c>
      <c r="K1384" t="s">
        <v>60</v>
      </c>
      <c r="L1384" t="s">
        <v>39</v>
      </c>
      <c r="M1384" t="s">
        <v>101</v>
      </c>
      <c r="N1384">
        <v>197.46</v>
      </c>
    </row>
    <row r="1385" spans="1:14" x14ac:dyDescent="0.35">
      <c r="A1385" s="2">
        <v>45399</v>
      </c>
      <c r="B1385" t="s">
        <v>1041</v>
      </c>
      <c r="C1385" t="s">
        <v>89</v>
      </c>
      <c r="D1385" t="s">
        <v>42</v>
      </c>
      <c r="E1385" t="s">
        <v>53</v>
      </c>
      <c r="F1385">
        <v>7</v>
      </c>
      <c r="G1385">
        <v>285.29000000000002</v>
      </c>
      <c r="H1385" t="s">
        <v>58</v>
      </c>
      <c r="I1385" t="s">
        <v>2153</v>
      </c>
      <c r="J1385" t="s">
        <v>37</v>
      </c>
      <c r="K1385" t="s">
        <v>38</v>
      </c>
      <c r="L1385" t="s">
        <v>28</v>
      </c>
      <c r="M1385" t="s">
        <v>67</v>
      </c>
      <c r="N1385">
        <v>1997.03</v>
      </c>
    </row>
    <row r="1386" spans="1:14" x14ac:dyDescent="0.35">
      <c r="A1386" s="2">
        <v>45023</v>
      </c>
      <c r="B1386" t="s">
        <v>1395</v>
      </c>
      <c r="C1386" t="s">
        <v>41</v>
      </c>
      <c r="D1386" t="s">
        <v>52</v>
      </c>
      <c r="E1386" t="s">
        <v>34</v>
      </c>
      <c r="F1386">
        <v>9</v>
      </c>
      <c r="G1386">
        <v>265.26</v>
      </c>
      <c r="H1386" t="s">
        <v>24</v>
      </c>
      <c r="I1386" t="s">
        <v>2154</v>
      </c>
      <c r="J1386" t="s">
        <v>97</v>
      </c>
      <c r="K1386" t="s">
        <v>60</v>
      </c>
      <c r="L1386" t="s">
        <v>28</v>
      </c>
      <c r="M1386" t="s">
        <v>61</v>
      </c>
      <c r="N1386">
        <v>2387.34</v>
      </c>
    </row>
    <row r="1387" spans="1:14" x14ac:dyDescent="0.35">
      <c r="A1387" s="2">
        <v>44971</v>
      </c>
      <c r="B1387" t="s">
        <v>708</v>
      </c>
      <c r="C1387" t="s">
        <v>74</v>
      </c>
      <c r="D1387" t="s">
        <v>33</v>
      </c>
      <c r="E1387" t="s">
        <v>83</v>
      </c>
      <c r="F1387">
        <v>9</v>
      </c>
      <c r="G1387">
        <v>86.8</v>
      </c>
      <c r="H1387" t="s">
        <v>24</v>
      </c>
      <c r="I1387" t="s">
        <v>2155</v>
      </c>
      <c r="J1387" t="s">
        <v>26</v>
      </c>
      <c r="K1387" t="s">
        <v>78</v>
      </c>
      <c r="L1387" t="s">
        <v>28</v>
      </c>
      <c r="M1387" t="s">
        <v>49</v>
      </c>
      <c r="N1387">
        <v>781.19999999999993</v>
      </c>
    </row>
    <row r="1388" spans="1:14" x14ac:dyDescent="0.35">
      <c r="A1388" s="2">
        <v>45355</v>
      </c>
      <c r="B1388" t="s">
        <v>1419</v>
      </c>
      <c r="C1388" t="s">
        <v>71</v>
      </c>
      <c r="D1388" t="s">
        <v>52</v>
      </c>
      <c r="E1388" t="s">
        <v>34</v>
      </c>
      <c r="F1388">
        <v>5</v>
      </c>
      <c r="G1388">
        <v>128.22</v>
      </c>
      <c r="H1388" t="s">
        <v>35</v>
      </c>
      <c r="I1388" t="s">
        <v>2156</v>
      </c>
      <c r="J1388" t="s">
        <v>55</v>
      </c>
      <c r="K1388" t="s">
        <v>27</v>
      </c>
      <c r="L1388" t="s">
        <v>66</v>
      </c>
      <c r="M1388" t="s">
        <v>29</v>
      </c>
      <c r="N1388">
        <v>641.1</v>
      </c>
    </row>
    <row r="1389" spans="1:14" x14ac:dyDescent="0.35">
      <c r="A1389" s="2">
        <v>45679</v>
      </c>
      <c r="B1389" t="s">
        <v>135</v>
      </c>
      <c r="C1389" t="s">
        <v>81</v>
      </c>
      <c r="D1389" t="s">
        <v>52</v>
      </c>
      <c r="E1389" t="s">
        <v>34</v>
      </c>
      <c r="F1389">
        <v>4</v>
      </c>
      <c r="G1389">
        <v>217.45</v>
      </c>
      <c r="H1389" t="s">
        <v>58</v>
      </c>
      <c r="I1389" t="s">
        <v>2157</v>
      </c>
      <c r="J1389" t="s">
        <v>26</v>
      </c>
      <c r="K1389" t="s">
        <v>27</v>
      </c>
      <c r="L1389" t="s">
        <v>39</v>
      </c>
      <c r="M1389" t="s">
        <v>67</v>
      </c>
      <c r="N1389">
        <v>869.8</v>
      </c>
    </row>
    <row r="1390" spans="1:14" x14ac:dyDescent="0.35">
      <c r="A1390" s="2">
        <v>44980</v>
      </c>
      <c r="B1390" t="s">
        <v>2158</v>
      </c>
      <c r="C1390" t="s">
        <v>86</v>
      </c>
      <c r="D1390" t="s">
        <v>42</v>
      </c>
      <c r="E1390" t="s">
        <v>92</v>
      </c>
      <c r="F1390">
        <v>2</v>
      </c>
      <c r="G1390">
        <v>27.39</v>
      </c>
      <c r="H1390" t="s">
        <v>64</v>
      </c>
      <c r="I1390" t="s">
        <v>2159</v>
      </c>
      <c r="J1390" t="s">
        <v>94</v>
      </c>
      <c r="K1390" t="s">
        <v>38</v>
      </c>
      <c r="L1390" t="s">
        <v>28</v>
      </c>
      <c r="M1390" t="s">
        <v>56</v>
      </c>
      <c r="N1390">
        <v>54.78</v>
      </c>
    </row>
    <row r="1391" spans="1:14" x14ac:dyDescent="0.35">
      <c r="A1391" s="2">
        <v>44987</v>
      </c>
      <c r="B1391" t="s">
        <v>651</v>
      </c>
      <c r="C1391" t="s">
        <v>81</v>
      </c>
      <c r="D1391" t="s">
        <v>42</v>
      </c>
      <c r="E1391" t="s">
        <v>83</v>
      </c>
      <c r="F1391">
        <v>7</v>
      </c>
      <c r="G1391">
        <v>293.82</v>
      </c>
      <c r="H1391" t="s">
        <v>44</v>
      </c>
      <c r="I1391" t="s">
        <v>2160</v>
      </c>
      <c r="J1391" t="s">
        <v>55</v>
      </c>
      <c r="K1391" t="s">
        <v>27</v>
      </c>
      <c r="L1391" t="s">
        <v>28</v>
      </c>
      <c r="M1391" t="s">
        <v>56</v>
      </c>
      <c r="N1391">
        <v>2056.7399999999998</v>
      </c>
    </row>
    <row r="1392" spans="1:14" x14ac:dyDescent="0.35">
      <c r="A1392" s="2">
        <v>45285</v>
      </c>
      <c r="B1392" t="s">
        <v>238</v>
      </c>
      <c r="C1392" t="s">
        <v>71</v>
      </c>
      <c r="D1392" t="s">
        <v>42</v>
      </c>
      <c r="E1392" t="s">
        <v>23</v>
      </c>
      <c r="F1392">
        <v>4</v>
      </c>
      <c r="G1392">
        <v>310.24</v>
      </c>
      <c r="H1392" t="s">
        <v>35</v>
      </c>
      <c r="I1392" t="s">
        <v>2161</v>
      </c>
      <c r="J1392" t="s">
        <v>37</v>
      </c>
      <c r="K1392" t="s">
        <v>38</v>
      </c>
      <c r="L1392" t="s">
        <v>39</v>
      </c>
      <c r="M1392" t="s">
        <v>29</v>
      </c>
      <c r="N1392">
        <v>1240.96</v>
      </c>
    </row>
    <row r="1393" spans="1:14" x14ac:dyDescent="0.35">
      <c r="A1393" s="2">
        <v>45726</v>
      </c>
      <c r="B1393" t="s">
        <v>793</v>
      </c>
      <c r="C1393" t="s">
        <v>81</v>
      </c>
      <c r="D1393" t="s">
        <v>52</v>
      </c>
      <c r="E1393" t="s">
        <v>53</v>
      </c>
      <c r="F1393">
        <v>8</v>
      </c>
      <c r="G1393">
        <v>339.18</v>
      </c>
      <c r="H1393" t="s">
        <v>64</v>
      </c>
      <c r="I1393" t="s">
        <v>2162</v>
      </c>
      <c r="J1393" t="s">
        <v>37</v>
      </c>
      <c r="K1393" t="s">
        <v>27</v>
      </c>
      <c r="L1393" t="s">
        <v>39</v>
      </c>
      <c r="M1393" t="s">
        <v>29</v>
      </c>
      <c r="N1393">
        <v>2713.44</v>
      </c>
    </row>
    <row r="1394" spans="1:14" x14ac:dyDescent="0.35">
      <c r="A1394" s="2">
        <v>45246</v>
      </c>
      <c r="B1394" t="s">
        <v>1259</v>
      </c>
      <c r="C1394" t="s">
        <v>106</v>
      </c>
      <c r="D1394" t="s">
        <v>22</v>
      </c>
      <c r="E1394" t="s">
        <v>53</v>
      </c>
      <c r="F1394">
        <v>8</v>
      </c>
      <c r="G1394">
        <v>118.09</v>
      </c>
      <c r="H1394" t="s">
        <v>58</v>
      </c>
      <c r="I1394" t="s">
        <v>2163</v>
      </c>
      <c r="J1394" t="s">
        <v>26</v>
      </c>
      <c r="K1394" t="s">
        <v>38</v>
      </c>
      <c r="L1394" t="s">
        <v>28</v>
      </c>
      <c r="M1394" t="s">
        <v>56</v>
      </c>
      <c r="N1394">
        <v>944.72</v>
      </c>
    </row>
    <row r="1395" spans="1:14" x14ac:dyDescent="0.35">
      <c r="A1395" s="2">
        <v>45529</v>
      </c>
      <c r="B1395" t="s">
        <v>507</v>
      </c>
      <c r="C1395" t="s">
        <v>86</v>
      </c>
      <c r="D1395" t="s">
        <v>22</v>
      </c>
      <c r="E1395" t="s">
        <v>63</v>
      </c>
      <c r="F1395">
        <v>8</v>
      </c>
      <c r="G1395">
        <v>138.79</v>
      </c>
      <c r="H1395" t="s">
        <v>44</v>
      </c>
      <c r="I1395" t="s">
        <v>2164</v>
      </c>
      <c r="J1395" t="s">
        <v>94</v>
      </c>
      <c r="K1395" t="s">
        <v>27</v>
      </c>
      <c r="L1395" t="s">
        <v>39</v>
      </c>
      <c r="M1395" t="s">
        <v>101</v>
      </c>
      <c r="N1395">
        <v>1110.32</v>
      </c>
    </row>
    <row r="1396" spans="1:14" x14ac:dyDescent="0.35">
      <c r="A1396" s="2">
        <v>45261</v>
      </c>
      <c r="B1396" t="s">
        <v>218</v>
      </c>
      <c r="C1396" t="s">
        <v>81</v>
      </c>
      <c r="D1396" t="s">
        <v>42</v>
      </c>
      <c r="E1396" t="s">
        <v>53</v>
      </c>
      <c r="F1396">
        <v>8</v>
      </c>
      <c r="G1396">
        <v>264.55</v>
      </c>
      <c r="H1396" t="s">
        <v>35</v>
      </c>
      <c r="I1396" t="s">
        <v>2165</v>
      </c>
      <c r="J1396" t="s">
        <v>26</v>
      </c>
      <c r="K1396" t="s">
        <v>60</v>
      </c>
      <c r="L1396" t="s">
        <v>28</v>
      </c>
      <c r="M1396" t="s">
        <v>61</v>
      </c>
      <c r="N1396">
        <v>2116.4</v>
      </c>
    </row>
    <row r="1397" spans="1:14" x14ac:dyDescent="0.35">
      <c r="A1397" s="2">
        <v>45789</v>
      </c>
      <c r="B1397" t="s">
        <v>1361</v>
      </c>
      <c r="C1397" t="s">
        <v>21</v>
      </c>
      <c r="D1397" t="s">
        <v>52</v>
      </c>
      <c r="E1397" t="s">
        <v>92</v>
      </c>
      <c r="F1397">
        <v>3</v>
      </c>
      <c r="G1397">
        <v>396.2</v>
      </c>
      <c r="H1397" t="s">
        <v>35</v>
      </c>
      <c r="I1397" t="s">
        <v>2166</v>
      </c>
      <c r="J1397" t="s">
        <v>97</v>
      </c>
      <c r="K1397" t="s">
        <v>78</v>
      </c>
      <c r="L1397" t="s">
        <v>39</v>
      </c>
      <c r="M1397" t="s">
        <v>29</v>
      </c>
      <c r="N1397">
        <v>1188.5999999999999</v>
      </c>
    </row>
    <row r="1398" spans="1:14" x14ac:dyDescent="0.35">
      <c r="A1398" s="2">
        <v>45694</v>
      </c>
      <c r="B1398" t="s">
        <v>2167</v>
      </c>
      <c r="C1398" t="s">
        <v>74</v>
      </c>
      <c r="D1398" t="s">
        <v>42</v>
      </c>
      <c r="E1398" t="s">
        <v>63</v>
      </c>
      <c r="F1398">
        <v>4</v>
      </c>
      <c r="G1398">
        <v>22.53</v>
      </c>
      <c r="H1398" t="s">
        <v>64</v>
      </c>
      <c r="I1398" t="s">
        <v>2168</v>
      </c>
      <c r="J1398" t="s">
        <v>97</v>
      </c>
      <c r="K1398" t="s">
        <v>78</v>
      </c>
      <c r="L1398" t="s">
        <v>28</v>
      </c>
      <c r="M1398" t="s">
        <v>56</v>
      </c>
      <c r="N1398">
        <v>90.12</v>
      </c>
    </row>
    <row r="1399" spans="1:14" x14ac:dyDescent="0.35">
      <c r="A1399" s="2">
        <v>45466</v>
      </c>
      <c r="B1399" t="s">
        <v>1234</v>
      </c>
      <c r="C1399" t="s">
        <v>106</v>
      </c>
      <c r="D1399" t="s">
        <v>22</v>
      </c>
      <c r="E1399" t="s">
        <v>34</v>
      </c>
      <c r="F1399">
        <v>8</v>
      </c>
      <c r="G1399">
        <v>343.26</v>
      </c>
      <c r="H1399" t="s">
        <v>58</v>
      </c>
      <c r="I1399" t="s">
        <v>2169</v>
      </c>
      <c r="J1399" t="s">
        <v>97</v>
      </c>
      <c r="K1399" t="s">
        <v>38</v>
      </c>
      <c r="L1399" t="s">
        <v>28</v>
      </c>
      <c r="M1399" t="s">
        <v>101</v>
      </c>
      <c r="N1399">
        <v>2746.08</v>
      </c>
    </row>
    <row r="1400" spans="1:14" x14ac:dyDescent="0.35">
      <c r="A1400" s="2">
        <v>45544</v>
      </c>
      <c r="B1400" t="s">
        <v>2170</v>
      </c>
      <c r="C1400" t="s">
        <v>21</v>
      </c>
      <c r="D1400" t="s">
        <v>33</v>
      </c>
      <c r="E1400" t="s">
        <v>83</v>
      </c>
      <c r="F1400">
        <v>10</v>
      </c>
      <c r="G1400">
        <v>6.88</v>
      </c>
      <c r="H1400" t="s">
        <v>24</v>
      </c>
      <c r="I1400" t="s">
        <v>2171</v>
      </c>
      <c r="J1400" t="s">
        <v>97</v>
      </c>
      <c r="K1400" t="s">
        <v>38</v>
      </c>
      <c r="L1400" t="s">
        <v>39</v>
      </c>
      <c r="M1400" t="s">
        <v>29</v>
      </c>
      <c r="N1400">
        <v>68.8</v>
      </c>
    </row>
    <row r="1401" spans="1:14" x14ac:dyDescent="0.35">
      <c r="A1401" s="2">
        <v>45228</v>
      </c>
      <c r="B1401" t="s">
        <v>2172</v>
      </c>
      <c r="C1401" t="s">
        <v>51</v>
      </c>
      <c r="D1401" t="s">
        <v>22</v>
      </c>
      <c r="E1401" t="s">
        <v>34</v>
      </c>
      <c r="F1401">
        <v>4</v>
      </c>
      <c r="G1401">
        <v>361.29</v>
      </c>
      <c r="H1401" t="s">
        <v>35</v>
      </c>
      <c r="I1401" t="s">
        <v>2173</v>
      </c>
      <c r="J1401" t="s">
        <v>97</v>
      </c>
      <c r="K1401" t="s">
        <v>38</v>
      </c>
      <c r="L1401" t="s">
        <v>66</v>
      </c>
      <c r="M1401" t="s">
        <v>101</v>
      </c>
      <c r="N1401">
        <v>1445.16</v>
      </c>
    </row>
    <row r="1402" spans="1:14" x14ac:dyDescent="0.35">
      <c r="A1402" s="2">
        <v>45542</v>
      </c>
      <c r="B1402" t="s">
        <v>279</v>
      </c>
      <c r="C1402" t="s">
        <v>51</v>
      </c>
      <c r="D1402" t="s">
        <v>33</v>
      </c>
      <c r="E1402" t="s">
        <v>34</v>
      </c>
      <c r="F1402">
        <v>8</v>
      </c>
      <c r="G1402">
        <v>21.46</v>
      </c>
      <c r="H1402" t="s">
        <v>58</v>
      </c>
      <c r="I1402" t="s">
        <v>2174</v>
      </c>
      <c r="J1402" t="s">
        <v>97</v>
      </c>
      <c r="K1402" t="s">
        <v>38</v>
      </c>
      <c r="L1402" t="s">
        <v>28</v>
      </c>
      <c r="M1402" t="s">
        <v>79</v>
      </c>
      <c r="N1402">
        <v>171.68</v>
      </c>
    </row>
    <row r="1403" spans="1:14" x14ac:dyDescent="0.35">
      <c r="A1403" s="2">
        <v>45181</v>
      </c>
      <c r="B1403" t="s">
        <v>305</v>
      </c>
      <c r="C1403" t="s">
        <v>71</v>
      </c>
      <c r="D1403" t="s">
        <v>22</v>
      </c>
      <c r="E1403" t="s">
        <v>63</v>
      </c>
      <c r="F1403">
        <v>1</v>
      </c>
      <c r="G1403">
        <v>14.39</v>
      </c>
      <c r="H1403" t="s">
        <v>24</v>
      </c>
      <c r="I1403" t="s">
        <v>2175</v>
      </c>
      <c r="J1403" t="s">
        <v>94</v>
      </c>
      <c r="K1403" t="s">
        <v>60</v>
      </c>
      <c r="L1403" t="s">
        <v>66</v>
      </c>
      <c r="M1403" t="s">
        <v>49</v>
      </c>
      <c r="N1403">
        <v>14.39</v>
      </c>
    </row>
    <row r="1404" spans="1:14" x14ac:dyDescent="0.35">
      <c r="A1404" s="2">
        <v>45442</v>
      </c>
      <c r="B1404" t="s">
        <v>406</v>
      </c>
      <c r="C1404" t="s">
        <v>47</v>
      </c>
      <c r="D1404" t="s">
        <v>52</v>
      </c>
      <c r="E1404" t="s">
        <v>63</v>
      </c>
      <c r="F1404">
        <v>8</v>
      </c>
      <c r="G1404">
        <v>213.66</v>
      </c>
      <c r="H1404" t="s">
        <v>44</v>
      </c>
      <c r="I1404" t="s">
        <v>2176</v>
      </c>
      <c r="J1404" t="s">
        <v>97</v>
      </c>
      <c r="K1404" t="s">
        <v>27</v>
      </c>
      <c r="L1404" t="s">
        <v>28</v>
      </c>
      <c r="M1404" t="s">
        <v>56</v>
      </c>
      <c r="N1404">
        <v>1709.28</v>
      </c>
    </row>
    <row r="1405" spans="1:14" x14ac:dyDescent="0.35">
      <c r="A1405" s="2">
        <v>45763</v>
      </c>
      <c r="B1405" t="s">
        <v>187</v>
      </c>
      <c r="C1405" t="s">
        <v>51</v>
      </c>
      <c r="D1405" t="s">
        <v>33</v>
      </c>
      <c r="E1405" t="s">
        <v>63</v>
      </c>
      <c r="F1405">
        <v>9</v>
      </c>
      <c r="G1405">
        <v>148.82</v>
      </c>
      <c r="H1405" t="s">
        <v>24</v>
      </c>
      <c r="I1405" t="s">
        <v>2177</v>
      </c>
      <c r="J1405" t="s">
        <v>37</v>
      </c>
      <c r="K1405" t="s">
        <v>60</v>
      </c>
      <c r="L1405" t="s">
        <v>28</v>
      </c>
      <c r="M1405" t="s">
        <v>67</v>
      </c>
      <c r="N1405">
        <v>1339.38</v>
      </c>
    </row>
    <row r="1406" spans="1:14" x14ac:dyDescent="0.35">
      <c r="A1406" s="2">
        <v>44930</v>
      </c>
      <c r="B1406" t="s">
        <v>141</v>
      </c>
      <c r="C1406" t="s">
        <v>86</v>
      </c>
      <c r="D1406" t="s">
        <v>52</v>
      </c>
      <c r="E1406" t="s">
        <v>34</v>
      </c>
      <c r="F1406">
        <v>2</v>
      </c>
      <c r="G1406">
        <v>222.24</v>
      </c>
      <c r="H1406" t="s">
        <v>58</v>
      </c>
      <c r="I1406" t="s">
        <v>2178</v>
      </c>
      <c r="J1406" t="s">
        <v>26</v>
      </c>
      <c r="K1406" t="s">
        <v>38</v>
      </c>
      <c r="L1406" t="s">
        <v>28</v>
      </c>
      <c r="M1406" t="s">
        <v>67</v>
      </c>
      <c r="N1406">
        <v>444.48</v>
      </c>
    </row>
    <row r="1407" spans="1:14" x14ac:dyDescent="0.35">
      <c r="A1407" s="2">
        <v>45022</v>
      </c>
      <c r="B1407" t="s">
        <v>206</v>
      </c>
      <c r="C1407" t="s">
        <v>51</v>
      </c>
      <c r="D1407" t="s">
        <v>22</v>
      </c>
      <c r="E1407" t="s">
        <v>63</v>
      </c>
      <c r="F1407">
        <v>1</v>
      </c>
      <c r="G1407">
        <v>126.75</v>
      </c>
      <c r="H1407" t="s">
        <v>58</v>
      </c>
      <c r="I1407" t="s">
        <v>2179</v>
      </c>
      <c r="J1407" t="s">
        <v>55</v>
      </c>
      <c r="K1407" t="s">
        <v>60</v>
      </c>
      <c r="L1407" t="s">
        <v>28</v>
      </c>
      <c r="M1407" t="s">
        <v>56</v>
      </c>
      <c r="N1407">
        <v>126.75</v>
      </c>
    </row>
    <row r="1408" spans="1:14" x14ac:dyDescent="0.35">
      <c r="A1408" s="2">
        <v>44938</v>
      </c>
      <c r="B1408" t="s">
        <v>679</v>
      </c>
      <c r="C1408" t="s">
        <v>51</v>
      </c>
      <c r="D1408" t="s">
        <v>52</v>
      </c>
      <c r="E1408" t="s">
        <v>92</v>
      </c>
      <c r="F1408">
        <v>10</v>
      </c>
      <c r="G1408">
        <v>5.01</v>
      </c>
      <c r="H1408" t="s">
        <v>64</v>
      </c>
      <c r="I1408" t="s">
        <v>2180</v>
      </c>
      <c r="J1408" t="s">
        <v>55</v>
      </c>
      <c r="K1408" t="s">
        <v>38</v>
      </c>
      <c r="L1408" t="s">
        <v>28</v>
      </c>
      <c r="M1408" t="s">
        <v>56</v>
      </c>
      <c r="N1408">
        <v>50.099999999999987</v>
      </c>
    </row>
    <row r="1409" spans="1:14" x14ac:dyDescent="0.35">
      <c r="A1409" s="2">
        <v>45519</v>
      </c>
      <c r="B1409" t="s">
        <v>2181</v>
      </c>
      <c r="C1409" t="s">
        <v>86</v>
      </c>
      <c r="D1409" t="s">
        <v>22</v>
      </c>
      <c r="E1409" t="s">
        <v>53</v>
      </c>
      <c r="F1409">
        <v>7</v>
      </c>
      <c r="G1409">
        <v>21.35</v>
      </c>
      <c r="H1409" t="s">
        <v>24</v>
      </c>
      <c r="I1409" t="s">
        <v>2182</v>
      </c>
      <c r="J1409" t="s">
        <v>26</v>
      </c>
      <c r="K1409" t="s">
        <v>27</v>
      </c>
      <c r="L1409" t="s">
        <v>66</v>
      </c>
      <c r="M1409" t="s">
        <v>56</v>
      </c>
      <c r="N1409">
        <v>149.44999999999999</v>
      </c>
    </row>
    <row r="1410" spans="1:14" x14ac:dyDescent="0.35">
      <c r="A1410" s="2">
        <v>45697</v>
      </c>
      <c r="B1410" t="s">
        <v>446</v>
      </c>
      <c r="C1410" t="s">
        <v>51</v>
      </c>
      <c r="D1410" t="s">
        <v>33</v>
      </c>
      <c r="E1410" t="s">
        <v>23</v>
      </c>
      <c r="F1410">
        <v>4</v>
      </c>
      <c r="G1410">
        <v>35.97</v>
      </c>
      <c r="H1410" t="s">
        <v>35</v>
      </c>
      <c r="I1410" t="s">
        <v>2183</v>
      </c>
      <c r="J1410" t="s">
        <v>37</v>
      </c>
      <c r="K1410" t="s">
        <v>60</v>
      </c>
      <c r="L1410" t="s">
        <v>39</v>
      </c>
      <c r="M1410" t="s">
        <v>101</v>
      </c>
      <c r="N1410">
        <v>143.88</v>
      </c>
    </row>
    <row r="1411" spans="1:14" x14ac:dyDescent="0.35">
      <c r="A1411" s="2">
        <v>45380</v>
      </c>
      <c r="B1411" t="s">
        <v>303</v>
      </c>
      <c r="C1411" t="s">
        <v>74</v>
      </c>
      <c r="D1411" t="s">
        <v>22</v>
      </c>
      <c r="E1411" t="s">
        <v>43</v>
      </c>
      <c r="F1411">
        <v>7</v>
      </c>
      <c r="G1411">
        <v>88.35</v>
      </c>
      <c r="H1411" t="s">
        <v>58</v>
      </c>
      <c r="I1411" t="s">
        <v>2184</v>
      </c>
      <c r="J1411" t="s">
        <v>97</v>
      </c>
      <c r="K1411" t="s">
        <v>78</v>
      </c>
      <c r="L1411" t="s">
        <v>28</v>
      </c>
      <c r="M1411" t="s">
        <v>61</v>
      </c>
      <c r="N1411">
        <v>618.44999999999993</v>
      </c>
    </row>
    <row r="1412" spans="1:14" x14ac:dyDescent="0.35">
      <c r="A1412" s="2">
        <v>45512</v>
      </c>
      <c r="B1412" t="s">
        <v>1297</v>
      </c>
      <c r="C1412" t="s">
        <v>21</v>
      </c>
      <c r="D1412" t="s">
        <v>22</v>
      </c>
      <c r="E1412" t="s">
        <v>63</v>
      </c>
      <c r="F1412">
        <v>10</v>
      </c>
      <c r="G1412">
        <v>65.430000000000007</v>
      </c>
      <c r="H1412" t="s">
        <v>35</v>
      </c>
      <c r="I1412" t="s">
        <v>2185</v>
      </c>
      <c r="J1412" t="s">
        <v>55</v>
      </c>
      <c r="K1412" t="s">
        <v>78</v>
      </c>
      <c r="L1412" t="s">
        <v>66</v>
      </c>
      <c r="M1412" t="s">
        <v>56</v>
      </c>
      <c r="N1412">
        <v>654.30000000000007</v>
      </c>
    </row>
    <row r="1413" spans="1:14" x14ac:dyDescent="0.35">
      <c r="A1413" s="2">
        <v>45032</v>
      </c>
      <c r="B1413" t="s">
        <v>1253</v>
      </c>
      <c r="C1413" t="s">
        <v>41</v>
      </c>
      <c r="D1413" t="s">
        <v>52</v>
      </c>
      <c r="E1413" t="s">
        <v>23</v>
      </c>
      <c r="F1413">
        <v>10</v>
      </c>
      <c r="G1413">
        <v>111.29</v>
      </c>
      <c r="H1413" t="s">
        <v>58</v>
      </c>
      <c r="I1413" t="s">
        <v>2186</v>
      </c>
      <c r="J1413" t="s">
        <v>37</v>
      </c>
      <c r="K1413" t="s">
        <v>78</v>
      </c>
      <c r="L1413" t="s">
        <v>39</v>
      </c>
      <c r="M1413" t="s">
        <v>101</v>
      </c>
      <c r="N1413">
        <v>1112.9000000000001</v>
      </c>
    </row>
    <row r="1414" spans="1:14" x14ac:dyDescent="0.35">
      <c r="A1414" s="2">
        <v>44990</v>
      </c>
      <c r="B1414" t="s">
        <v>368</v>
      </c>
      <c r="C1414" t="s">
        <v>51</v>
      </c>
      <c r="D1414" t="s">
        <v>22</v>
      </c>
      <c r="E1414" t="s">
        <v>23</v>
      </c>
      <c r="F1414">
        <v>4</v>
      </c>
      <c r="G1414">
        <v>61.35</v>
      </c>
      <c r="H1414" t="s">
        <v>35</v>
      </c>
      <c r="I1414" t="s">
        <v>2187</v>
      </c>
      <c r="J1414" t="s">
        <v>97</v>
      </c>
      <c r="K1414" t="s">
        <v>38</v>
      </c>
      <c r="L1414" t="s">
        <v>39</v>
      </c>
      <c r="M1414" t="s">
        <v>101</v>
      </c>
      <c r="N1414">
        <v>245.4</v>
      </c>
    </row>
    <row r="1415" spans="1:14" x14ac:dyDescent="0.35">
      <c r="A1415" s="2">
        <v>45193</v>
      </c>
      <c r="B1415" t="s">
        <v>135</v>
      </c>
      <c r="C1415" t="s">
        <v>89</v>
      </c>
      <c r="D1415" t="s">
        <v>33</v>
      </c>
      <c r="E1415" t="s">
        <v>63</v>
      </c>
      <c r="F1415">
        <v>9</v>
      </c>
      <c r="G1415">
        <v>62.14</v>
      </c>
      <c r="H1415" t="s">
        <v>35</v>
      </c>
      <c r="I1415" t="s">
        <v>2188</v>
      </c>
      <c r="J1415" t="s">
        <v>55</v>
      </c>
      <c r="K1415" t="s">
        <v>27</v>
      </c>
      <c r="L1415" t="s">
        <v>39</v>
      </c>
      <c r="M1415" t="s">
        <v>101</v>
      </c>
      <c r="N1415">
        <v>559.26</v>
      </c>
    </row>
    <row r="1416" spans="1:14" x14ac:dyDescent="0.35">
      <c r="A1416" s="2">
        <v>45176</v>
      </c>
      <c r="B1416" t="s">
        <v>759</v>
      </c>
      <c r="C1416" t="s">
        <v>47</v>
      </c>
      <c r="D1416" t="s">
        <v>42</v>
      </c>
      <c r="E1416" t="s">
        <v>63</v>
      </c>
      <c r="F1416">
        <v>8</v>
      </c>
      <c r="G1416">
        <v>259.17</v>
      </c>
      <c r="H1416" t="s">
        <v>58</v>
      </c>
      <c r="I1416" t="s">
        <v>2189</v>
      </c>
      <c r="J1416" t="s">
        <v>94</v>
      </c>
      <c r="K1416" t="s">
        <v>38</v>
      </c>
      <c r="L1416" t="s">
        <v>28</v>
      </c>
      <c r="M1416" t="s">
        <v>56</v>
      </c>
      <c r="N1416">
        <v>2073.36</v>
      </c>
    </row>
    <row r="1417" spans="1:14" x14ac:dyDescent="0.35">
      <c r="A1417" s="2">
        <v>45012</v>
      </c>
      <c r="B1417" t="s">
        <v>2190</v>
      </c>
      <c r="C1417" t="s">
        <v>47</v>
      </c>
      <c r="D1417" t="s">
        <v>52</v>
      </c>
      <c r="E1417" t="s">
        <v>83</v>
      </c>
      <c r="F1417">
        <v>10</v>
      </c>
      <c r="G1417">
        <v>78.33</v>
      </c>
      <c r="H1417" t="s">
        <v>24</v>
      </c>
      <c r="I1417" t="s">
        <v>2191</v>
      </c>
      <c r="J1417" t="s">
        <v>94</v>
      </c>
      <c r="K1417" t="s">
        <v>78</v>
      </c>
      <c r="L1417" t="s">
        <v>28</v>
      </c>
      <c r="M1417" t="s">
        <v>29</v>
      </c>
      <c r="N1417">
        <v>783.3</v>
      </c>
    </row>
    <row r="1418" spans="1:14" x14ac:dyDescent="0.35">
      <c r="A1418" s="2">
        <v>45598</v>
      </c>
      <c r="B1418" t="s">
        <v>503</v>
      </c>
      <c r="C1418" t="s">
        <v>89</v>
      </c>
      <c r="D1418" t="s">
        <v>33</v>
      </c>
      <c r="E1418" t="s">
        <v>53</v>
      </c>
      <c r="F1418">
        <v>6</v>
      </c>
      <c r="G1418">
        <v>374.8</v>
      </c>
      <c r="H1418" t="s">
        <v>64</v>
      </c>
      <c r="I1418" t="s">
        <v>2192</v>
      </c>
      <c r="J1418" t="s">
        <v>97</v>
      </c>
      <c r="K1418" t="s">
        <v>27</v>
      </c>
      <c r="L1418" t="s">
        <v>28</v>
      </c>
      <c r="M1418" t="s">
        <v>79</v>
      </c>
      <c r="N1418">
        <v>2248.8000000000002</v>
      </c>
    </row>
    <row r="1419" spans="1:14" x14ac:dyDescent="0.35">
      <c r="A1419" s="2">
        <v>45725</v>
      </c>
      <c r="B1419" t="s">
        <v>404</v>
      </c>
      <c r="C1419" t="s">
        <v>41</v>
      </c>
      <c r="D1419" t="s">
        <v>33</v>
      </c>
      <c r="E1419" t="s">
        <v>43</v>
      </c>
      <c r="F1419">
        <v>4</v>
      </c>
      <c r="G1419">
        <v>30.68</v>
      </c>
      <c r="H1419" t="s">
        <v>64</v>
      </c>
      <c r="I1419" t="s">
        <v>2193</v>
      </c>
      <c r="J1419" t="s">
        <v>94</v>
      </c>
      <c r="K1419" t="s">
        <v>60</v>
      </c>
      <c r="L1419" t="s">
        <v>28</v>
      </c>
      <c r="M1419" t="s">
        <v>101</v>
      </c>
      <c r="N1419">
        <v>122.72</v>
      </c>
    </row>
    <row r="1420" spans="1:14" x14ac:dyDescent="0.35">
      <c r="A1420" s="2">
        <v>45244</v>
      </c>
      <c r="B1420" t="s">
        <v>2194</v>
      </c>
      <c r="C1420" t="s">
        <v>86</v>
      </c>
      <c r="D1420" t="s">
        <v>42</v>
      </c>
      <c r="E1420" t="s">
        <v>34</v>
      </c>
      <c r="F1420">
        <v>10</v>
      </c>
      <c r="G1420">
        <v>324.62</v>
      </c>
      <c r="H1420" t="s">
        <v>24</v>
      </c>
      <c r="I1420" t="s">
        <v>2195</v>
      </c>
      <c r="J1420" t="s">
        <v>97</v>
      </c>
      <c r="K1420" t="s">
        <v>38</v>
      </c>
      <c r="L1420" t="s">
        <v>66</v>
      </c>
      <c r="M1420" t="s">
        <v>49</v>
      </c>
      <c r="N1420">
        <v>3246.2</v>
      </c>
    </row>
    <row r="1421" spans="1:14" x14ac:dyDescent="0.35">
      <c r="A1421" s="2">
        <v>45209</v>
      </c>
      <c r="B1421" t="s">
        <v>193</v>
      </c>
      <c r="C1421" t="s">
        <v>71</v>
      </c>
      <c r="D1421" t="s">
        <v>52</v>
      </c>
      <c r="E1421" t="s">
        <v>34</v>
      </c>
      <c r="F1421">
        <v>2</v>
      </c>
      <c r="G1421">
        <v>259.89</v>
      </c>
      <c r="H1421" t="s">
        <v>58</v>
      </c>
      <c r="I1421" t="s">
        <v>2196</v>
      </c>
      <c r="J1421" t="s">
        <v>94</v>
      </c>
      <c r="K1421" t="s">
        <v>60</v>
      </c>
      <c r="L1421" t="s">
        <v>28</v>
      </c>
      <c r="M1421" t="s">
        <v>49</v>
      </c>
      <c r="N1421">
        <v>519.78</v>
      </c>
    </row>
    <row r="1422" spans="1:14" x14ac:dyDescent="0.35">
      <c r="A1422" s="2">
        <v>45725</v>
      </c>
      <c r="B1422" t="s">
        <v>425</v>
      </c>
      <c r="C1422" t="s">
        <v>41</v>
      </c>
      <c r="D1422" t="s">
        <v>22</v>
      </c>
      <c r="E1422" t="s">
        <v>23</v>
      </c>
      <c r="F1422">
        <v>3</v>
      </c>
      <c r="G1422">
        <v>51.13</v>
      </c>
      <c r="H1422" t="s">
        <v>35</v>
      </c>
      <c r="I1422" t="s">
        <v>2197</v>
      </c>
      <c r="J1422" t="s">
        <v>55</v>
      </c>
      <c r="K1422" t="s">
        <v>78</v>
      </c>
      <c r="L1422" t="s">
        <v>66</v>
      </c>
      <c r="M1422" t="s">
        <v>101</v>
      </c>
      <c r="N1422">
        <v>153.38999999999999</v>
      </c>
    </row>
    <row r="1423" spans="1:14" x14ac:dyDescent="0.35">
      <c r="A1423" s="2">
        <v>45733</v>
      </c>
      <c r="B1423" t="s">
        <v>928</v>
      </c>
      <c r="C1423" t="s">
        <v>41</v>
      </c>
      <c r="D1423" t="s">
        <v>52</v>
      </c>
      <c r="E1423" t="s">
        <v>83</v>
      </c>
      <c r="F1423">
        <v>10</v>
      </c>
      <c r="G1423">
        <v>138.80000000000001</v>
      </c>
      <c r="H1423" t="s">
        <v>44</v>
      </c>
      <c r="I1423" t="s">
        <v>2198</v>
      </c>
      <c r="J1423" t="s">
        <v>26</v>
      </c>
      <c r="K1423" t="s">
        <v>27</v>
      </c>
      <c r="L1423" t="s">
        <v>39</v>
      </c>
      <c r="M1423" t="s">
        <v>29</v>
      </c>
      <c r="N1423">
        <v>1388</v>
      </c>
    </row>
    <row r="1424" spans="1:14" x14ac:dyDescent="0.35">
      <c r="A1424" s="2">
        <v>45197</v>
      </c>
      <c r="B1424" t="s">
        <v>1165</v>
      </c>
      <c r="C1424" t="s">
        <v>47</v>
      </c>
      <c r="D1424" t="s">
        <v>52</v>
      </c>
      <c r="E1424" t="s">
        <v>53</v>
      </c>
      <c r="F1424">
        <v>7</v>
      </c>
      <c r="G1424">
        <v>94.41</v>
      </c>
      <c r="H1424" t="s">
        <v>35</v>
      </c>
      <c r="I1424" t="s">
        <v>2199</v>
      </c>
      <c r="J1424" t="s">
        <v>97</v>
      </c>
      <c r="K1424" t="s">
        <v>60</v>
      </c>
      <c r="L1424" t="s">
        <v>39</v>
      </c>
      <c r="M1424" t="s">
        <v>56</v>
      </c>
      <c r="N1424">
        <v>660.87</v>
      </c>
    </row>
    <row r="1425" spans="1:14" x14ac:dyDescent="0.35">
      <c r="A1425" s="2">
        <v>45161</v>
      </c>
      <c r="B1425" t="s">
        <v>281</v>
      </c>
      <c r="C1425" t="s">
        <v>74</v>
      </c>
      <c r="D1425" t="s">
        <v>42</v>
      </c>
      <c r="E1425" t="s">
        <v>92</v>
      </c>
      <c r="F1425">
        <v>8</v>
      </c>
      <c r="G1425">
        <v>284.04000000000002</v>
      </c>
      <c r="H1425" t="s">
        <v>35</v>
      </c>
      <c r="I1425" t="s">
        <v>2200</v>
      </c>
      <c r="J1425" t="s">
        <v>37</v>
      </c>
      <c r="K1425" t="s">
        <v>27</v>
      </c>
      <c r="L1425" t="s">
        <v>66</v>
      </c>
      <c r="M1425" t="s">
        <v>67</v>
      </c>
      <c r="N1425">
        <v>2272.3200000000002</v>
      </c>
    </row>
    <row r="1426" spans="1:14" x14ac:dyDescent="0.35">
      <c r="A1426" s="2">
        <v>45557</v>
      </c>
      <c r="B1426" t="s">
        <v>2201</v>
      </c>
      <c r="C1426" t="s">
        <v>86</v>
      </c>
      <c r="D1426" t="s">
        <v>52</v>
      </c>
      <c r="E1426" t="s">
        <v>83</v>
      </c>
      <c r="F1426">
        <v>1</v>
      </c>
      <c r="G1426">
        <v>397.79</v>
      </c>
      <c r="H1426" t="s">
        <v>64</v>
      </c>
      <c r="I1426" t="s">
        <v>2202</v>
      </c>
      <c r="J1426" t="s">
        <v>37</v>
      </c>
      <c r="K1426" t="s">
        <v>38</v>
      </c>
      <c r="L1426" t="s">
        <v>28</v>
      </c>
      <c r="M1426" t="s">
        <v>101</v>
      </c>
      <c r="N1426">
        <v>397.79</v>
      </c>
    </row>
    <row r="1427" spans="1:14" x14ac:dyDescent="0.35">
      <c r="A1427" s="2">
        <v>45129</v>
      </c>
      <c r="B1427" t="s">
        <v>1397</v>
      </c>
      <c r="C1427" t="s">
        <v>74</v>
      </c>
      <c r="D1427" t="s">
        <v>22</v>
      </c>
      <c r="E1427" t="s">
        <v>63</v>
      </c>
      <c r="F1427">
        <v>5</v>
      </c>
      <c r="G1427">
        <v>255.76</v>
      </c>
      <c r="H1427" t="s">
        <v>64</v>
      </c>
      <c r="I1427" t="s">
        <v>2203</v>
      </c>
      <c r="J1427" t="s">
        <v>55</v>
      </c>
      <c r="K1427" t="s">
        <v>78</v>
      </c>
      <c r="L1427" t="s">
        <v>39</v>
      </c>
      <c r="M1427" t="s">
        <v>79</v>
      </c>
      <c r="N1427">
        <v>1278.8</v>
      </c>
    </row>
    <row r="1428" spans="1:14" x14ac:dyDescent="0.35">
      <c r="A1428" s="2">
        <v>44997</v>
      </c>
      <c r="B1428" t="s">
        <v>2204</v>
      </c>
      <c r="C1428" t="s">
        <v>41</v>
      </c>
      <c r="D1428" t="s">
        <v>52</v>
      </c>
      <c r="E1428" t="s">
        <v>92</v>
      </c>
      <c r="F1428">
        <v>9</v>
      </c>
      <c r="G1428">
        <v>106.58</v>
      </c>
      <c r="H1428" t="s">
        <v>24</v>
      </c>
      <c r="I1428" t="s">
        <v>2205</v>
      </c>
      <c r="J1428" t="s">
        <v>26</v>
      </c>
      <c r="K1428" t="s">
        <v>60</v>
      </c>
      <c r="L1428" t="s">
        <v>28</v>
      </c>
      <c r="M1428" t="s">
        <v>101</v>
      </c>
      <c r="N1428">
        <v>959.22</v>
      </c>
    </row>
    <row r="1429" spans="1:14" x14ac:dyDescent="0.35">
      <c r="A1429" s="2">
        <v>45121</v>
      </c>
      <c r="B1429" t="s">
        <v>612</v>
      </c>
      <c r="C1429" t="s">
        <v>47</v>
      </c>
      <c r="D1429" t="s">
        <v>52</v>
      </c>
      <c r="E1429" t="s">
        <v>53</v>
      </c>
      <c r="F1429">
        <v>3</v>
      </c>
      <c r="G1429">
        <v>19.16</v>
      </c>
      <c r="H1429" t="s">
        <v>58</v>
      </c>
      <c r="I1429" t="s">
        <v>2206</v>
      </c>
      <c r="J1429" t="s">
        <v>94</v>
      </c>
      <c r="K1429" t="s">
        <v>78</v>
      </c>
      <c r="L1429" t="s">
        <v>39</v>
      </c>
      <c r="M1429" t="s">
        <v>61</v>
      </c>
      <c r="N1429">
        <v>57.48</v>
      </c>
    </row>
    <row r="1430" spans="1:14" x14ac:dyDescent="0.35">
      <c r="A1430" s="2">
        <v>45278</v>
      </c>
      <c r="B1430" t="s">
        <v>827</v>
      </c>
      <c r="C1430" t="s">
        <v>106</v>
      </c>
      <c r="D1430" t="s">
        <v>42</v>
      </c>
      <c r="E1430" t="s">
        <v>92</v>
      </c>
      <c r="F1430">
        <v>4</v>
      </c>
      <c r="G1430">
        <v>58.36</v>
      </c>
      <c r="H1430" t="s">
        <v>64</v>
      </c>
      <c r="I1430" t="s">
        <v>2207</v>
      </c>
      <c r="J1430" t="s">
        <v>26</v>
      </c>
      <c r="K1430" t="s">
        <v>60</v>
      </c>
      <c r="L1430" t="s">
        <v>39</v>
      </c>
      <c r="M1430" t="s">
        <v>29</v>
      </c>
      <c r="N1430">
        <v>233.44</v>
      </c>
    </row>
    <row r="1431" spans="1:14" x14ac:dyDescent="0.35">
      <c r="A1431" s="2">
        <v>44976</v>
      </c>
      <c r="B1431" t="s">
        <v>1215</v>
      </c>
      <c r="C1431" t="s">
        <v>86</v>
      </c>
      <c r="D1431" t="s">
        <v>33</v>
      </c>
      <c r="E1431" t="s">
        <v>34</v>
      </c>
      <c r="F1431">
        <v>6</v>
      </c>
      <c r="G1431">
        <v>59.09</v>
      </c>
      <c r="H1431" t="s">
        <v>35</v>
      </c>
      <c r="I1431" t="s">
        <v>2208</v>
      </c>
      <c r="J1431" t="s">
        <v>94</v>
      </c>
      <c r="K1431" t="s">
        <v>78</v>
      </c>
      <c r="L1431" t="s">
        <v>39</v>
      </c>
      <c r="M1431" t="s">
        <v>101</v>
      </c>
      <c r="N1431">
        <v>354.54</v>
      </c>
    </row>
    <row r="1432" spans="1:14" x14ac:dyDescent="0.35">
      <c r="A1432" s="2">
        <v>44956</v>
      </c>
      <c r="B1432" t="s">
        <v>695</v>
      </c>
      <c r="C1432" t="s">
        <v>106</v>
      </c>
      <c r="D1432" t="s">
        <v>22</v>
      </c>
      <c r="E1432" t="s">
        <v>92</v>
      </c>
      <c r="F1432">
        <v>8</v>
      </c>
      <c r="G1432">
        <v>129.80000000000001</v>
      </c>
      <c r="H1432" t="s">
        <v>44</v>
      </c>
      <c r="I1432" t="s">
        <v>2209</v>
      </c>
      <c r="J1432" t="s">
        <v>97</v>
      </c>
      <c r="K1432" t="s">
        <v>38</v>
      </c>
      <c r="L1432" t="s">
        <v>66</v>
      </c>
      <c r="M1432" t="s">
        <v>29</v>
      </c>
      <c r="N1432">
        <v>1038.4000000000001</v>
      </c>
    </row>
    <row r="1433" spans="1:14" x14ac:dyDescent="0.35">
      <c r="A1433" s="2">
        <v>45390</v>
      </c>
      <c r="B1433" t="s">
        <v>1759</v>
      </c>
      <c r="C1433" t="s">
        <v>71</v>
      </c>
      <c r="D1433" t="s">
        <v>22</v>
      </c>
      <c r="E1433" t="s">
        <v>63</v>
      </c>
      <c r="F1433">
        <v>6</v>
      </c>
      <c r="G1433">
        <v>368.76</v>
      </c>
      <c r="H1433" t="s">
        <v>24</v>
      </c>
      <c r="I1433" t="s">
        <v>2210</v>
      </c>
      <c r="J1433" t="s">
        <v>94</v>
      </c>
      <c r="K1433" t="s">
        <v>38</v>
      </c>
      <c r="L1433" t="s">
        <v>28</v>
      </c>
      <c r="M1433" t="s">
        <v>29</v>
      </c>
      <c r="N1433">
        <v>2212.56</v>
      </c>
    </row>
    <row r="1434" spans="1:14" x14ac:dyDescent="0.35">
      <c r="A1434" s="2">
        <v>45020</v>
      </c>
      <c r="B1434" t="s">
        <v>2211</v>
      </c>
      <c r="C1434" t="s">
        <v>71</v>
      </c>
      <c r="D1434" t="s">
        <v>42</v>
      </c>
      <c r="E1434" t="s">
        <v>53</v>
      </c>
      <c r="F1434">
        <v>6</v>
      </c>
      <c r="G1434">
        <v>372.35</v>
      </c>
      <c r="H1434" t="s">
        <v>35</v>
      </c>
      <c r="I1434" t="s">
        <v>2212</v>
      </c>
      <c r="J1434" t="s">
        <v>26</v>
      </c>
      <c r="K1434" t="s">
        <v>27</v>
      </c>
      <c r="L1434" t="s">
        <v>39</v>
      </c>
      <c r="M1434" t="s">
        <v>49</v>
      </c>
      <c r="N1434">
        <v>2234.1</v>
      </c>
    </row>
    <row r="1435" spans="1:14" x14ac:dyDescent="0.35">
      <c r="A1435" s="2">
        <v>44953</v>
      </c>
      <c r="B1435" t="s">
        <v>2213</v>
      </c>
      <c r="C1435" t="s">
        <v>51</v>
      </c>
      <c r="D1435" t="s">
        <v>22</v>
      </c>
      <c r="E1435" t="s">
        <v>83</v>
      </c>
      <c r="F1435">
        <v>7</v>
      </c>
      <c r="G1435">
        <v>205.34</v>
      </c>
      <c r="H1435" t="s">
        <v>44</v>
      </c>
      <c r="I1435" t="s">
        <v>2214</v>
      </c>
      <c r="J1435" t="s">
        <v>97</v>
      </c>
      <c r="K1435" t="s">
        <v>38</v>
      </c>
      <c r="L1435" t="s">
        <v>39</v>
      </c>
      <c r="M1435" t="s">
        <v>61</v>
      </c>
      <c r="N1435">
        <v>1437.38</v>
      </c>
    </row>
    <row r="1436" spans="1:14" x14ac:dyDescent="0.35">
      <c r="A1436" s="2">
        <v>45836</v>
      </c>
      <c r="B1436" t="s">
        <v>135</v>
      </c>
      <c r="C1436" t="s">
        <v>71</v>
      </c>
      <c r="D1436" t="s">
        <v>22</v>
      </c>
      <c r="E1436" t="s">
        <v>92</v>
      </c>
      <c r="F1436">
        <v>2</v>
      </c>
      <c r="G1436">
        <v>360.62</v>
      </c>
      <c r="H1436" t="s">
        <v>64</v>
      </c>
      <c r="I1436" t="s">
        <v>2215</v>
      </c>
      <c r="J1436" t="s">
        <v>97</v>
      </c>
      <c r="K1436" t="s">
        <v>78</v>
      </c>
      <c r="L1436" t="s">
        <v>39</v>
      </c>
      <c r="M1436" t="s">
        <v>79</v>
      </c>
      <c r="N1436">
        <v>721.24</v>
      </c>
    </row>
    <row r="1437" spans="1:14" x14ac:dyDescent="0.35">
      <c r="A1437" s="2">
        <v>45611</v>
      </c>
      <c r="B1437" t="s">
        <v>646</v>
      </c>
      <c r="C1437" t="s">
        <v>47</v>
      </c>
      <c r="D1437" t="s">
        <v>42</v>
      </c>
      <c r="E1437" t="s">
        <v>53</v>
      </c>
      <c r="F1437">
        <v>2</v>
      </c>
      <c r="G1437">
        <v>92.46</v>
      </c>
      <c r="H1437" t="s">
        <v>35</v>
      </c>
      <c r="I1437" t="s">
        <v>2216</v>
      </c>
      <c r="J1437" t="s">
        <v>37</v>
      </c>
      <c r="K1437" t="s">
        <v>27</v>
      </c>
      <c r="L1437" t="s">
        <v>28</v>
      </c>
      <c r="M1437" t="s">
        <v>61</v>
      </c>
      <c r="N1437">
        <v>184.92</v>
      </c>
    </row>
    <row r="1438" spans="1:14" x14ac:dyDescent="0.35">
      <c r="A1438" s="2">
        <v>45658</v>
      </c>
      <c r="B1438" t="s">
        <v>687</v>
      </c>
      <c r="C1438" t="s">
        <v>81</v>
      </c>
      <c r="D1438" t="s">
        <v>33</v>
      </c>
      <c r="E1438" t="s">
        <v>92</v>
      </c>
      <c r="F1438">
        <v>5</v>
      </c>
      <c r="G1438">
        <v>270.68</v>
      </c>
      <c r="H1438" t="s">
        <v>58</v>
      </c>
      <c r="I1438" t="s">
        <v>2217</v>
      </c>
      <c r="J1438" t="s">
        <v>55</v>
      </c>
      <c r="K1438" t="s">
        <v>78</v>
      </c>
      <c r="L1438" t="s">
        <v>39</v>
      </c>
      <c r="M1438" t="s">
        <v>67</v>
      </c>
      <c r="N1438">
        <v>1353.4</v>
      </c>
    </row>
    <row r="1439" spans="1:14" x14ac:dyDescent="0.35">
      <c r="A1439" s="2">
        <v>45396</v>
      </c>
      <c r="B1439" t="s">
        <v>435</v>
      </c>
      <c r="C1439" t="s">
        <v>86</v>
      </c>
      <c r="D1439" t="s">
        <v>33</v>
      </c>
      <c r="E1439" t="s">
        <v>63</v>
      </c>
      <c r="F1439">
        <v>6</v>
      </c>
      <c r="G1439">
        <v>111.11</v>
      </c>
      <c r="H1439" t="s">
        <v>35</v>
      </c>
      <c r="I1439" t="s">
        <v>2218</v>
      </c>
      <c r="J1439" t="s">
        <v>26</v>
      </c>
      <c r="K1439" t="s">
        <v>60</v>
      </c>
      <c r="L1439" t="s">
        <v>28</v>
      </c>
      <c r="M1439" t="s">
        <v>101</v>
      </c>
      <c r="N1439">
        <v>666.66</v>
      </c>
    </row>
    <row r="1440" spans="1:14" x14ac:dyDescent="0.35">
      <c r="A1440" s="2">
        <v>45726</v>
      </c>
      <c r="B1440" t="s">
        <v>404</v>
      </c>
      <c r="C1440" t="s">
        <v>89</v>
      </c>
      <c r="D1440" t="s">
        <v>33</v>
      </c>
      <c r="E1440" t="s">
        <v>63</v>
      </c>
      <c r="F1440">
        <v>9</v>
      </c>
      <c r="G1440">
        <v>46.66</v>
      </c>
      <c r="H1440" t="s">
        <v>64</v>
      </c>
      <c r="I1440" t="s">
        <v>2219</v>
      </c>
      <c r="J1440" t="s">
        <v>26</v>
      </c>
      <c r="K1440" t="s">
        <v>27</v>
      </c>
      <c r="L1440" t="s">
        <v>28</v>
      </c>
      <c r="M1440" t="s">
        <v>29</v>
      </c>
      <c r="N1440">
        <v>419.93999999999988</v>
      </c>
    </row>
    <row r="1441" spans="1:14" x14ac:dyDescent="0.35">
      <c r="A1441" s="2">
        <v>45627</v>
      </c>
      <c r="B1441" t="s">
        <v>673</v>
      </c>
      <c r="C1441" t="s">
        <v>106</v>
      </c>
      <c r="D1441" t="s">
        <v>52</v>
      </c>
      <c r="E1441" t="s">
        <v>83</v>
      </c>
      <c r="F1441">
        <v>2</v>
      </c>
      <c r="G1441">
        <v>264.18</v>
      </c>
      <c r="H1441" t="s">
        <v>44</v>
      </c>
      <c r="I1441" t="s">
        <v>2220</v>
      </c>
      <c r="J1441" t="s">
        <v>97</v>
      </c>
      <c r="K1441" t="s">
        <v>27</v>
      </c>
      <c r="L1441" t="s">
        <v>28</v>
      </c>
      <c r="M1441" t="s">
        <v>101</v>
      </c>
      <c r="N1441">
        <v>528.36</v>
      </c>
    </row>
    <row r="1442" spans="1:14" x14ac:dyDescent="0.35">
      <c r="A1442" s="2">
        <v>45026</v>
      </c>
      <c r="B1442" t="s">
        <v>1721</v>
      </c>
      <c r="C1442" t="s">
        <v>89</v>
      </c>
      <c r="D1442" t="s">
        <v>42</v>
      </c>
      <c r="E1442" t="s">
        <v>23</v>
      </c>
      <c r="F1442">
        <v>3</v>
      </c>
      <c r="G1442">
        <v>245.07</v>
      </c>
      <c r="H1442" t="s">
        <v>58</v>
      </c>
      <c r="I1442" t="s">
        <v>2221</v>
      </c>
      <c r="J1442" t="s">
        <v>97</v>
      </c>
      <c r="K1442" t="s">
        <v>78</v>
      </c>
      <c r="L1442" t="s">
        <v>28</v>
      </c>
      <c r="M1442" t="s">
        <v>29</v>
      </c>
      <c r="N1442">
        <v>735.21</v>
      </c>
    </row>
    <row r="1443" spans="1:14" x14ac:dyDescent="0.35">
      <c r="A1443" s="2">
        <v>45817</v>
      </c>
      <c r="B1443" t="s">
        <v>1105</v>
      </c>
      <c r="C1443" t="s">
        <v>21</v>
      </c>
      <c r="D1443" t="s">
        <v>52</v>
      </c>
      <c r="E1443" t="s">
        <v>43</v>
      </c>
      <c r="F1443">
        <v>10</v>
      </c>
      <c r="G1443">
        <v>186.28</v>
      </c>
      <c r="H1443" t="s">
        <v>24</v>
      </c>
      <c r="I1443" t="s">
        <v>2222</v>
      </c>
      <c r="J1443" t="s">
        <v>97</v>
      </c>
      <c r="K1443" t="s">
        <v>60</v>
      </c>
      <c r="L1443" t="s">
        <v>39</v>
      </c>
      <c r="M1443" t="s">
        <v>29</v>
      </c>
      <c r="N1443">
        <v>1862.8</v>
      </c>
    </row>
    <row r="1444" spans="1:14" x14ac:dyDescent="0.35">
      <c r="A1444" s="2">
        <v>45728</v>
      </c>
      <c r="B1444" t="s">
        <v>1406</v>
      </c>
      <c r="C1444" t="s">
        <v>86</v>
      </c>
      <c r="D1444" t="s">
        <v>22</v>
      </c>
      <c r="E1444" t="s">
        <v>92</v>
      </c>
      <c r="F1444">
        <v>10</v>
      </c>
      <c r="G1444">
        <v>314.97000000000003</v>
      </c>
      <c r="H1444" t="s">
        <v>64</v>
      </c>
      <c r="I1444" t="s">
        <v>2223</v>
      </c>
      <c r="J1444" t="s">
        <v>37</v>
      </c>
      <c r="K1444" t="s">
        <v>27</v>
      </c>
      <c r="L1444" t="s">
        <v>28</v>
      </c>
      <c r="M1444" t="s">
        <v>67</v>
      </c>
      <c r="N1444">
        <v>3149.7</v>
      </c>
    </row>
    <row r="1445" spans="1:14" x14ac:dyDescent="0.35">
      <c r="A1445" s="2">
        <v>45541</v>
      </c>
      <c r="B1445" t="s">
        <v>2158</v>
      </c>
      <c r="C1445" t="s">
        <v>81</v>
      </c>
      <c r="D1445" t="s">
        <v>52</v>
      </c>
      <c r="E1445" t="s">
        <v>53</v>
      </c>
      <c r="F1445">
        <v>2</v>
      </c>
      <c r="G1445">
        <v>241.93</v>
      </c>
      <c r="H1445" t="s">
        <v>64</v>
      </c>
      <c r="I1445" t="s">
        <v>2224</v>
      </c>
      <c r="J1445" t="s">
        <v>55</v>
      </c>
      <c r="K1445" t="s">
        <v>38</v>
      </c>
      <c r="L1445" t="s">
        <v>28</v>
      </c>
      <c r="M1445" t="s">
        <v>61</v>
      </c>
      <c r="N1445">
        <v>483.86</v>
      </c>
    </row>
    <row r="1446" spans="1:14" x14ac:dyDescent="0.35">
      <c r="A1446" s="2">
        <v>45514</v>
      </c>
      <c r="B1446" t="s">
        <v>677</v>
      </c>
      <c r="C1446" t="s">
        <v>51</v>
      </c>
      <c r="D1446" t="s">
        <v>33</v>
      </c>
      <c r="E1446" t="s">
        <v>53</v>
      </c>
      <c r="F1446">
        <v>7</v>
      </c>
      <c r="G1446">
        <v>149.77000000000001</v>
      </c>
      <c r="H1446" t="s">
        <v>35</v>
      </c>
      <c r="I1446" t="s">
        <v>2225</v>
      </c>
      <c r="J1446" t="s">
        <v>55</v>
      </c>
      <c r="K1446" t="s">
        <v>27</v>
      </c>
      <c r="L1446" t="s">
        <v>66</v>
      </c>
      <c r="M1446" t="s">
        <v>79</v>
      </c>
      <c r="N1446">
        <v>1048.3900000000001</v>
      </c>
    </row>
    <row r="1447" spans="1:14" x14ac:dyDescent="0.35">
      <c r="A1447" s="2">
        <v>45298</v>
      </c>
      <c r="B1447" t="s">
        <v>2226</v>
      </c>
      <c r="C1447" t="s">
        <v>71</v>
      </c>
      <c r="D1447" t="s">
        <v>42</v>
      </c>
      <c r="E1447" t="s">
        <v>23</v>
      </c>
      <c r="F1447">
        <v>5</v>
      </c>
      <c r="G1447">
        <v>353.76</v>
      </c>
      <c r="H1447" t="s">
        <v>24</v>
      </c>
      <c r="I1447" t="s">
        <v>2227</v>
      </c>
      <c r="J1447" t="s">
        <v>37</v>
      </c>
      <c r="K1447" t="s">
        <v>78</v>
      </c>
      <c r="L1447" t="s">
        <v>39</v>
      </c>
      <c r="M1447" t="s">
        <v>101</v>
      </c>
      <c r="N1447">
        <v>1768.8</v>
      </c>
    </row>
    <row r="1448" spans="1:14" x14ac:dyDescent="0.35">
      <c r="A1448" s="2">
        <v>45071</v>
      </c>
      <c r="B1448" t="s">
        <v>1783</v>
      </c>
      <c r="C1448" t="s">
        <v>81</v>
      </c>
      <c r="D1448" t="s">
        <v>42</v>
      </c>
      <c r="E1448" t="s">
        <v>34</v>
      </c>
      <c r="F1448">
        <v>3</v>
      </c>
      <c r="G1448">
        <v>74.84</v>
      </c>
      <c r="H1448" t="s">
        <v>35</v>
      </c>
      <c r="I1448" t="s">
        <v>2228</v>
      </c>
      <c r="J1448" t="s">
        <v>37</v>
      </c>
      <c r="K1448" t="s">
        <v>78</v>
      </c>
      <c r="L1448" t="s">
        <v>39</v>
      </c>
      <c r="M1448" t="s">
        <v>56</v>
      </c>
      <c r="N1448">
        <v>224.52</v>
      </c>
    </row>
    <row r="1449" spans="1:14" x14ac:dyDescent="0.35">
      <c r="A1449" s="2">
        <v>45269</v>
      </c>
      <c r="B1449" t="s">
        <v>969</v>
      </c>
      <c r="C1449" t="s">
        <v>41</v>
      </c>
      <c r="D1449" t="s">
        <v>42</v>
      </c>
      <c r="E1449" t="s">
        <v>34</v>
      </c>
      <c r="F1449">
        <v>2</v>
      </c>
      <c r="G1449">
        <v>121.05</v>
      </c>
      <c r="H1449" t="s">
        <v>58</v>
      </c>
      <c r="I1449" t="s">
        <v>2229</v>
      </c>
      <c r="J1449" t="s">
        <v>26</v>
      </c>
      <c r="K1449" t="s">
        <v>60</v>
      </c>
      <c r="L1449" t="s">
        <v>66</v>
      </c>
      <c r="M1449" t="s">
        <v>79</v>
      </c>
      <c r="N1449">
        <v>242.1</v>
      </c>
    </row>
    <row r="1450" spans="1:14" x14ac:dyDescent="0.35">
      <c r="A1450" s="2">
        <v>45058</v>
      </c>
      <c r="B1450" t="s">
        <v>1215</v>
      </c>
      <c r="C1450" t="s">
        <v>89</v>
      </c>
      <c r="D1450" t="s">
        <v>52</v>
      </c>
      <c r="E1450" t="s">
        <v>63</v>
      </c>
      <c r="F1450">
        <v>7</v>
      </c>
      <c r="G1450">
        <v>277.36</v>
      </c>
      <c r="H1450" t="s">
        <v>35</v>
      </c>
      <c r="I1450" t="s">
        <v>2230</v>
      </c>
      <c r="J1450" t="s">
        <v>55</v>
      </c>
      <c r="K1450" t="s">
        <v>27</v>
      </c>
      <c r="L1450" t="s">
        <v>39</v>
      </c>
      <c r="M1450" t="s">
        <v>61</v>
      </c>
      <c r="N1450">
        <v>1941.52</v>
      </c>
    </row>
    <row r="1451" spans="1:14" x14ac:dyDescent="0.35">
      <c r="A1451" s="2">
        <v>45372</v>
      </c>
      <c r="B1451" t="s">
        <v>454</v>
      </c>
      <c r="C1451" t="s">
        <v>74</v>
      </c>
      <c r="D1451" t="s">
        <v>22</v>
      </c>
      <c r="E1451" t="s">
        <v>92</v>
      </c>
      <c r="F1451">
        <v>9</v>
      </c>
      <c r="G1451">
        <v>330.57</v>
      </c>
      <c r="H1451" t="s">
        <v>24</v>
      </c>
      <c r="I1451" t="s">
        <v>2231</v>
      </c>
      <c r="J1451" t="s">
        <v>97</v>
      </c>
      <c r="K1451" t="s">
        <v>60</v>
      </c>
      <c r="L1451" t="s">
        <v>66</v>
      </c>
      <c r="M1451" t="s">
        <v>56</v>
      </c>
      <c r="N1451">
        <v>2975.13</v>
      </c>
    </row>
    <row r="1452" spans="1:14" x14ac:dyDescent="0.35">
      <c r="A1452" s="2">
        <v>44948</v>
      </c>
      <c r="B1452" t="s">
        <v>1154</v>
      </c>
      <c r="C1452" t="s">
        <v>106</v>
      </c>
      <c r="D1452" t="s">
        <v>42</v>
      </c>
      <c r="E1452" t="s">
        <v>63</v>
      </c>
      <c r="F1452">
        <v>4</v>
      </c>
      <c r="G1452">
        <v>49.38</v>
      </c>
      <c r="H1452" t="s">
        <v>24</v>
      </c>
      <c r="I1452" t="s">
        <v>2232</v>
      </c>
      <c r="J1452" t="s">
        <v>97</v>
      </c>
      <c r="K1452" t="s">
        <v>38</v>
      </c>
      <c r="L1452" t="s">
        <v>39</v>
      </c>
      <c r="M1452" t="s">
        <v>101</v>
      </c>
      <c r="N1452">
        <v>197.52</v>
      </c>
    </row>
    <row r="1453" spans="1:14" x14ac:dyDescent="0.35">
      <c r="A1453" s="2">
        <v>45128</v>
      </c>
      <c r="B1453" t="s">
        <v>1207</v>
      </c>
      <c r="C1453" t="s">
        <v>81</v>
      </c>
      <c r="D1453" t="s">
        <v>33</v>
      </c>
      <c r="E1453" t="s">
        <v>83</v>
      </c>
      <c r="F1453">
        <v>6</v>
      </c>
      <c r="G1453">
        <v>200.88</v>
      </c>
      <c r="H1453" t="s">
        <v>64</v>
      </c>
      <c r="I1453" t="s">
        <v>2233</v>
      </c>
      <c r="J1453" t="s">
        <v>55</v>
      </c>
      <c r="K1453" t="s">
        <v>60</v>
      </c>
      <c r="L1453" t="s">
        <v>28</v>
      </c>
      <c r="M1453" t="s">
        <v>61</v>
      </c>
      <c r="N1453">
        <v>1205.28</v>
      </c>
    </row>
    <row r="1454" spans="1:14" x14ac:dyDescent="0.35">
      <c r="A1454" s="2">
        <v>45647</v>
      </c>
      <c r="B1454" t="s">
        <v>1288</v>
      </c>
      <c r="C1454" t="s">
        <v>51</v>
      </c>
      <c r="D1454" t="s">
        <v>52</v>
      </c>
      <c r="E1454" t="s">
        <v>43</v>
      </c>
      <c r="F1454">
        <v>6</v>
      </c>
      <c r="G1454">
        <v>348.36</v>
      </c>
      <c r="H1454" t="s">
        <v>35</v>
      </c>
      <c r="I1454" t="s">
        <v>2234</v>
      </c>
      <c r="J1454" t="s">
        <v>94</v>
      </c>
      <c r="K1454" t="s">
        <v>27</v>
      </c>
      <c r="L1454" t="s">
        <v>39</v>
      </c>
      <c r="M1454" t="s">
        <v>79</v>
      </c>
      <c r="N1454">
        <v>2090.16</v>
      </c>
    </row>
    <row r="1455" spans="1:14" x14ac:dyDescent="0.35">
      <c r="A1455" s="2">
        <v>45024</v>
      </c>
      <c r="B1455" t="s">
        <v>490</v>
      </c>
      <c r="C1455" t="s">
        <v>81</v>
      </c>
      <c r="D1455" t="s">
        <v>42</v>
      </c>
      <c r="E1455" t="s">
        <v>83</v>
      </c>
      <c r="F1455">
        <v>3</v>
      </c>
      <c r="G1455">
        <v>335.86</v>
      </c>
      <c r="H1455" t="s">
        <v>44</v>
      </c>
      <c r="I1455" t="s">
        <v>2235</v>
      </c>
      <c r="J1455" t="s">
        <v>94</v>
      </c>
      <c r="K1455" t="s">
        <v>60</v>
      </c>
      <c r="L1455" t="s">
        <v>66</v>
      </c>
      <c r="M1455" t="s">
        <v>79</v>
      </c>
      <c r="N1455">
        <v>1007.58</v>
      </c>
    </row>
    <row r="1456" spans="1:14" x14ac:dyDescent="0.35">
      <c r="A1456" s="2">
        <v>45462</v>
      </c>
      <c r="B1456" t="s">
        <v>562</v>
      </c>
      <c r="C1456" t="s">
        <v>47</v>
      </c>
      <c r="D1456" t="s">
        <v>33</v>
      </c>
      <c r="E1456" t="s">
        <v>63</v>
      </c>
      <c r="F1456">
        <v>5</v>
      </c>
      <c r="G1456">
        <v>31.82</v>
      </c>
      <c r="H1456" t="s">
        <v>24</v>
      </c>
      <c r="I1456" t="s">
        <v>2236</v>
      </c>
      <c r="J1456" t="s">
        <v>94</v>
      </c>
      <c r="K1456" t="s">
        <v>60</v>
      </c>
      <c r="L1456" t="s">
        <v>28</v>
      </c>
      <c r="M1456" t="s">
        <v>67</v>
      </c>
      <c r="N1456">
        <v>159.1</v>
      </c>
    </row>
    <row r="1457" spans="1:14" x14ac:dyDescent="0.35">
      <c r="A1457" s="2">
        <v>45056</v>
      </c>
      <c r="B1457" t="s">
        <v>717</v>
      </c>
      <c r="C1457" t="s">
        <v>89</v>
      </c>
      <c r="D1457" t="s">
        <v>33</v>
      </c>
      <c r="E1457" t="s">
        <v>23</v>
      </c>
      <c r="F1457">
        <v>9</v>
      </c>
      <c r="G1457">
        <v>104.52</v>
      </c>
      <c r="H1457" t="s">
        <v>44</v>
      </c>
      <c r="I1457" t="s">
        <v>2237</v>
      </c>
      <c r="J1457" t="s">
        <v>55</v>
      </c>
      <c r="K1457" t="s">
        <v>38</v>
      </c>
      <c r="L1457" t="s">
        <v>39</v>
      </c>
      <c r="M1457" t="s">
        <v>67</v>
      </c>
      <c r="N1457">
        <v>940.68</v>
      </c>
    </row>
    <row r="1458" spans="1:14" x14ac:dyDescent="0.35">
      <c r="A1458" s="2">
        <v>45088</v>
      </c>
      <c r="B1458" t="s">
        <v>825</v>
      </c>
      <c r="C1458" t="s">
        <v>41</v>
      </c>
      <c r="D1458" t="s">
        <v>52</v>
      </c>
      <c r="E1458" t="s">
        <v>53</v>
      </c>
      <c r="F1458">
        <v>3</v>
      </c>
      <c r="G1458">
        <v>275.63</v>
      </c>
      <c r="H1458" t="s">
        <v>35</v>
      </c>
      <c r="I1458" t="s">
        <v>2238</v>
      </c>
      <c r="J1458" t="s">
        <v>94</v>
      </c>
      <c r="K1458" t="s">
        <v>78</v>
      </c>
      <c r="L1458" t="s">
        <v>28</v>
      </c>
      <c r="M1458" t="s">
        <v>101</v>
      </c>
      <c r="N1458">
        <v>826.89</v>
      </c>
    </row>
    <row r="1459" spans="1:14" x14ac:dyDescent="0.35">
      <c r="A1459" s="2">
        <v>45486</v>
      </c>
      <c r="B1459" t="s">
        <v>372</v>
      </c>
      <c r="C1459" t="s">
        <v>41</v>
      </c>
      <c r="D1459" t="s">
        <v>42</v>
      </c>
      <c r="E1459" t="s">
        <v>34</v>
      </c>
      <c r="F1459">
        <v>6</v>
      </c>
      <c r="G1459">
        <v>296.97000000000003</v>
      </c>
      <c r="H1459" t="s">
        <v>35</v>
      </c>
      <c r="I1459" t="s">
        <v>2239</v>
      </c>
      <c r="J1459" t="s">
        <v>37</v>
      </c>
      <c r="K1459" t="s">
        <v>27</v>
      </c>
      <c r="L1459" t="s">
        <v>28</v>
      </c>
      <c r="M1459" t="s">
        <v>79</v>
      </c>
      <c r="N1459">
        <v>1781.82</v>
      </c>
    </row>
    <row r="1460" spans="1:14" x14ac:dyDescent="0.35">
      <c r="A1460" s="2">
        <v>45309</v>
      </c>
      <c r="B1460" t="s">
        <v>2240</v>
      </c>
      <c r="C1460" t="s">
        <v>89</v>
      </c>
      <c r="D1460" t="s">
        <v>42</v>
      </c>
      <c r="E1460" t="s">
        <v>23</v>
      </c>
      <c r="F1460">
        <v>5</v>
      </c>
      <c r="G1460">
        <v>331.32</v>
      </c>
      <c r="H1460" t="s">
        <v>35</v>
      </c>
      <c r="I1460" t="s">
        <v>2241</v>
      </c>
      <c r="J1460" t="s">
        <v>37</v>
      </c>
      <c r="K1460" t="s">
        <v>60</v>
      </c>
      <c r="L1460" t="s">
        <v>39</v>
      </c>
      <c r="M1460" t="s">
        <v>56</v>
      </c>
      <c r="N1460">
        <v>1656.6</v>
      </c>
    </row>
    <row r="1461" spans="1:14" x14ac:dyDescent="0.35">
      <c r="A1461" s="2">
        <v>45205</v>
      </c>
      <c r="B1461" t="s">
        <v>2242</v>
      </c>
      <c r="C1461" t="s">
        <v>106</v>
      </c>
      <c r="D1461" t="s">
        <v>52</v>
      </c>
      <c r="E1461" t="s">
        <v>53</v>
      </c>
      <c r="F1461">
        <v>2</v>
      </c>
      <c r="G1461">
        <v>51.53</v>
      </c>
      <c r="H1461" t="s">
        <v>64</v>
      </c>
      <c r="I1461" t="s">
        <v>2243</v>
      </c>
      <c r="J1461" t="s">
        <v>55</v>
      </c>
      <c r="K1461" t="s">
        <v>38</v>
      </c>
      <c r="L1461" t="s">
        <v>28</v>
      </c>
      <c r="M1461" t="s">
        <v>61</v>
      </c>
      <c r="N1461">
        <v>103.06</v>
      </c>
    </row>
    <row r="1462" spans="1:14" x14ac:dyDescent="0.35">
      <c r="A1462" s="2">
        <v>44999</v>
      </c>
      <c r="B1462" t="s">
        <v>414</v>
      </c>
      <c r="C1462" t="s">
        <v>81</v>
      </c>
      <c r="D1462" t="s">
        <v>33</v>
      </c>
      <c r="E1462" t="s">
        <v>92</v>
      </c>
      <c r="F1462">
        <v>2</v>
      </c>
      <c r="G1462">
        <v>271.74</v>
      </c>
      <c r="H1462" t="s">
        <v>64</v>
      </c>
      <c r="I1462" t="s">
        <v>2244</v>
      </c>
      <c r="J1462" t="s">
        <v>55</v>
      </c>
      <c r="K1462" t="s">
        <v>60</v>
      </c>
      <c r="L1462" t="s">
        <v>66</v>
      </c>
      <c r="M1462" t="s">
        <v>49</v>
      </c>
      <c r="N1462">
        <v>543.48</v>
      </c>
    </row>
    <row r="1463" spans="1:14" x14ac:dyDescent="0.35">
      <c r="A1463" s="2">
        <v>44997</v>
      </c>
      <c r="B1463" t="s">
        <v>717</v>
      </c>
      <c r="C1463" t="s">
        <v>51</v>
      </c>
      <c r="D1463" t="s">
        <v>42</v>
      </c>
      <c r="E1463" t="s">
        <v>34</v>
      </c>
      <c r="F1463">
        <v>2</v>
      </c>
      <c r="G1463">
        <v>293.07</v>
      </c>
      <c r="H1463" t="s">
        <v>58</v>
      </c>
      <c r="I1463" t="s">
        <v>2245</v>
      </c>
      <c r="J1463" t="s">
        <v>26</v>
      </c>
      <c r="K1463" t="s">
        <v>78</v>
      </c>
      <c r="L1463" t="s">
        <v>39</v>
      </c>
      <c r="M1463" t="s">
        <v>101</v>
      </c>
      <c r="N1463">
        <v>586.14</v>
      </c>
    </row>
    <row r="1464" spans="1:14" x14ac:dyDescent="0.35">
      <c r="A1464" s="2">
        <v>45200</v>
      </c>
      <c r="B1464" t="s">
        <v>2246</v>
      </c>
      <c r="C1464" t="s">
        <v>71</v>
      </c>
      <c r="D1464" t="s">
        <v>33</v>
      </c>
      <c r="E1464" t="s">
        <v>53</v>
      </c>
      <c r="F1464">
        <v>7</v>
      </c>
      <c r="G1464">
        <v>361.77</v>
      </c>
      <c r="H1464" t="s">
        <v>24</v>
      </c>
      <c r="I1464" t="s">
        <v>2247</v>
      </c>
      <c r="J1464" t="s">
        <v>55</v>
      </c>
      <c r="K1464" t="s">
        <v>60</v>
      </c>
      <c r="L1464" t="s">
        <v>39</v>
      </c>
      <c r="M1464" t="s">
        <v>101</v>
      </c>
      <c r="N1464">
        <v>2532.39</v>
      </c>
    </row>
    <row r="1465" spans="1:14" x14ac:dyDescent="0.35">
      <c r="A1465" s="2">
        <v>45267</v>
      </c>
      <c r="B1465" t="s">
        <v>2248</v>
      </c>
      <c r="C1465" t="s">
        <v>47</v>
      </c>
      <c r="D1465" t="s">
        <v>42</v>
      </c>
      <c r="E1465" t="s">
        <v>63</v>
      </c>
      <c r="F1465">
        <v>6</v>
      </c>
      <c r="G1465">
        <v>272.26</v>
      </c>
      <c r="H1465" t="s">
        <v>24</v>
      </c>
      <c r="I1465" t="s">
        <v>2249</v>
      </c>
      <c r="J1465" t="s">
        <v>94</v>
      </c>
      <c r="K1465" t="s">
        <v>78</v>
      </c>
      <c r="L1465" t="s">
        <v>39</v>
      </c>
      <c r="M1465" t="s">
        <v>56</v>
      </c>
      <c r="N1465">
        <v>1633.56</v>
      </c>
    </row>
    <row r="1466" spans="1:14" x14ac:dyDescent="0.35">
      <c r="A1466" s="2">
        <v>45111</v>
      </c>
      <c r="B1466" t="s">
        <v>474</v>
      </c>
      <c r="C1466" t="s">
        <v>51</v>
      </c>
      <c r="D1466" t="s">
        <v>33</v>
      </c>
      <c r="E1466" t="s">
        <v>43</v>
      </c>
      <c r="F1466">
        <v>6</v>
      </c>
      <c r="G1466">
        <v>104.02</v>
      </c>
      <c r="H1466" t="s">
        <v>35</v>
      </c>
      <c r="I1466" t="s">
        <v>2250</v>
      </c>
      <c r="J1466" t="s">
        <v>55</v>
      </c>
      <c r="K1466" t="s">
        <v>60</v>
      </c>
      <c r="L1466" t="s">
        <v>39</v>
      </c>
      <c r="M1466" t="s">
        <v>49</v>
      </c>
      <c r="N1466">
        <v>624.12</v>
      </c>
    </row>
    <row r="1467" spans="1:14" x14ac:dyDescent="0.35">
      <c r="A1467" s="2">
        <v>45789</v>
      </c>
      <c r="B1467" t="s">
        <v>472</v>
      </c>
      <c r="C1467" t="s">
        <v>81</v>
      </c>
      <c r="D1467" t="s">
        <v>22</v>
      </c>
      <c r="E1467" t="s">
        <v>92</v>
      </c>
      <c r="F1467">
        <v>5</v>
      </c>
      <c r="G1467">
        <v>357.77</v>
      </c>
      <c r="H1467" t="s">
        <v>35</v>
      </c>
      <c r="I1467" t="s">
        <v>2251</v>
      </c>
      <c r="J1467" t="s">
        <v>55</v>
      </c>
      <c r="K1467" t="s">
        <v>27</v>
      </c>
      <c r="L1467" t="s">
        <v>28</v>
      </c>
      <c r="M1467" t="s">
        <v>29</v>
      </c>
      <c r="N1467">
        <v>1788.85</v>
      </c>
    </row>
    <row r="1468" spans="1:14" x14ac:dyDescent="0.35">
      <c r="A1468" s="2">
        <v>45445</v>
      </c>
      <c r="B1468" t="s">
        <v>1160</v>
      </c>
      <c r="C1468" t="s">
        <v>47</v>
      </c>
      <c r="D1468" t="s">
        <v>52</v>
      </c>
      <c r="E1468" t="s">
        <v>23</v>
      </c>
      <c r="F1468">
        <v>3</v>
      </c>
      <c r="G1468">
        <v>362.96</v>
      </c>
      <c r="H1468" t="s">
        <v>44</v>
      </c>
      <c r="I1468" t="s">
        <v>2252</v>
      </c>
      <c r="J1468" t="s">
        <v>37</v>
      </c>
      <c r="K1468" t="s">
        <v>78</v>
      </c>
      <c r="L1468" t="s">
        <v>28</v>
      </c>
      <c r="M1468" t="s">
        <v>101</v>
      </c>
      <c r="N1468">
        <v>1088.8800000000001</v>
      </c>
    </row>
    <row r="1469" spans="1:14" x14ac:dyDescent="0.35">
      <c r="A1469" s="2">
        <v>45116</v>
      </c>
      <c r="B1469" t="s">
        <v>273</v>
      </c>
      <c r="C1469" t="s">
        <v>106</v>
      </c>
      <c r="D1469" t="s">
        <v>42</v>
      </c>
      <c r="E1469" t="s">
        <v>53</v>
      </c>
      <c r="F1469">
        <v>3</v>
      </c>
      <c r="G1469">
        <v>20.37</v>
      </c>
      <c r="H1469" t="s">
        <v>35</v>
      </c>
      <c r="I1469" t="s">
        <v>2253</v>
      </c>
      <c r="J1469" t="s">
        <v>94</v>
      </c>
      <c r="K1469" t="s">
        <v>27</v>
      </c>
      <c r="L1469" t="s">
        <v>39</v>
      </c>
      <c r="M1469" t="s">
        <v>101</v>
      </c>
      <c r="N1469">
        <v>61.11</v>
      </c>
    </row>
    <row r="1470" spans="1:14" x14ac:dyDescent="0.35">
      <c r="A1470" s="2">
        <v>45484</v>
      </c>
      <c r="B1470" t="s">
        <v>1273</v>
      </c>
      <c r="C1470" t="s">
        <v>71</v>
      </c>
      <c r="D1470" t="s">
        <v>42</v>
      </c>
      <c r="E1470" t="s">
        <v>92</v>
      </c>
      <c r="F1470">
        <v>9</v>
      </c>
      <c r="G1470">
        <v>278.29000000000002</v>
      </c>
      <c r="H1470" t="s">
        <v>64</v>
      </c>
      <c r="I1470" t="s">
        <v>2254</v>
      </c>
      <c r="J1470" t="s">
        <v>97</v>
      </c>
      <c r="K1470" t="s">
        <v>78</v>
      </c>
      <c r="L1470" t="s">
        <v>28</v>
      </c>
      <c r="M1470" t="s">
        <v>56</v>
      </c>
      <c r="N1470">
        <v>2504.61</v>
      </c>
    </row>
    <row r="1471" spans="1:14" x14ac:dyDescent="0.35">
      <c r="A1471" s="2">
        <v>45043</v>
      </c>
      <c r="B1471" t="s">
        <v>1302</v>
      </c>
      <c r="C1471" t="s">
        <v>86</v>
      </c>
      <c r="D1471" t="s">
        <v>33</v>
      </c>
      <c r="E1471" t="s">
        <v>34</v>
      </c>
      <c r="F1471">
        <v>8</v>
      </c>
      <c r="G1471">
        <v>127.29</v>
      </c>
      <c r="H1471" t="s">
        <v>35</v>
      </c>
      <c r="I1471" t="s">
        <v>2255</v>
      </c>
      <c r="J1471" t="s">
        <v>97</v>
      </c>
      <c r="K1471" t="s">
        <v>27</v>
      </c>
      <c r="L1471" t="s">
        <v>66</v>
      </c>
      <c r="M1471" t="s">
        <v>56</v>
      </c>
      <c r="N1471">
        <v>1018.32</v>
      </c>
    </row>
    <row r="1472" spans="1:14" x14ac:dyDescent="0.35">
      <c r="A1472" s="2">
        <v>45286</v>
      </c>
      <c r="B1472" t="s">
        <v>248</v>
      </c>
      <c r="C1472" t="s">
        <v>21</v>
      </c>
      <c r="D1472" t="s">
        <v>52</v>
      </c>
      <c r="E1472" t="s">
        <v>34</v>
      </c>
      <c r="F1472">
        <v>10</v>
      </c>
      <c r="G1472">
        <v>364.16</v>
      </c>
      <c r="H1472" t="s">
        <v>44</v>
      </c>
      <c r="I1472" t="s">
        <v>2256</v>
      </c>
      <c r="J1472" t="s">
        <v>55</v>
      </c>
      <c r="K1472" t="s">
        <v>60</v>
      </c>
      <c r="L1472" t="s">
        <v>66</v>
      </c>
      <c r="M1472" t="s">
        <v>49</v>
      </c>
      <c r="N1472">
        <v>3641.6</v>
      </c>
    </row>
    <row r="1473" spans="1:14" x14ac:dyDescent="0.35">
      <c r="A1473" s="2">
        <v>45470</v>
      </c>
      <c r="B1473" t="s">
        <v>1696</v>
      </c>
      <c r="C1473" t="s">
        <v>106</v>
      </c>
      <c r="D1473" t="s">
        <v>22</v>
      </c>
      <c r="E1473" t="s">
        <v>63</v>
      </c>
      <c r="F1473">
        <v>3</v>
      </c>
      <c r="G1473">
        <v>122.45</v>
      </c>
      <c r="H1473" t="s">
        <v>58</v>
      </c>
      <c r="I1473" t="s">
        <v>2257</v>
      </c>
      <c r="J1473" t="s">
        <v>37</v>
      </c>
      <c r="K1473" t="s">
        <v>78</v>
      </c>
      <c r="L1473" t="s">
        <v>39</v>
      </c>
      <c r="M1473" t="s">
        <v>56</v>
      </c>
      <c r="N1473">
        <v>367.35</v>
      </c>
    </row>
    <row r="1474" spans="1:14" x14ac:dyDescent="0.35">
      <c r="A1474" s="2">
        <v>45227</v>
      </c>
      <c r="B1474" t="s">
        <v>1246</v>
      </c>
      <c r="C1474" t="s">
        <v>74</v>
      </c>
      <c r="D1474" t="s">
        <v>52</v>
      </c>
      <c r="E1474" t="s">
        <v>43</v>
      </c>
      <c r="F1474">
        <v>10</v>
      </c>
      <c r="G1474">
        <v>221.44</v>
      </c>
      <c r="H1474" t="s">
        <v>24</v>
      </c>
      <c r="I1474" t="s">
        <v>2258</v>
      </c>
      <c r="J1474" t="s">
        <v>94</v>
      </c>
      <c r="K1474" t="s">
        <v>38</v>
      </c>
      <c r="L1474" t="s">
        <v>66</v>
      </c>
      <c r="M1474" t="s">
        <v>79</v>
      </c>
      <c r="N1474">
        <v>2214.4</v>
      </c>
    </row>
    <row r="1475" spans="1:14" x14ac:dyDescent="0.35">
      <c r="A1475" s="2">
        <v>44944</v>
      </c>
      <c r="B1475" t="s">
        <v>735</v>
      </c>
      <c r="C1475" t="s">
        <v>106</v>
      </c>
      <c r="D1475" t="s">
        <v>52</v>
      </c>
      <c r="E1475" t="s">
        <v>92</v>
      </c>
      <c r="F1475">
        <v>3</v>
      </c>
      <c r="G1475">
        <v>129.41</v>
      </c>
      <c r="H1475" t="s">
        <v>24</v>
      </c>
      <c r="I1475" t="s">
        <v>2259</v>
      </c>
      <c r="J1475" t="s">
        <v>37</v>
      </c>
      <c r="K1475" t="s">
        <v>38</v>
      </c>
      <c r="L1475" t="s">
        <v>66</v>
      </c>
      <c r="M1475" t="s">
        <v>67</v>
      </c>
      <c r="N1475">
        <v>388.23</v>
      </c>
    </row>
    <row r="1476" spans="1:14" x14ac:dyDescent="0.35">
      <c r="A1476" s="2">
        <v>45666</v>
      </c>
      <c r="B1476" t="s">
        <v>632</v>
      </c>
      <c r="C1476" t="s">
        <v>71</v>
      </c>
      <c r="D1476" t="s">
        <v>22</v>
      </c>
      <c r="E1476" t="s">
        <v>63</v>
      </c>
      <c r="F1476">
        <v>4</v>
      </c>
      <c r="G1476">
        <v>194.44</v>
      </c>
      <c r="H1476" t="s">
        <v>44</v>
      </c>
      <c r="I1476" t="s">
        <v>2260</v>
      </c>
      <c r="J1476" t="s">
        <v>26</v>
      </c>
      <c r="K1476" t="s">
        <v>27</v>
      </c>
      <c r="L1476" t="s">
        <v>39</v>
      </c>
      <c r="M1476" t="s">
        <v>56</v>
      </c>
      <c r="N1476">
        <v>777.76</v>
      </c>
    </row>
    <row r="1477" spans="1:14" x14ac:dyDescent="0.35">
      <c r="A1477" s="2">
        <v>45662</v>
      </c>
      <c r="B1477" t="s">
        <v>953</v>
      </c>
      <c r="C1477" t="s">
        <v>47</v>
      </c>
      <c r="D1477" t="s">
        <v>22</v>
      </c>
      <c r="E1477" t="s">
        <v>53</v>
      </c>
      <c r="F1477">
        <v>10</v>
      </c>
      <c r="G1477">
        <v>7.42</v>
      </c>
      <c r="H1477" t="s">
        <v>44</v>
      </c>
      <c r="I1477" t="s">
        <v>2261</v>
      </c>
      <c r="J1477" t="s">
        <v>37</v>
      </c>
      <c r="K1477" t="s">
        <v>27</v>
      </c>
      <c r="L1477" t="s">
        <v>28</v>
      </c>
      <c r="M1477" t="s">
        <v>101</v>
      </c>
      <c r="N1477">
        <v>74.2</v>
      </c>
    </row>
    <row r="1478" spans="1:14" x14ac:dyDescent="0.35">
      <c r="A1478" s="2">
        <v>45179</v>
      </c>
      <c r="B1478" t="s">
        <v>2213</v>
      </c>
      <c r="C1478" t="s">
        <v>86</v>
      </c>
      <c r="D1478" t="s">
        <v>42</v>
      </c>
      <c r="E1478" t="s">
        <v>34</v>
      </c>
      <c r="F1478">
        <v>8</v>
      </c>
      <c r="G1478">
        <v>222.24</v>
      </c>
      <c r="H1478" t="s">
        <v>44</v>
      </c>
      <c r="I1478" t="s">
        <v>2262</v>
      </c>
      <c r="J1478" t="s">
        <v>55</v>
      </c>
      <c r="K1478" t="s">
        <v>27</v>
      </c>
      <c r="L1478" t="s">
        <v>39</v>
      </c>
      <c r="M1478" t="s">
        <v>101</v>
      </c>
      <c r="N1478">
        <v>1777.92</v>
      </c>
    </row>
    <row r="1479" spans="1:14" x14ac:dyDescent="0.35">
      <c r="A1479" s="2">
        <v>44945</v>
      </c>
      <c r="B1479" t="s">
        <v>1875</v>
      </c>
      <c r="C1479" t="s">
        <v>86</v>
      </c>
      <c r="D1479" t="s">
        <v>22</v>
      </c>
      <c r="E1479" t="s">
        <v>53</v>
      </c>
      <c r="F1479">
        <v>6</v>
      </c>
      <c r="G1479">
        <v>115.85</v>
      </c>
      <c r="H1479" t="s">
        <v>24</v>
      </c>
      <c r="I1479" t="s">
        <v>2263</v>
      </c>
      <c r="J1479" t="s">
        <v>94</v>
      </c>
      <c r="K1479" t="s">
        <v>27</v>
      </c>
      <c r="L1479" t="s">
        <v>28</v>
      </c>
      <c r="M1479" t="s">
        <v>56</v>
      </c>
      <c r="N1479">
        <v>695.09999999999991</v>
      </c>
    </row>
    <row r="1480" spans="1:14" x14ac:dyDescent="0.35">
      <c r="A1480" s="2">
        <v>45026</v>
      </c>
      <c r="B1480" t="s">
        <v>499</v>
      </c>
      <c r="C1480" t="s">
        <v>71</v>
      </c>
      <c r="D1480" t="s">
        <v>42</v>
      </c>
      <c r="E1480" t="s">
        <v>43</v>
      </c>
      <c r="F1480">
        <v>2</v>
      </c>
      <c r="G1480">
        <v>45.59</v>
      </c>
      <c r="H1480" t="s">
        <v>35</v>
      </c>
      <c r="I1480" t="s">
        <v>2264</v>
      </c>
      <c r="J1480" t="s">
        <v>97</v>
      </c>
      <c r="K1480" t="s">
        <v>38</v>
      </c>
      <c r="L1480" t="s">
        <v>66</v>
      </c>
      <c r="M1480" t="s">
        <v>29</v>
      </c>
      <c r="N1480">
        <v>91.18</v>
      </c>
    </row>
    <row r="1481" spans="1:14" x14ac:dyDescent="0.35">
      <c r="A1481" s="2">
        <v>45584</v>
      </c>
      <c r="B1481" t="s">
        <v>344</v>
      </c>
      <c r="C1481" t="s">
        <v>71</v>
      </c>
      <c r="D1481" t="s">
        <v>42</v>
      </c>
      <c r="E1481" t="s">
        <v>83</v>
      </c>
      <c r="F1481">
        <v>10</v>
      </c>
      <c r="G1481">
        <v>284.88</v>
      </c>
      <c r="H1481" t="s">
        <v>64</v>
      </c>
      <c r="I1481" t="s">
        <v>2265</v>
      </c>
      <c r="J1481" t="s">
        <v>97</v>
      </c>
      <c r="K1481" t="s">
        <v>60</v>
      </c>
      <c r="L1481" t="s">
        <v>39</v>
      </c>
      <c r="M1481" t="s">
        <v>79</v>
      </c>
      <c r="N1481">
        <v>2848.8</v>
      </c>
    </row>
    <row r="1482" spans="1:14" x14ac:dyDescent="0.35">
      <c r="A1482" s="2">
        <v>45074</v>
      </c>
      <c r="B1482" t="s">
        <v>1654</v>
      </c>
      <c r="C1482" t="s">
        <v>51</v>
      </c>
      <c r="D1482" t="s">
        <v>33</v>
      </c>
      <c r="E1482" t="s">
        <v>23</v>
      </c>
      <c r="F1482">
        <v>1</v>
      </c>
      <c r="G1482">
        <v>138.53</v>
      </c>
      <c r="H1482" t="s">
        <v>64</v>
      </c>
      <c r="I1482" t="s">
        <v>2266</v>
      </c>
      <c r="J1482" t="s">
        <v>55</v>
      </c>
      <c r="K1482" t="s">
        <v>60</v>
      </c>
      <c r="L1482" t="s">
        <v>66</v>
      </c>
      <c r="M1482" t="s">
        <v>101</v>
      </c>
      <c r="N1482">
        <v>138.53</v>
      </c>
    </row>
    <row r="1483" spans="1:14" x14ac:dyDescent="0.35">
      <c r="A1483" s="2">
        <v>45833</v>
      </c>
      <c r="B1483" t="s">
        <v>646</v>
      </c>
      <c r="C1483" t="s">
        <v>41</v>
      </c>
      <c r="D1483" t="s">
        <v>22</v>
      </c>
      <c r="E1483" t="s">
        <v>23</v>
      </c>
      <c r="F1483">
        <v>1</v>
      </c>
      <c r="G1483">
        <v>315.13</v>
      </c>
      <c r="H1483" t="s">
        <v>24</v>
      </c>
      <c r="I1483" t="s">
        <v>2267</v>
      </c>
      <c r="J1483" t="s">
        <v>37</v>
      </c>
      <c r="K1483" t="s">
        <v>60</v>
      </c>
      <c r="L1483" t="s">
        <v>28</v>
      </c>
      <c r="M1483" t="s">
        <v>67</v>
      </c>
      <c r="N1483">
        <v>315.13</v>
      </c>
    </row>
    <row r="1484" spans="1:14" x14ac:dyDescent="0.35">
      <c r="A1484" s="2">
        <v>45375</v>
      </c>
      <c r="B1484" t="s">
        <v>2268</v>
      </c>
      <c r="C1484" t="s">
        <v>21</v>
      </c>
      <c r="D1484" t="s">
        <v>42</v>
      </c>
      <c r="E1484" t="s">
        <v>63</v>
      </c>
      <c r="F1484">
        <v>10</v>
      </c>
      <c r="G1484">
        <v>100.85</v>
      </c>
      <c r="H1484" t="s">
        <v>44</v>
      </c>
      <c r="I1484" t="s">
        <v>2269</v>
      </c>
      <c r="J1484" t="s">
        <v>26</v>
      </c>
      <c r="K1484" t="s">
        <v>78</v>
      </c>
      <c r="L1484" t="s">
        <v>28</v>
      </c>
      <c r="M1484" t="s">
        <v>101</v>
      </c>
      <c r="N1484">
        <v>1008.5</v>
      </c>
    </row>
    <row r="1485" spans="1:14" x14ac:dyDescent="0.35">
      <c r="A1485" s="2">
        <v>45561</v>
      </c>
      <c r="B1485" t="s">
        <v>488</v>
      </c>
      <c r="C1485" t="s">
        <v>41</v>
      </c>
      <c r="D1485" t="s">
        <v>33</v>
      </c>
      <c r="E1485" t="s">
        <v>43</v>
      </c>
      <c r="F1485">
        <v>10</v>
      </c>
      <c r="G1485">
        <v>253.03</v>
      </c>
      <c r="H1485" t="s">
        <v>58</v>
      </c>
      <c r="I1485" t="s">
        <v>2270</v>
      </c>
      <c r="J1485" t="s">
        <v>97</v>
      </c>
      <c r="K1485" t="s">
        <v>78</v>
      </c>
      <c r="L1485" t="s">
        <v>39</v>
      </c>
      <c r="M1485" t="s">
        <v>56</v>
      </c>
      <c r="N1485">
        <v>2530.3000000000002</v>
      </c>
    </row>
    <row r="1486" spans="1:14" x14ac:dyDescent="0.35">
      <c r="A1486" s="2">
        <v>45643</v>
      </c>
      <c r="B1486" t="s">
        <v>73</v>
      </c>
      <c r="C1486" t="s">
        <v>74</v>
      </c>
      <c r="D1486" t="s">
        <v>33</v>
      </c>
      <c r="E1486" t="s">
        <v>53</v>
      </c>
      <c r="F1486">
        <v>7</v>
      </c>
      <c r="G1486">
        <v>305.52999999999997</v>
      </c>
      <c r="H1486" t="s">
        <v>64</v>
      </c>
      <c r="I1486" t="s">
        <v>2271</v>
      </c>
      <c r="J1486" t="s">
        <v>37</v>
      </c>
      <c r="K1486" t="s">
        <v>60</v>
      </c>
      <c r="L1486" t="s">
        <v>39</v>
      </c>
      <c r="M1486" t="s">
        <v>49</v>
      </c>
      <c r="N1486">
        <v>2138.71</v>
      </c>
    </row>
    <row r="1487" spans="1:14" x14ac:dyDescent="0.35">
      <c r="A1487" s="2">
        <v>45441</v>
      </c>
      <c r="B1487" t="s">
        <v>195</v>
      </c>
      <c r="C1487" t="s">
        <v>74</v>
      </c>
      <c r="D1487" t="s">
        <v>22</v>
      </c>
      <c r="E1487" t="s">
        <v>63</v>
      </c>
      <c r="F1487">
        <v>8</v>
      </c>
      <c r="G1487">
        <v>226.38</v>
      </c>
      <c r="H1487" t="s">
        <v>35</v>
      </c>
      <c r="I1487" t="s">
        <v>2272</v>
      </c>
      <c r="J1487" t="s">
        <v>26</v>
      </c>
      <c r="K1487" t="s">
        <v>78</v>
      </c>
      <c r="L1487" t="s">
        <v>39</v>
      </c>
      <c r="M1487" t="s">
        <v>67</v>
      </c>
      <c r="N1487">
        <v>1811.04</v>
      </c>
    </row>
    <row r="1488" spans="1:14" x14ac:dyDescent="0.35">
      <c r="A1488" s="2">
        <v>45113</v>
      </c>
      <c r="B1488" t="s">
        <v>1601</v>
      </c>
      <c r="C1488" t="s">
        <v>41</v>
      </c>
      <c r="D1488" t="s">
        <v>42</v>
      </c>
      <c r="E1488" t="s">
        <v>23</v>
      </c>
      <c r="F1488">
        <v>5</v>
      </c>
      <c r="G1488">
        <v>159.03</v>
      </c>
      <c r="H1488" t="s">
        <v>58</v>
      </c>
      <c r="I1488" t="s">
        <v>2273</v>
      </c>
      <c r="J1488" t="s">
        <v>94</v>
      </c>
      <c r="K1488" t="s">
        <v>38</v>
      </c>
      <c r="L1488" t="s">
        <v>39</v>
      </c>
      <c r="M1488" t="s">
        <v>56</v>
      </c>
      <c r="N1488">
        <v>795.15</v>
      </c>
    </row>
    <row r="1489" spans="1:14" x14ac:dyDescent="0.35">
      <c r="A1489" s="2">
        <v>45449</v>
      </c>
      <c r="B1489" t="s">
        <v>607</v>
      </c>
      <c r="C1489" t="s">
        <v>81</v>
      </c>
      <c r="D1489" t="s">
        <v>22</v>
      </c>
      <c r="E1489" t="s">
        <v>63</v>
      </c>
      <c r="F1489">
        <v>3</v>
      </c>
      <c r="G1489">
        <v>43.97</v>
      </c>
      <c r="H1489" t="s">
        <v>24</v>
      </c>
      <c r="I1489" t="s">
        <v>2274</v>
      </c>
      <c r="J1489" t="s">
        <v>55</v>
      </c>
      <c r="K1489" t="s">
        <v>60</v>
      </c>
      <c r="L1489" t="s">
        <v>66</v>
      </c>
      <c r="M1489" t="s">
        <v>56</v>
      </c>
      <c r="N1489">
        <v>131.91</v>
      </c>
    </row>
    <row r="1490" spans="1:14" x14ac:dyDescent="0.35">
      <c r="A1490" s="2">
        <v>45058</v>
      </c>
      <c r="B1490" t="s">
        <v>1421</v>
      </c>
      <c r="C1490" t="s">
        <v>71</v>
      </c>
      <c r="D1490" t="s">
        <v>33</v>
      </c>
      <c r="E1490" t="s">
        <v>92</v>
      </c>
      <c r="F1490">
        <v>9</v>
      </c>
      <c r="G1490">
        <v>209.42</v>
      </c>
      <c r="H1490" t="s">
        <v>35</v>
      </c>
      <c r="I1490" t="s">
        <v>2275</v>
      </c>
      <c r="J1490" t="s">
        <v>26</v>
      </c>
      <c r="K1490" t="s">
        <v>27</v>
      </c>
      <c r="L1490" t="s">
        <v>66</v>
      </c>
      <c r="M1490" t="s">
        <v>61</v>
      </c>
      <c r="N1490">
        <v>1884.78</v>
      </c>
    </row>
    <row r="1491" spans="1:14" x14ac:dyDescent="0.35">
      <c r="A1491" s="2">
        <v>45437</v>
      </c>
      <c r="B1491" t="s">
        <v>1330</v>
      </c>
      <c r="C1491" t="s">
        <v>106</v>
      </c>
      <c r="D1491" t="s">
        <v>33</v>
      </c>
      <c r="E1491" t="s">
        <v>43</v>
      </c>
      <c r="F1491">
        <v>4</v>
      </c>
      <c r="G1491">
        <v>362.34</v>
      </c>
      <c r="H1491" t="s">
        <v>58</v>
      </c>
      <c r="I1491" t="s">
        <v>2276</v>
      </c>
      <c r="J1491" t="s">
        <v>94</v>
      </c>
      <c r="K1491" t="s">
        <v>78</v>
      </c>
      <c r="L1491" t="s">
        <v>28</v>
      </c>
      <c r="M1491" t="s">
        <v>79</v>
      </c>
      <c r="N1491">
        <v>1449.36</v>
      </c>
    </row>
    <row r="1492" spans="1:14" x14ac:dyDescent="0.35">
      <c r="A1492" s="2">
        <v>45516</v>
      </c>
      <c r="B1492" t="s">
        <v>396</v>
      </c>
      <c r="C1492" t="s">
        <v>47</v>
      </c>
      <c r="D1492" t="s">
        <v>33</v>
      </c>
      <c r="E1492" t="s">
        <v>63</v>
      </c>
      <c r="F1492">
        <v>5</v>
      </c>
      <c r="G1492">
        <v>285.76</v>
      </c>
      <c r="H1492" t="s">
        <v>44</v>
      </c>
      <c r="I1492" t="s">
        <v>2277</v>
      </c>
      <c r="J1492" t="s">
        <v>26</v>
      </c>
      <c r="K1492" t="s">
        <v>38</v>
      </c>
      <c r="L1492" t="s">
        <v>66</v>
      </c>
      <c r="M1492" t="s">
        <v>29</v>
      </c>
      <c r="N1492">
        <v>1428.8</v>
      </c>
    </row>
    <row r="1493" spans="1:14" x14ac:dyDescent="0.35">
      <c r="A1493" s="2">
        <v>45818</v>
      </c>
      <c r="B1493" t="s">
        <v>450</v>
      </c>
      <c r="C1493" t="s">
        <v>86</v>
      </c>
      <c r="D1493" t="s">
        <v>42</v>
      </c>
      <c r="E1493" t="s">
        <v>34</v>
      </c>
      <c r="F1493">
        <v>6</v>
      </c>
      <c r="G1493">
        <v>72.540000000000006</v>
      </c>
      <c r="H1493" t="s">
        <v>24</v>
      </c>
      <c r="I1493" t="s">
        <v>2278</v>
      </c>
      <c r="J1493" t="s">
        <v>55</v>
      </c>
      <c r="K1493" t="s">
        <v>60</v>
      </c>
      <c r="L1493" t="s">
        <v>39</v>
      </c>
      <c r="M1493" t="s">
        <v>49</v>
      </c>
      <c r="N1493">
        <v>435.24</v>
      </c>
    </row>
    <row r="1494" spans="1:14" x14ac:dyDescent="0.35">
      <c r="A1494" s="2">
        <v>45487</v>
      </c>
      <c r="B1494" t="s">
        <v>372</v>
      </c>
      <c r="C1494" t="s">
        <v>74</v>
      </c>
      <c r="D1494" t="s">
        <v>22</v>
      </c>
      <c r="E1494" t="s">
        <v>83</v>
      </c>
      <c r="F1494">
        <v>10</v>
      </c>
      <c r="G1494">
        <v>223.31</v>
      </c>
      <c r="H1494" t="s">
        <v>64</v>
      </c>
      <c r="I1494" t="s">
        <v>2279</v>
      </c>
      <c r="J1494" t="s">
        <v>37</v>
      </c>
      <c r="K1494" t="s">
        <v>38</v>
      </c>
      <c r="L1494" t="s">
        <v>28</v>
      </c>
      <c r="M1494" t="s">
        <v>101</v>
      </c>
      <c r="N1494">
        <v>2233.1</v>
      </c>
    </row>
    <row r="1495" spans="1:14" x14ac:dyDescent="0.35">
      <c r="A1495" s="2">
        <v>44939</v>
      </c>
      <c r="B1495" t="s">
        <v>123</v>
      </c>
      <c r="C1495" t="s">
        <v>74</v>
      </c>
      <c r="D1495" t="s">
        <v>22</v>
      </c>
      <c r="E1495" t="s">
        <v>63</v>
      </c>
      <c r="F1495">
        <v>9</v>
      </c>
      <c r="G1495">
        <v>8.1300000000000008</v>
      </c>
      <c r="H1495" t="s">
        <v>58</v>
      </c>
      <c r="I1495" t="s">
        <v>2280</v>
      </c>
      <c r="J1495" t="s">
        <v>55</v>
      </c>
      <c r="K1495" t="s">
        <v>27</v>
      </c>
      <c r="L1495" t="s">
        <v>66</v>
      </c>
      <c r="M1495" t="s">
        <v>61</v>
      </c>
      <c r="N1495">
        <v>73.17</v>
      </c>
    </row>
    <row r="1496" spans="1:14" x14ac:dyDescent="0.35">
      <c r="A1496" s="2">
        <v>45838</v>
      </c>
      <c r="B1496" t="s">
        <v>2281</v>
      </c>
      <c r="C1496" t="s">
        <v>41</v>
      </c>
      <c r="D1496" t="s">
        <v>22</v>
      </c>
      <c r="E1496" t="s">
        <v>83</v>
      </c>
      <c r="F1496">
        <v>8</v>
      </c>
      <c r="G1496">
        <v>139.06</v>
      </c>
      <c r="H1496" t="s">
        <v>64</v>
      </c>
      <c r="I1496" t="s">
        <v>2282</v>
      </c>
      <c r="J1496" t="s">
        <v>97</v>
      </c>
      <c r="K1496" t="s">
        <v>27</v>
      </c>
      <c r="L1496" t="s">
        <v>66</v>
      </c>
      <c r="M1496" t="s">
        <v>29</v>
      </c>
      <c r="N1496">
        <v>1112.48</v>
      </c>
    </row>
    <row r="1497" spans="1:14" x14ac:dyDescent="0.35">
      <c r="A1497" s="2">
        <v>45795</v>
      </c>
      <c r="B1497" t="s">
        <v>1796</v>
      </c>
      <c r="C1497" t="s">
        <v>51</v>
      </c>
      <c r="D1497" t="s">
        <v>52</v>
      </c>
      <c r="E1497" t="s">
        <v>34</v>
      </c>
      <c r="F1497">
        <v>10</v>
      </c>
      <c r="G1497">
        <v>221.57</v>
      </c>
      <c r="H1497" t="s">
        <v>35</v>
      </c>
      <c r="I1497" t="s">
        <v>2283</v>
      </c>
      <c r="J1497" t="s">
        <v>94</v>
      </c>
      <c r="K1497" t="s">
        <v>60</v>
      </c>
      <c r="L1497" t="s">
        <v>39</v>
      </c>
      <c r="M1497" t="s">
        <v>101</v>
      </c>
      <c r="N1497">
        <v>2215.6999999999998</v>
      </c>
    </row>
    <row r="1498" spans="1:14" x14ac:dyDescent="0.35">
      <c r="A1498" s="2">
        <v>45272</v>
      </c>
      <c r="B1498" t="s">
        <v>558</v>
      </c>
      <c r="C1498" t="s">
        <v>81</v>
      </c>
      <c r="D1498" t="s">
        <v>42</v>
      </c>
      <c r="E1498" t="s">
        <v>53</v>
      </c>
      <c r="F1498">
        <v>1</v>
      </c>
      <c r="G1498">
        <v>106.75</v>
      </c>
      <c r="H1498" t="s">
        <v>58</v>
      </c>
      <c r="I1498" t="s">
        <v>2284</v>
      </c>
      <c r="J1498" t="s">
        <v>26</v>
      </c>
      <c r="K1498" t="s">
        <v>78</v>
      </c>
      <c r="L1498" t="s">
        <v>39</v>
      </c>
      <c r="M1498" t="s">
        <v>49</v>
      </c>
      <c r="N1498">
        <v>106.75</v>
      </c>
    </row>
    <row r="1499" spans="1:14" x14ac:dyDescent="0.35">
      <c r="A1499" s="2">
        <v>45027</v>
      </c>
      <c r="B1499" t="s">
        <v>646</v>
      </c>
      <c r="C1499" t="s">
        <v>47</v>
      </c>
      <c r="D1499" t="s">
        <v>22</v>
      </c>
      <c r="E1499" t="s">
        <v>63</v>
      </c>
      <c r="F1499">
        <v>9</v>
      </c>
      <c r="G1499">
        <v>176.65</v>
      </c>
      <c r="H1499" t="s">
        <v>35</v>
      </c>
      <c r="I1499" t="s">
        <v>2285</v>
      </c>
      <c r="J1499" t="s">
        <v>55</v>
      </c>
      <c r="K1499" t="s">
        <v>27</v>
      </c>
      <c r="L1499" t="s">
        <v>28</v>
      </c>
      <c r="M1499" t="s">
        <v>49</v>
      </c>
      <c r="N1499">
        <v>1589.85</v>
      </c>
    </row>
    <row r="1500" spans="1:14" x14ac:dyDescent="0.35">
      <c r="A1500" s="2">
        <v>45096</v>
      </c>
      <c r="B1500" t="s">
        <v>187</v>
      </c>
      <c r="C1500" t="s">
        <v>71</v>
      </c>
      <c r="D1500" t="s">
        <v>22</v>
      </c>
      <c r="E1500" t="s">
        <v>53</v>
      </c>
      <c r="F1500">
        <v>8</v>
      </c>
      <c r="G1500">
        <v>132.11000000000001</v>
      </c>
      <c r="H1500" t="s">
        <v>58</v>
      </c>
      <c r="I1500" t="s">
        <v>2286</v>
      </c>
      <c r="J1500" t="s">
        <v>97</v>
      </c>
      <c r="K1500" t="s">
        <v>78</v>
      </c>
      <c r="L1500" t="s">
        <v>28</v>
      </c>
      <c r="M1500" t="s">
        <v>29</v>
      </c>
      <c r="N1500">
        <v>1056.8800000000001</v>
      </c>
    </row>
    <row r="1501" spans="1:14" x14ac:dyDescent="0.35">
      <c r="A1501" s="2">
        <v>45406</v>
      </c>
      <c r="B1501" t="s">
        <v>1746</v>
      </c>
      <c r="C1501" t="s">
        <v>106</v>
      </c>
      <c r="D1501" t="s">
        <v>52</v>
      </c>
      <c r="E1501" t="s">
        <v>34</v>
      </c>
      <c r="F1501">
        <v>3</v>
      </c>
      <c r="G1501">
        <v>377.38</v>
      </c>
      <c r="H1501" t="s">
        <v>64</v>
      </c>
      <c r="I1501" t="s">
        <v>2287</v>
      </c>
      <c r="J1501" t="s">
        <v>26</v>
      </c>
      <c r="K1501" t="s">
        <v>27</v>
      </c>
      <c r="L1501" t="s">
        <v>66</v>
      </c>
      <c r="M1501" t="s">
        <v>67</v>
      </c>
      <c r="N1501">
        <v>1132.1400000000001</v>
      </c>
    </row>
    <row r="1502" spans="1:14" x14ac:dyDescent="0.35">
      <c r="A1502" s="2">
        <v>44944</v>
      </c>
      <c r="B1502" t="s">
        <v>2281</v>
      </c>
      <c r="C1502" t="s">
        <v>74</v>
      </c>
      <c r="D1502" t="s">
        <v>33</v>
      </c>
      <c r="E1502" t="s">
        <v>92</v>
      </c>
      <c r="F1502">
        <v>7</v>
      </c>
      <c r="G1502">
        <v>288.66000000000003</v>
      </c>
      <c r="H1502" t="s">
        <v>24</v>
      </c>
      <c r="I1502" t="s">
        <v>2288</v>
      </c>
      <c r="J1502" t="s">
        <v>94</v>
      </c>
      <c r="K1502" t="s">
        <v>60</v>
      </c>
      <c r="L1502" t="s">
        <v>66</v>
      </c>
      <c r="M1502" t="s">
        <v>67</v>
      </c>
      <c r="N1502">
        <v>2020.62</v>
      </c>
    </row>
    <row r="1503" spans="1:14" x14ac:dyDescent="0.35">
      <c r="A1503" s="2">
        <v>45346</v>
      </c>
      <c r="B1503" t="s">
        <v>713</v>
      </c>
      <c r="C1503" t="s">
        <v>47</v>
      </c>
      <c r="D1503" t="s">
        <v>22</v>
      </c>
      <c r="E1503" t="s">
        <v>53</v>
      </c>
      <c r="F1503">
        <v>5</v>
      </c>
      <c r="G1503">
        <v>157.30000000000001</v>
      </c>
      <c r="H1503" t="s">
        <v>58</v>
      </c>
      <c r="I1503" t="s">
        <v>2289</v>
      </c>
      <c r="J1503" t="s">
        <v>94</v>
      </c>
      <c r="K1503" t="s">
        <v>78</v>
      </c>
      <c r="L1503" t="s">
        <v>39</v>
      </c>
      <c r="M1503" t="s">
        <v>79</v>
      </c>
      <c r="N1503">
        <v>786.5</v>
      </c>
    </row>
    <row r="1504" spans="1:14" x14ac:dyDescent="0.35">
      <c r="A1504" s="2">
        <v>45500</v>
      </c>
      <c r="B1504" t="s">
        <v>1611</v>
      </c>
      <c r="C1504" t="s">
        <v>86</v>
      </c>
      <c r="D1504" t="s">
        <v>42</v>
      </c>
      <c r="E1504" t="s">
        <v>53</v>
      </c>
      <c r="F1504">
        <v>1</v>
      </c>
      <c r="G1504">
        <v>40.39</v>
      </c>
      <c r="H1504" t="s">
        <v>24</v>
      </c>
      <c r="I1504" t="s">
        <v>2290</v>
      </c>
      <c r="J1504" t="s">
        <v>26</v>
      </c>
      <c r="K1504" t="s">
        <v>27</v>
      </c>
      <c r="L1504" t="s">
        <v>39</v>
      </c>
      <c r="M1504" t="s">
        <v>79</v>
      </c>
      <c r="N1504">
        <v>40.39</v>
      </c>
    </row>
    <row r="1505" spans="1:14" x14ac:dyDescent="0.35">
      <c r="A1505" s="2">
        <v>45079</v>
      </c>
      <c r="B1505" t="s">
        <v>545</v>
      </c>
      <c r="C1505" t="s">
        <v>71</v>
      </c>
      <c r="D1505" t="s">
        <v>42</v>
      </c>
      <c r="E1505" t="s">
        <v>53</v>
      </c>
      <c r="F1505">
        <v>2</v>
      </c>
      <c r="G1505">
        <v>58.06</v>
      </c>
      <c r="H1505" t="s">
        <v>44</v>
      </c>
      <c r="I1505" t="s">
        <v>2291</v>
      </c>
      <c r="J1505" t="s">
        <v>55</v>
      </c>
      <c r="K1505" t="s">
        <v>27</v>
      </c>
      <c r="L1505" t="s">
        <v>39</v>
      </c>
      <c r="M1505" t="s">
        <v>61</v>
      </c>
      <c r="N1505">
        <v>116.12</v>
      </c>
    </row>
    <row r="1506" spans="1:14" x14ac:dyDescent="0.35">
      <c r="A1506" s="2">
        <v>45444</v>
      </c>
      <c r="B1506" t="s">
        <v>429</v>
      </c>
      <c r="C1506" t="s">
        <v>81</v>
      </c>
      <c r="D1506" t="s">
        <v>33</v>
      </c>
      <c r="E1506" t="s">
        <v>83</v>
      </c>
      <c r="F1506">
        <v>10</v>
      </c>
      <c r="G1506">
        <v>35.81</v>
      </c>
      <c r="H1506" t="s">
        <v>44</v>
      </c>
      <c r="I1506" t="s">
        <v>2292</v>
      </c>
      <c r="J1506" t="s">
        <v>26</v>
      </c>
      <c r="K1506" t="s">
        <v>38</v>
      </c>
      <c r="L1506" t="s">
        <v>39</v>
      </c>
      <c r="M1506" t="s">
        <v>79</v>
      </c>
      <c r="N1506">
        <v>358.1</v>
      </c>
    </row>
    <row r="1507" spans="1:14" x14ac:dyDescent="0.35">
      <c r="A1507" s="2">
        <v>45535</v>
      </c>
      <c r="B1507" t="s">
        <v>160</v>
      </c>
      <c r="C1507" t="s">
        <v>86</v>
      </c>
      <c r="D1507" t="s">
        <v>33</v>
      </c>
      <c r="E1507" t="s">
        <v>34</v>
      </c>
      <c r="F1507">
        <v>7</v>
      </c>
      <c r="G1507">
        <v>253.06</v>
      </c>
      <c r="H1507" t="s">
        <v>64</v>
      </c>
      <c r="I1507" t="s">
        <v>2293</v>
      </c>
      <c r="J1507" t="s">
        <v>55</v>
      </c>
      <c r="K1507" t="s">
        <v>60</v>
      </c>
      <c r="L1507" t="s">
        <v>39</v>
      </c>
      <c r="M1507" t="s">
        <v>79</v>
      </c>
      <c r="N1507">
        <v>1771.42</v>
      </c>
    </row>
    <row r="1508" spans="1:14" x14ac:dyDescent="0.35">
      <c r="A1508" s="2">
        <v>45764</v>
      </c>
      <c r="B1508" t="s">
        <v>1210</v>
      </c>
      <c r="C1508" t="s">
        <v>47</v>
      </c>
      <c r="D1508" t="s">
        <v>42</v>
      </c>
      <c r="E1508" t="s">
        <v>63</v>
      </c>
      <c r="F1508">
        <v>3</v>
      </c>
      <c r="G1508">
        <v>91.79</v>
      </c>
      <c r="H1508" t="s">
        <v>64</v>
      </c>
      <c r="I1508" t="s">
        <v>2294</v>
      </c>
      <c r="J1508" t="s">
        <v>97</v>
      </c>
      <c r="K1508" t="s">
        <v>78</v>
      </c>
      <c r="L1508" t="s">
        <v>66</v>
      </c>
      <c r="M1508" t="s">
        <v>56</v>
      </c>
      <c r="N1508">
        <v>275.37</v>
      </c>
    </row>
    <row r="1509" spans="1:14" x14ac:dyDescent="0.35">
      <c r="A1509" s="2">
        <v>45299</v>
      </c>
      <c r="B1509" t="s">
        <v>2005</v>
      </c>
      <c r="C1509" t="s">
        <v>81</v>
      </c>
      <c r="D1509" t="s">
        <v>22</v>
      </c>
      <c r="E1509" t="s">
        <v>34</v>
      </c>
      <c r="F1509">
        <v>4</v>
      </c>
      <c r="G1509">
        <v>139.01</v>
      </c>
      <c r="H1509" t="s">
        <v>64</v>
      </c>
      <c r="I1509" t="s">
        <v>2295</v>
      </c>
      <c r="J1509" t="s">
        <v>55</v>
      </c>
      <c r="K1509" t="s">
        <v>27</v>
      </c>
      <c r="L1509" t="s">
        <v>28</v>
      </c>
      <c r="M1509" t="s">
        <v>29</v>
      </c>
      <c r="N1509">
        <v>556.04</v>
      </c>
    </row>
    <row r="1510" spans="1:14" x14ac:dyDescent="0.35">
      <c r="A1510" s="2">
        <v>45423</v>
      </c>
      <c r="B1510" t="s">
        <v>277</v>
      </c>
      <c r="C1510" t="s">
        <v>51</v>
      </c>
      <c r="D1510" t="s">
        <v>33</v>
      </c>
      <c r="E1510" t="s">
        <v>34</v>
      </c>
      <c r="F1510">
        <v>2</v>
      </c>
      <c r="G1510">
        <v>54.08</v>
      </c>
      <c r="H1510" t="s">
        <v>44</v>
      </c>
      <c r="I1510" t="s">
        <v>2296</v>
      </c>
      <c r="J1510" t="s">
        <v>55</v>
      </c>
      <c r="K1510" t="s">
        <v>38</v>
      </c>
      <c r="L1510" t="s">
        <v>66</v>
      </c>
      <c r="M1510" t="s">
        <v>79</v>
      </c>
      <c r="N1510">
        <v>108.16</v>
      </c>
    </row>
    <row r="1511" spans="1:14" x14ac:dyDescent="0.35">
      <c r="A1511" s="2">
        <v>45365</v>
      </c>
      <c r="B1511" t="s">
        <v>2297</v>
      </c>
      <c r="C1511" t="s">
        <v>74</v>
      </c>
      <c r="D1511" t="s">
        <v>33</v>
      </c>
      <c r="E1511" t="s">
        <v>43</v>
      </c>
      <c r="F1511">
        <v>8</v>
      </c>
      <c r="G1511">
        <v>245.72</v>
      </c>
      <c r="H1511" t="s">
        <v>24</v>
      </c>
      <c r="I1511" t="s">
        <v>2298</v>
      </c>
      <c r="J1511" t="s">
        <v>55</v>
      </c>
      <c r="K1511" t="s">
        <v>38</v>
      </c>
      <c r="L1511" t="s">
        <v>39</v>
      </c>
      <c r="M1511" t="s">
        <v>56</v>
      </c>
      <c r="N1511">
        <v>1965.76</v>
      </c>
    </row>
    <row r="1512" spans="1:14" x14ac:dyDescent="0.35">
      <c r="A1512" s="2">
        <v>45429</v>
      </c>
      <c r="B1512" t="s">
        <v>1073</v>
      </c>
      <c r="C1512" t="s">
        <v>81</v>
      </c>
      <c r="D1512" t="s">
        <v>52</v>
      </c>
      <c r="E1512" t="s">
        <v>34</v>
      </c>
      <c r="F1512">
        <v>2</v>
      </c>
      <c r="G1512">
        <v>89.38</v>
      </c>
      <c r="H1512" t="s">
        <v>44</v>
      </c>
      <c r="I1512" t="s">
        <v>2299</v>
      </c>
      <c r="J1512" t="s">
        <v>55</v>
      </c>
      <c r="K1512" t="s">
        <v>60</v>
      </c>
      <c r="L1512" t="s">
        <v>28</v>
      </c>
      <c r="M1512" t="s">
        <v>61</v>
      </c>
      <c r="N1512">
        <v>178.76</v>
      </c>
    </row>
    <row r="1513" spans="1:14" x14ac:dyDescent="0.35">
      <c r="A1513" s="2">
        <v>45055</v>
      </c>
      <c r="B1513" t="s">
        <v>729</v>
      </c>
      <c r="C1513" t="s">
        <v>81</v>
      </c>
      <c r="D1513" t="s">
        <v>42</v>
      </c>
      <c r="E1513" t="s">
        <v>23</v>
      </c>
      <c r="F1513">
        <v>3</v>
      </c>
      <c r="G1513">
        <v>290.93</v>
      </c>
      <c r="H1513" t="s">
        <v>64</v>
      </c>
      <c r="I1513" t="s">
        <v>2300</v>
      </c>
      <c r="J1513" t="s">
        <v>26</v>
      </c>
      <c r="K1513" t="s">
        <v>78</v>
      </c>
      <c r="L1513" t="s">
        <v>28</v>
      </c>
      <c r="M1513" t="s">
        <v>49</v>
      </c>
      <c r="N1513">
        <v>872.79</v>
      </c>
    </row>
    <row r="1514" spans="1:14" x14ac:dyDescent="0.35">
      <c r="A1514" s="2">
        <v>45305</v>
      </c>
      <c r="B1514" t="s">
        <v>493</v>
      </c>
      <c r="C1514" t="s">
        <v>106</v>
      </c>
      <c r="D1514" t="s">
        <v>22</v>
      </c>
      <c r="E1514" t="s">
        <v>83</v>
      </c>
      <c r="F1514">
        <v>2</v>
      </c>
      <c r="G1514">
        <v>302.06</v>
      </c>
      <c r="H1514" t="s">
        <v>35</v>
      </c>
      <c r="I1514" t="s">
        <v>2301</v>
      </c>
      <c r="J1514" t="s">
        <v>26</v>
      </c>
      <c r="K1514" t="s">
        <v>60</v>
      </c>
      <c r="L1514" t="s">
        <v>28</v>
      </c>
      <c r="M1514" t="s">
        <v>101</v>
      </c>
      <c r="N1514">
        <v>604.12</v>
      </c>
    </row>
    <row r="1515" spans="1:14" x14ac:dyDescent="0.35">
      <c r="A1515" s="2">
        <v>45306</v>
      </c>
      <c r="B1515" t="s">
        <v>1213</v>
      </c>
      <c r="C1515" t="s">
        <v>51</v>
      </c>
      <c r="D1515" t="s">
        <v>52</v>
      </c>
      <c r="E1515" t="s">
        <v>23</v>
      </c>
      <c r="F1515">
        <v>5</v>
      </c>
      <c r="G1515">
        <v>154.44999999999999</v>
      </c>
      <c r="H1515" t="s">
        <v>35</v>
      </c>
      <c r="I1515" t="s">
        <v>2302</v>
      </c>
      <c r="J1515" t="s">
        <v>97</v>
      </c>
      <c r="K1515" t="s">
        <v>60</v>
      </c>
      <c r="L1515" t="s">
        <v>39</v>
      </c>
      <c r="M1515" t="s">
        <v>29</v>
      </c>
      <c r="N1515">
        <v>772.25</v>
      </c>
    </row>
    <row r="1516" spans="1:14" x14ac:dyDescent="0.35">
      <c r="A1516" s="2">
        <v>45373</v>
      </c>
      <c r="B1516" t="s">
        <v>198</v>
      </c>
      <c r="C1516" t="s">
        <v>41</v>
      </c>
      <c r="D1516" t="s">
        <v>33</v>
      </c>
      <c r="E1516" t="s">
        <v>23</v>
      </c>
      <c r="F1516">
        <v>10</v>
      </c>
      <c r="G1516">
        <v>284.8</v>
      </c>
      <c r="H1516" t="s">
        <v>64</v>
      </c>
      <c r="I1516" t="s">
        <v>2303</v>
      </c>
      <c r="J1516" t="s">
        <v>55</v>
      </c>
      <c r="K1516" t="s">
        <v>78</v>
      </c>
      <c r="L1516" t="s">
        <v>66</v>
      </c>
      <c r="M1516" t="s">
        <v>61</v>
      </c>
      <c r="N1516">
        <v>2848</v>
      </c>
    </row>
    <row r="1517" spans="1:14" x14ac:dyDescent="0.35">
      <c r="A1517" s="2">
        <v>45285</v>
      </c>
      <c r="B1517" t="s">
        <v>629</v>
      </c>
      <c r="C1517" t="s">
        <v>71</v>
      </c>
      <c r="D1517" t="s">
        <v>33</v>
      </c>
      <c r="E1517" t="s">
        <v>34</v>
      </c>
      <c r="F1517">
        <v>2</v>
      </c>
      <c r="G1517">
        <v>383.87</v>
      </c>
      <c r="H1517" t="s">
        <v>64</v>
      </c>
      <c r="I1517" t="s">
        <v>2304</v>
      </c>
      <c r="J1517" t="s">
        <v>94</v>
      </c>
      <c r="K1517" t="s">
        <v>78</v>
      </c>
      <c r="L1517" t="s">
        <v>28</v>
      </c>
      <c r="M1517" t="s">
        <v>29</v>
      </c>
      <c r="N1517">
        <v>767.74</v>
      </c>
    </row>
    <row r="1518" spans="1:14" x14ac:dyDescent="0.35">
      <c r="A1518" s="2">
        <v>45804</v>
      </c>
      <c r="B1518" t="s">
        <v>450</v>
      </c>
      <c r="C1518" t="s">
        <v>106</v>
      </c>
      <c r="D1518" t="s">
        <v>52</v>
      </c>
      <c r="E1518" t="s">
        <v>53</v>
      </c>
      <c r="F1518">
        <v>9</v>
      </c>
      <c r="G1518">
        <v>45.51</v>
      </c>
      <c r="H1518" t="s">
        <v>44</v>
      </c>
      <c r="I1518" t="s">
        <v>2305</v>
      </c>
      <c r="J1518" t="s">
        <v>55</v>
      </c>
      <c r="K1518" t="s">
        <v>78</v>
      </c>
      <c r="L1518" t="s">
        <v>39</v>
      </c>
      <c r="M1518" t="s">
        <v>49</v>
      </c>
      <c r="N1518">
        <v>409.59</v>
      </c>
    </row>
    <row r="1519" spans="1:14" x14ac:dyDescent="0.35">
      <c r="A1519" s="2">
        <v>45472</v>
      </c>
      <c r="B1519" t="s">
        <v>509</v>
      </c>
      <c r="C1519" t="s">
        <v>51</v>
      </c>
      <c r="D1519" t="s">
        <v>22</v>
      </c>
      <c r="E1519" t="s">
        <v>23</v>
      </c>
      <c r="F1519">
        <v>5</v>
      </c>
      <c r="G1519">
        <v>246.01</v>
      </c>
      <c r="H1519" t="s">
        <v>24</v>
      </c>
      <c r="I1519" t="s">
        <v>2306</v>
      </c>
      <c r="J1519" t="s">
        <v>26</v>
      </c>
      <c r="K1519" t="s">
        <v>27</v>
      </c>
      <c r="L1519" t="s">
        <v>66</v>
      </c>
      <c r="M1519" t="s">
        <v>79</v>
      </c>
      <c r="N1519">
        <v>1230.05</v>
      </c>
    </row>
    <row r="1520" spans="1:14" x14ac:dyDescent="0.35">
      <c r="A1520" s="2">
        <v>45342</v>
      </c>
      <c r="B1520" t="s">
        <v>1246</v>
      </c>
      <c r="C1520" t="s">
        <v>106</v>
      </c>
      <c r="D1520" t="s">
        <v>33</v>
      </c>
      <c r="E1520" t="s">
        <v>83</v>
      </c>
      <c r="F1520">
        <v>2</v>
      </c>
      <c r="G1520">
        <v>255.54</v>
      </c>
      <c r="H1520" t="s">
        <v>58</v>
      </c>
      <c r="I1520" t="s">
        <v>2307</v>
      </c>
      <c r="J1520" t="s">
        <v>37</v>
      </c>
      <c r="K1520" t="s">
        <v>60</v>
      </c>
      <c r="L1520" t="s">
        <v>66</v>
      </c>
      <c r="M1520" t="s">
        <v>49</v>
      </c>
      <c r="N1520">
        <v>511.08</v>
      </c>
    </row>
    <row r="1521" spans="1:14" x14ac:dyDescent="0.35">
      <c r="A1521" s="2">
        <v>45350</v>
      </c>
      <c r="B1521" t="s">
        <v>581</v>
      </c>
      <c r="C1521" t="s">
        <v>81</v>
      </c>
      <c r="D1521" t="s">
        <v>52</v>
      </c>
      <c r="E1521" t="s">
        <v>63</v>
      </c>
      <c r="F1521">
        <v>3</v>
      </c>
      <c r="G1521">
        <v>109.42</v>
      </c>
      <c r="H1521" t="s">
        <v>58</v>
      </c>
      <c r="I1521" t="s">
        <v>2308</v>
      </c>
      <c r="J1521" t="s">
        <v>55</v>
      </c>
      <c r="K1521" t="s">
        <v>78</v>
      </c>
      <c r="L1521" t="s">
        <v>66</v>
      </c>
      <c r="M1521" t="s">
        <v>67</v>
      </c>
      <c r="N1521">
        <v>328.26</v>
      </c>
    </row>
    <row r="1522" spans="1:14" x14ac:dyDescent="0.35">
      <c r="A1522" s="2">
        <v>45658</v>
      </c>
      <c r="B1522" t="s">
        <v>715</v>
      </c>
      <c r="C1522" t="s">
        <v>71</v>
      </c>
      <c r="D1522" t="s">
        <v>22</v>
      </c>
      <c r="E1522" t="s">
        <v>83</v>
      </c>
      <c r="F1522">
        <v>4</v>
      </c>
      <c r="G1522">
        <v>342.03</v>
      </c>
      <c r="H1522" t="s">
        <v>44</v>
      </c>
      <c r="I1522" t="s">
        <v>2309</v>
      </c>
      <c r="J1522" t="s">
        <v>97</v>
      </c>
      <c r="K1522" t="s">
        <v>60</v>
      </c>
      <c r="L1522" t="s">
        <v>39</v>
      </c>
      <c r="M1522" t="s">
        <v>67</v>
      </c>
      <c r="N1522">
        <v>1368.12</v>
      </c>
    </row>
    <row r="1523" spans="1:14" x14ac:dyDescent="0.35">
      <c r="A1523" s="2">
        <v>44979</v>
      </c>
      <c r="B1523" t="s">
        <v>220</v>
      </c>
      <c r="C1523" t="s">
        <v>51</v>
      </c>
      <c r="D1523" t="s">
        <v>33</v>
      </c>
      <c r="E1523" t="s">
        <v>23</v>
      </c>
      <c r="F1523">
        <v>4</v>
      </c>
      <c r="G1523">
        <v>255.43</v>
      </c>
      <c r="H1523" t="s">
        <v>44</v>
      </c>
      <c r="I1523" t="s">
        <v>2310</v>
      </c>
      <c r="J1523" t="s">
        <v>97</v>
      </c>
      <c r="K1523" t="s">
        <v>78</v>
      </c>
      <c r="L1523" t="s">
        <v>39</v>
      </c>
      <c r="M1523" t="s">
        <v>67</v>
      </c>
      <c r="N1523">
        <v>1021.72</v>
      </c>
    </row>
    <row r="1524" spans="1:14" x14ac:dyDescent="0.35">
      <c r="A1524" s="2">
        <v>45206</v>
      </c>
      <c r="B1524" t="s">
        <v>125</v>
      </c>
      <c r="C1524" t="s">
        <v>41</v>
      </c>
      <c r="D1524" t="s">
        <v>22</v>
      </c>
      <c r="E1524" t="s">
        <v>23</v>
      </c>
      <c r="F1524">
        <v>10</v>
      </c>
      <c r="G1524">
        <v>228.02</v>
      </c>
      <c r="H1524" t="s">
        <v>58</v>
      </c>
      <c r="I1524" t="s">
        <v>2311</v>
      </c>
      <c r="J1524" t="s">
        <v>55</v>
      </c>
      <c r="K1524" t="s">
        <v>78</v>
      </c>
      <c r="L1524" t="s">
        <v>39</v>
      </c>
      <c r="M1524" t="s">
        <v>79</v>
      </c>
      <c r="N1524">
        <v>2280.1999999999998</v>
      </c>
    </row>
    <row r="1525" spans="1:14" x14ac:dyDescent="0.35">
      <c r="A1525" s="2">
        <v>45473</v>
      </c>
      <c r="B1525" t="s">
        <v>833</v>
      </c>
      <c r="C1525" t="s">
        <v>74</v>
      </c>
      <c r="D1525" t="s">
        <v>42</v>
      </c>
      <c r="E1525" t="s">
        <v>23</v>
      </c>
      <c r="F1525">
        <v>7</v>
      </c>
      <c r="G1525">
        <v>232.92</v>
      </c>
      <c r="H1525" t="s">
        <v>35</v>
      </c>
      <c r="I1525" t="s">
        <v>2312</v>
      </c>
      <c r="J1525" t="s">
        <v>94</v>
      </c>
      <c r="K1525" t="s">
        <v>27</v>
      </c>
      <c r="L1525" t="s">
        <v>66</v>
      </c>
      <c r="M1525" t="s">
        <v>101</v>
      </c>
      <c r="N1525">
        <v>1630.44</v>
      </c>
    </row>
    <row r="1526" spans="1:14" x14ac:dyDescent="0.35">
      <c r="A1526" s="2">
        <v>45807</v>
      </c>
      <c r="B1526" t="s">
        <v>2313</v>
      </c>
      <c r="C1526" t="s">
        <v>41</v>
      </c>
      <c r="D1526" t="s">
        <v>52</v>
      </c>
      <c r="E1526" t="s">
        <v>53</v>
      </c>
      <c r="F1526">
        <v>5</v>
      </c>
      <c r="G1526">
        <v>214.37</v>
      </c>
      <c r="H1526" t="s">
        <v>35</v>
      </c>
      <c r="I1526" t="s">
        <v>2314</v>
      </c>
      <c r="J1526" t="s">
        <v>37</v>
      </c>
      <c r="K1526" t="s">
        <v>78</v>
      </c>
      <c r="L1526" t="s">
        <v>28</v>
      </c>
      <c r="M1526" t="s">
        <v>61</v>
      </c>
      <c r="N1526">
        <v>1071.8499999999999</v>
      </c>
    </row>
    <row r="1527" spans="1:14" x14ac:dyDescent="0.35">
      <c r="A1527" s="2">
        <v>45594</v>
      </c>
      <c r="B1527" t="s">
        <v>1506</v>
      </c>
      <c r="C1527" t="s">
        <v>41</v>
      </c>
      <c r="D1527" t="s">
        <v>22</v>
      </c>
      <c r="E1527" t="s">
        <v>34</v>
      </c>
      <c r="F1527">
        <v>1</v>
      </c>
      <c r="G1527">
        <v>130.44999999999999</v>
      </c>
      <c r="H1527" t="s">
        <v>64</v>
      </c>
      <c r="I1527" t="s">
        <v>2315</v>
      </c>
      <c r="J1527" t="s">
        <v>37</v>
      </c>
      <c r="K1527" t="s">
        <v>60</v>
      </c>
      <c r="L1527" t="s">
        <v>39</v>
      </c>
      <c r="M1527" t="s">
        <v>49</v>
      </c>
      <c r="N1527">
        <v>130.44999999999999</v>
      </c>
    </row>
    <row r="1528" spans="1:14" x14ac:dyDescent="0.35">
      <c r="A1528" s="2">
        <v>45711</v>
      </c>
      <c r="B1528" t="s">
        <v>514</v>
      </c>
      <c r="C1528" t="s">
        <v>81</v>
      </c>
      <c r="D1528" t="s">
        <v>22</v>
      </c>
      <c r="E1528" t="s">
        <v>23</v>
      </c>
      <c r="F1528">
        <v>9</v>
      </c>
      <c r="G1528">
        <v>252.58</v>
      </c>
      <c r="H1528" t="s">
        <v>58</v>
      </c>
      <c r="I1528" t="s">
        <v>2316</v>
      </c>
      <c r="J1528" t="s">
        <v>37</v>
      </c>
      <c r="K1528" t="s">
        <v>27</v>
      </c>
      <c r="L1528" t="s">
        <v>28</v>
      </c>
      <c r="M1528" t="s">
        <v>101</v>
      </c>
      <c r="N1528">
        <v>2273.2199999999998</v>
      </c>
    </row>
    <row r="1529" spans="1:14" x14ac:dyDescent="0.35">
      <c r="A1529" s="2">
        <v>45420</v>
      </c>
      <c r="B1529" t="s">
        <v>1506</v>
      </c>
      <c r="C1529" t="s">
        <v>81</v>
      </c>
      <c r="D1529" t="s">
        <v>42</v>
      </c>
      <c r="E1529" t="s">
        <v>43</v>
      </c>
      <c r="F1529">
        <v>5</v>
      </c>
      <c r="G1529">
        <v>108.84</v>
      </c>
      <c r="H1529" t="s">
        <v>24</v>
      </c>
      <c r="I1529" t="s">
        <v>2317</v>
      </c>
      <c r="J1529" t="s">
        <v>26</v>
      </c>
      <c r="K1529" t="s">
        <v>78</v>
      </c>
      <c r="L1529" t="s">
        <v>39</v>
      </c>
      <c r="M1529" t="s">
        <v>67</v>
      </c>
      <c r="N1529">
        <v>544.20000000000005</v>
      </c>
    </row>
    <row r="1530" spans="1:14" x14ac:dyDescent="0.35">
      <c r="A1530" s="2">
        <v>45378</v>
      </c>
      <c r="B1530" t="s">
        <v>1614</v>
      </c>
      <c r="C1530" t="s">
        <v>86</v>
      </c>
      <c r="D1530" t="s">
        <v>52</v>
      </c>
      <c r="E1530" t="s">
        <v>53</v>
      </c>
      <c r="F1530">
        <v>10</v>
      </c>
      <c r="G1530">
        <v>219.61</v>
      </c>
      <c r="H1530" t="s">
        <v>64</v>
      </c>
      <c r="I1530" t="s">
        <v>2318</v>
      </c>
      <c r="J1530" t="s">
        <v>55</v>
      </c>
      <c r="K1530" t="s">
        <v>27</v>
      </c>
      <c r="L1530" t="s">
        <v>66</v>
      </c>
      <c r="M1530" t="s">
        <v>67</v>
      </c>
      <c r="N1530">
        <v>2196.1</v>
      </c>
    </row>
    <row r="1531" spans="1:14" x14ac:dyDescent="0.35">
      <c r="A1531" s="2">
        <v>45034</v>
      </c>
      <c r="B1531" t="s">
        <v>2047</v>
      </c>
      <c r="C1531" t="s">
        <v>47</v>
      </c>
      <c r="D1531" t="s">
        <v>52</v>
      </c>
      <c r="E1531" t="s">
        <v>63</v>
      </c>
      <c r="F1531">
        <v>9</v>
      </c>
      <c r="G1531">
        <v>211.67</v>
      </c>
      <c r="H1531" t="s">
        <v>58</v>
      </c>
      <c r="I1531" t="s">
        <v>2319</v>
      </c>
      <c r="J1531" t="s">
        <v>94</v>
      </c>
      <c r="K1531" t="s">
        <v>38</v>
      </c>
      <c r="L1531" t="s">
        <v>39</v>
      </c>
      <c r="M1531" t="s">
        <v>49</v>
      </c>
      <c r="N1531">
        <v>1905.03</v>
      </c>
    </row>
    <row r="1532" spans="1:14" x14ac:dyDescent="0.35">
      <c r="A1532" s="2">
        <v>45307</v>
      </c>
      <c r="B1532" t="s">
        <v>2320</v>
      </c>
      <c r="C1532" t="s">
        <v>74</v>
      </c>
      <c r="D1532" t="s">
        <v>42</v>
      </c>
      <c r="E1532" t="s">
        <v>53</v>
      </c>
      <c r="F1532">
        <v>6</v>
      </c>
      <c r="G1532">
        <v>345.65</v>
      </c>
      <c r="H1532" t="s">
        <v>35</v>
      </c>
      <c r="I1532" t="s">
        <v>2321</v>
      </c>
      <c r="J1532" t="s">
        <v>37</v>
      </c>
      <c r="K1532" t="s">
        <v>27</v>
      </c>
      <c r="L1532" t="s">
        <v>39</v>
      </c>
      <c r="M1532" t="s">
        <v>49</v>
      </c>
      <c r="N1532">
        <v>2073.9</v>
      </c>
    </row>
    <row r="1533" spans="1:14" x14ac:dyDescent="0.35">
      <c r="A1533" s="2">
        <v>44960</v>
      </c>
      <c r="B1533" t="s">
        <v>2322</v>
      </c>
      <c r="C1533" t="s">
        <v>51</v>
      </c>
      <c r="D1533" t="s">
        <v>22</v>
      </c>
      <c r="E1533" t="s">
        <v>43</v>
      </c>
      <c r="F1533">
        <v>8</v>
      </c>
      <c r="G1533">
        <v>337.73</v>
      </c>
      <c r="H1533" t="s">
        <v>35</v>
      </c>
      <c r="I1533" t="s">
        <v>2323</v>
      </c>
      <c r="J1533" t="s">
        <v>97</v>
      </c>
      <c r="K1533" t="s">
        <v>78</v>
      </c>
      <c r="L1533" t="s">
        <v>28</v>
      </c>
      <c r="M1533" t="s">
        <v>61</v>
      </c>
      <c r="N1533">
        <v>2701.84</v>
      </c>
    </row>
    <row r="1534" spans="1:14" x14ac:dyDescent="0.35">
      <c r="A1534" s="2">
        <v>44968</v>
      </c>
      <c r="B1534" t="s">
        <v>2324</v>
      </c>
      <c r="C1534" t="s">
        <v>86</v>
      </c>
      <c r="D1534" t="s">
        <v>33</v>
      </c>
      <c r="E1534" t="s">
        <v>43</v>
      </c>
      <c r="F1534">
        <v>8</v>
      </c>
      <c r="G1534">
        <v>154.05000000000001</v>
      </c>
      <c r="H1534" t="s">
        <v>58</v>
      </c>
      <c r="I1534" t="s">
        <v>2325</v>
      </c>
      <c r="J1534" t="s">
        <v>97</v>
      </c>
      <c r="K1534" t="s">
        <v>78</v>
      </c>
      <c r="L1534" t="s">
        <v>39</v>
      </c>
      <c r="M1534" t="s">
        <v>79</v>
      </c>
      <c r="N1534">
        <v>1232.4000000000001</v>
      </c>
    </row>
    <row r="1535" spans="1:14" x14ac:dyDescent="0.35">
      <c r="A1535" s="2">
        <v>45341</v>
      </c>
      <c r="B1535" t="s">
        <v>810</v>
      </c>
      <c r="C1535" t="s">
        <v>89</v>
      </c>
      <c r="D1535" t="s">
        <v>42</v>
      </c>
      <c r="E1535" t="s">
        <v>23</v>
      </c>
      <c r="F1535">
        <v>5</v>
      </c>
      <c r="G1535">
        <v>146.28</v>
      </c>
      <c r="H1535" t="s">
        <v>35</v>
      </c>
      <c r="I1535" t="s">
        <v>2326</v>
      </c>
      <c r="J1535" t="s">
        <v>94</v>
      </c>
      <c r="K1535" t="s">
        <v>60</v>
      </c>
      <c r="L1535" t="s">
        <v>28</v>
      </c>
      <c r="M1535" t="s">
        <v>29</v>
      </c>
      <c r="N1535">
        <v>731.4</v>
      </c>
    </row>
    <row r="1536" spans="1:14" x14ac:dyDescent="0.35">
      <c r="A1536" s="2">
        <v>45706</v>
      </c>
      <c r="B1536" t="s">
        <v>867</v>
      </c>
      <c r="C1536" t="s">
        <v>86</v>
      </c>
      <c r="D1536" t="s">
        <v>42</v>
      </c>
      <c r="E1536" t="s">
        <v>23</v>
      </c>
      <c r="F1536">
        <v>3</v>
      </c>
      <c r="G1536">
        <v>224.49</v>
      </c>
      <c r="H1536" t="s">
        <v>58</v>
      </c>
      <c r="I1536" t="s">
        <v>2327</v>
      </c>
      <c r="J1536" t="s">
        <v>26</v>
      </c>
      <c r="K1536" t="s">
        <v>60</v>
      </c>
      <c r="L1536" t="s">
        <v>28</v>
      </c>
      <c r="M1536" t="s">
        <v>49</v>
      </c>
      <c r="N1536">
        <v>673.47</v>
      </c>
    </row>
    <row r="1537" spans="1:14" x14ac:dyDescent="0.35">
      <c r="A1537" s="2">
        <v>45045</v>
      </c>
      <c r="B1537" t="s">
        <v>974</v>
      </c>
      <c r="C1537" t="s">
        <v>81</v>
      </c>
      <c r="D1537" t="s">
        <v>52</v>
      </c>
      <c r="E1537" t="s">
        <v>53</v>
      </c>
      <c r="F1537">
        <v>8</v>
      </c>
      <c r="G1537">
        <v>331.87</v>
      </c>
      <c r="H1537" t="s">
        <v>24</v>
      </c>
      <c r="I1537" t="s">
        <v>2328</v>
      </c>
      <c r="J1537" t="s">
        <v>94</v>
      </c>
      <c r="K1537" t="s">
        <v>38</v>
      </c>
      <c r="L1537" t="s">
        <v>39</v>
      </c>
      <c r="M1537" t="s">
        <v>79</v>
      </c>
      <c r="N1537">
        <v>2654.96</v>
      </c>
    </row>
    <row r="1538" spans="1:14" x14ac:dyDescent="0.35">
      <c r="A1538" s="2">
        <v>45109</v>
      </c>
      <c r="B1538" t="s">
        <v>1299</v>
      </c>
      <c r="C1538" t="s">
        <v>74</v>
      </c>
      <c r="D1538" t="s">
        <v>33</v>
      </c>
      <c r="E1538" t="s">
        <v>34</v>
      </c>
      <c r="F1538">
        <v>2</v>
      </c>
      <c r="G1538">
        <v>242</v>
      </c>
      <c r="H1538" t="s">
        <v>58</v>
      </c>
      <c r="I1538" t="s">
        <v>2329</v>
      </c>
      <c r="J1538" t="s">
        <v>37</v>
      </c>
      <c r="K1538" t="s">
        <v>78</v>
      </c>
      <c r="L1538" t="s">
        <v>28</v>
      </c>
      <c r="M1538" t="s">
        <v>101</v>
      </c>
      <c r="N1538">
        <v>484</v>
      </c>
    </row>
    <row r="1539" spans="1:14" x14ac:dyDescent="0.35">
      <c r="A1539" s="2">
        <v>45554</v>
      </c>
      <c r="B1539" t="s">
        <v>961</v>
      </c>
      <c r="C1539" t="s">
        <v>81</v>
      </c>
      <c r="D1539" t="s">
        <v>22</v>
      </c>
      <c r="E1539" t="s">
        <v>23</v>
      </c>
      <c r="F1539">
        <v>4</v>
      </c>
      <c r="G1539">
        <v>364.69</v>
      </c>
      <c r="H1539" t="s">
        <v>24</v>
      </c>
      <c r="I1539" t="s">
        <v>2330</v>
      </c>
      <c r="J1539" t="s">
        <v>37</v>
      </c>
      <c r="K1539" t="s">
        <v>78</v>
      </c>
      <c r="L1539" t="s">
        <v>39</v>
      </c>
      <c r="M1539" t="s">
        <v>56</v>
      </c>
      <c r="N1539">
        <v>1458.76</v>
      </c>
    </row>
    <row r="1540" spans="1:14" x14ac:dyDescent="0.35">
      <c r="A1540" s="2">
        <v>44991</v>
      </c>
      <c r="B1540" t="s">
        <v>808</v>
      </c>
      <c r="C1540" t="s">
        <v>81</v>
      </c>
      <c r="D1540" t="s">
        <v>22</v>
      </c>
      <c r="E1540" t="s">
        <v>23</v>
      </c>
      <c r="F1540">
        <v>1</v>
      </c>
      <c r="G1540">
        <v>249.38</v>
      </c>
      <c r="H1540" t="s">
        <v>64</v>
      </c>
      <c r="I1540" t="s">
        <v>2331</v>
      </c>
      <c r="J1540" t="s">
        <v>97</v>
      </c>
      <c r="K1540" t="s">
        <v>38</v>
      </c>
      <c r="L1540" t="s">
        <v>28</v>
      </c>
      <c r="M1540" t="s">
        <v>29</v>
      </c>
      <c r="N1540">
        <v>249.38</v>
      </c>
    </row>
    <row r="1541" spans="1:14" x14ac:dyDescent="0.35">
      <c r="A1541" s="2">
        <v>45116</v>
      </c>
      <c r="B1541" t="s">
        <v>2181</v>
      </c>
      <c r="C1541" t="s">
        <v>41</v>
      </c>
      <c r="D1541" t="s">
        <v>42</v>
      </c>
      <c r="E1541" t="s">
        <v>92</v>
      </c>
      <c r="F1541">
        <v>6</v>
      </c>
      <c r="G1541">
        <v>274.33999999999997</v>
      </c>
      <c r="H1541" t="s">
        <v>64</v>
      </c>
      <c r="I1541" t="s">
        <v>2332</v>
      </c>
      <c r="J1541" t="s">
        <v>94</v>
      </c>
      <c r="K1541" t="s">
        <v>38</v>
      </c>
      <c r="L1541" t="s">
        <v>66</v>
      </c>
      <c r="M1541" t="s">
        <v>101</v>
      </c>
      <c r="N1541">
        <v>1646.04</v>
      </c>
    </row>
    <row r="1542" spans="1:14" x14ac:dyDescent="0.35">
      <c r="A1542" s="2">
        <v>45628</v>
      </c>
      <c r="B1542" t="s">
        <v>1657</v>
      </c>
      <c r="C1542" t="s">
        <v>81</v>
      </c>
      <c r="D1542" t="s">
        <v>22</v>
      </c>
      <c r="E1542" t="s">
        <v>23</v>
      </c>
      <c r="F1542">
        <v>4</v>
      </c>
      <c r="G1542">
        <v>131.52000000000001</v>
      </c>
      <c r="H1542" t="s">
        <v>58</v>
      </c>
      <c r="I1542" t="s">
        <v>2333</v>
      </c>
      <c r="J1542" t="s">
        <v>26</v>
      </c>
      <c r="K1542" t="s">
        <v>60</v>
      </c>
      <c r="L1542" t="s">
        <v>39</v>
      </c>
      <c r="M1542" t="s">
        <v>29</v>
      </c>
      <c r="N1542">
        <v>526.08000000000004</v>
      </c>
    </row>
    <row r="1543" spans="1:14" x14ac:dyDescent="0.35">
      <c r="A1543" s="2">
        <v>45828</v>
      </c>
      <c r="B1543" t="s">
        <v>1713</v>
      </c>
      <c r="C1543" t="s">
        <v>41</v>
      </c>
      <c r="D1543" t="s">
        <v>52</v>
      </c>
      <c r="E1543" t="s">
        <v>63</v>
      </c>
      <c r="F1543">
        <v>2</v>
      </c>
      <c r="G1543">
        <v>138.36000000000001</v>
      </c>
      <c r="H1543" t="s">
        <v>24</v>
      </c>
      <c r="I1543" t="s">
        <v>2334</v>
      </c>
      <c r="J1543" t="s">
        <v>37</v>
      </c>
      <c r="K1543" t="s">
        <v>60</v>
      </c>
      <c r="L1543" t="s">
        <v>28</v>
      </c>
      <c r="M1543" t="s">
        <v>61</v>
      </c>
      <c r="N1543">
        <v>276.72000000000003</v>
      </c>
    </row>
    <row r="1544" spans="1:14" x14ac:dyDescent="0.35">
      <c r="A1544" s="2">
        <v>45340</v>
      </c>
      <c r="B1544" t="s">
        <v>1057</v>
      </c>
      <c r="C1544" t="s">
        <v>81</v>
      </c>
      <c r="D1544" t="s">
        <v>22</v>
      </c>
      <c r="E1544" t="s">
        <v>53</v>
      </c>
      <c r="F1544">
        <v>6</v>
      </c>
      <c r="G1544">
        <v>240.23</v>
      </c>
      <c r="H1544" t="s">
        <v>44</v>
      </c>
      <c r="I1544" t="s">
        <v>2335</v>
      </c>
      <c r="J1544" t="s">
        <v>94</v>
      </c>
      <c r="K1544" t="s">
        <v>60</v>
      </c>
      <c r="L1544" t="s">
        <v>66</v>
      </c>
      <c r="M1544" t="s">
        <v>101</v>
      </c>
      <c r="N1544">
        <v>1441.38</v>
      </c>
    </row>
    <row r="1545" spans="1:14" x14ac:dyDescent="0.35">
      <c r="A1545" s="2">
        <v>45142</v>
      </c>
      <c r="B1545" t="s">
        <v>1154</v>
      </c>
      <c r="C1545" t="s">
        <v>47</v>
      </c>
      <c r="D1545" t="s">
        <v>22</v>
      </c>
      <c r="E1545" t="s">
        <v>92</v>
      </c>
      <c r="F1545">
        <v>5</v>
      </c>
      <c r="G1545">
        <v>257.70999999999998</v>
      </c>
      <c r="H1545" t="s">
        <v>44</v>
      </c>
      <c r="I1545" t="s">
        <v>2336</v>
      </c>
      <c r="J1545" t="s">
        <v>97</v>
      </c>
      <c r="K1545" t="s">
        <v>60</v>
      </c>
      <c r="L1545" t="s">
        <v>39</v>
      </c>
      <c r="M1545" t="s">
        <v>61</v>
      </c>
      <c r="N1545">
        <v>1288.55</v>
      </c>
    </row>
    <row r="1546" spans="1:14" x14ac:dyDescent="0.35">
      <c r="A1546" s="2">
        <v>45464</v>
      </c>
      <c r="B1546" t="s">
        <v>1839</v>
      </c>
      <c r="C1546" t="s">
        <v>41</v>
      </c>
      <c r="D1546" t="s">
        <v>22</v>
      </c>
      <c r="E1546" t="s">
        <v>63</v>
      </c>
      <c r="F1546">
        <v>1</v>
      </c>
      <c r="G1546">
        <v>322.54000000000002</v>
      </c>
      <c r="H1546" t="s">
        <v>64</v>
      </c>
      <c r="I1546" t="s">
        <v>2337</v>
      </c>
      <c r="J1546" t="s">
        <v>26</v>
      </c>
      <c r="K1546" t="s">
        <v>27</v>
      </c>
      <c r="L1546" t="s">
        <v>66</v>
      </c>
      <c r="M1546" t="s">
        <v>61</v>
      </c>
      <c r="N1546">
        <v>322.54000000000002</v>
      </c>
    </row>
    <row r="1547" spans="1:14" x14ac:dyDescent="0.35">
      <c r="A1547" s="2">
        <v>45004</v>
      </c>
      <c r="B1547" t="s">
        <v>139</v>
      </c>
      <c r="C1547" t="s">
        <v>81</v>
      </c>
      <c r="D1547" t="s">
        <v>22</v>
      </c>
      <c r="E1547" t="s">
        <v>53</v>
      </c>
      <c r="F1547">
        <v>3</v>
      </c>
      <c r="G1547">
        <v>229.92</v>
      </c>
      <c r="H1547" t="s">
        <v>44</v>
      </c>
      <c r="I1547" t="s">
        <v>2338</v>
      </c>
      <c r="J1547" t="s">
        <v>55</v>
      </c>
      <c r="K1547" t="s">
        <v>78</v>
      </c>
      <c r="L1547" t="s">
        <v>66</v>
      </c>
      <c r="M1547" t="s">
        <v>101</v>
      </c>
      <c r="N1547">
        <v>689.76</v>
      </c>
    </row>
    <row r="1548" spans="1:14" x14ac:dyDescent="0.35">
      <c r="A1548" s="2">
        <v>45250</v>
      </c>
      <c r="B1548" t="s">
        <v>2339</v>
      </c>
      <c r="C1548" t="s">
        <v>86</v>
      </c>
      <c r="D1548" t="s">
        <v>42</v>
      </c>
      <c r="E1548" t="s">
        <v>43</v>
      </c>
      <c r="F1548">
        <v>6</v>
      </c>
      <c r="G1548">
        <v>395.79</v>
      </c>
      <c r="H1548" t="s">
        <v>58</v>
      </c>
      <c r="I1548" t="s">
        <v>2340</v>
      </c>
      <c r="J1548" t="s">
        <v>26</v>
      </c>
      <c r="K1548" t="s">
        <v>27</v>
      </c>
      <c r="L1548" t="s">
        <v>66</v>
      </c>
      <c r="M1548" t="s">
        <v>29</v>
      </c>
      <c r="N1548">
        <v>2374.7399999999998</v>
      </c>
    </row>
    <row r="1549" spans="1:14" x14ac:dyDescent="0.35">
      <c r="A1549" s="2">
        <v>45292</v>
      </c>
      <c r="B1549" t="s">
        <v>775</v>
      </c>
      <c r="C1549" t="s">
        <v>106</v>
      </c>
      <c r="D1549" t="s">
        <v>52</v>
      </c>
      <c r="E1549" t="s">
        <v>43</v>
      </c>
      <c r="F1549">
        <v>7</v>
      </c>
      <c r="G1549">
        <v>268.29000000000002</v>
      </c>
      <c r="H1549" t="s">
        <v>58</v>
      </c>
      <c r="I1549" t="s">
        <v>2341</v>
      </c>
      <c r="J1549" t="s">
        <v>37</v>
      </c>
      <c r="K1549" t="s">
        <v>60</v>
      </c>
      <c r="L1549" t="s">
        <v>39</v>
      </c>
      <c r="M1549" t="s">
        <v>29</v>
      </c>
      <c r="N1549">
        <v>1878.03</v>
      </c>
    </row>
    <row r="1550" spans="1:14" x14ac:dyDescent="0.35">
      <c r="A1550" s="2">
        <v>45488</v>
      </c>
      <c r="B1550" t="s">
        <v>2342</v>
      </c>
      <c r="C1550" t="s">
        <v>21</v>
      </c>
      <c r="D1550" t="s">
        <v>33</v>
      </c>
      <c r="E1550" t="s">
        <v>43</v>
      </c>
      <c r="F1550">
        <v>7</v>
      </c>
      <c r="G1550">
        <v>346.83</v>
      </c>
      <c r="H1550" t="s">
        <v>44</v>
      </c>
      <c r="I1550" t="s">
        <v>2343</v>
      </c>
      <c r="J1550" t="s">
        <v>97</v>
      </c>
      <c r="K1550" t="s">
        <v>38</v>
      </c>
      <c r="L1550" t="s">
        <v>39</v>
      </c>
      <c r="M1550" t="s">
        <v>29</v>
      </c>
      <c r="N1550">
        <v>2427.81</v>
      </c>
    </row>
    <row r="1551" spans="1:14" x14ac:dyDescent="0.35">
      <c r="A1551" s="2">
        <v>45032</v>
      </c>
      <c r="B1551" t="s">
        <v>412</v>
      </c>
      <c r="C1551" t="s">
        <v>81</v>
      </c>
      <c r="D1551" t="s">
        <v>42</v>
      </c>
      <c r="E1551" t="s">
        <v>53</v>
      </c>
      <c r="F1551">
        <v>2</v>
      </c>
      <c r="G1551">
        <v>325.91000000000003</v>
      </c>
      <c r="H1551" t="s">
        <v>35</v>
      </c>
      <c r="I1551" t="s">
        <v>2344</v>
      </c>
      <c r="J1551" t="s">
        <v>55</v>
      </c>
      <c r="K1551" t="s">
        <v>60</v>
      </c>
      <c r="L1551" t="s">
        <v>39</v>
      </c>
      <c r="M1551" t="s">
        <v>101</v>
      </c>
      <c r="N1551">
        <v>651.82000000000005</v>
      </c>
    </row>
    <row r="1552" spans="1:14" x14ac:dyDescent="0.35">
      <c r="A1552" s="2">
        <v>45667</v>
      </c>
      <c r="B1552" t="s">
        <v>172</v>
      </c>
      <c r="C1552" t="s">
        <v>21</v>
      </c>
      <c r="D1552" t="s">
        <v>22</v>
      </c>
      <c r="E1552" t="s">
        <v>43</v>
      </c>
      <c r="F1552">
        <v>5</v>
      </c>
      <c r="G1552">
        <v>298.31</v>
      </c>
      <c r="H1552" t="s">
        <v>44</v>
      </c>
      <c r="I1552" t="s">
        <v>2345</v>
      </c>
      <c r="J1552" t="s">
        <v>55</v>
      </c>
      <c r="K1552" t="s">
        <v>78</v>
      </c>
      <c r="L1552" t="s">
        <v>28</v>
      </c>
      <c r="M1552" t="s">
        <v>61</v>
      </c>
      <c r="N1552">
        <v>1491.55</v>
      </c>
    </row>
    <row r="1553" spans="1:14" x14ac:dyDescent="0.35">
      <c r="A1553" s="2">
        <v>45149</v>
      </c>
      <c r="B1553" t="s">
        <v>2313</v>
      </c>
      <c r="C1553" t="s">
        <v>81</v>
      </c>
      <c r="D1553" t="s">
        <v>52</v>
      </c>
      <c r="E1553" t="s">
        <v>63</v>
      </c>
      <c r="F1553">
        <v>6</v>
      </c>
      <c r="G1553">
        <v>96.53</v>
      </c>
      <c r="H1553" t="s">
        <v>64</v>
      </c>
      <c r="I1553" t="s">
        <v>2346</v>
      </c>
      <c r="J1553" t="s">
        <v>55</v>
      </c>
      <c r="K1553" t="s">
        <v>60</v>
      </c>
      <c r="L1553" t="s">
        <v>28</v>
      </c>
      <c r="M1553" t="s">
        <v>61</v>
      </c>
      <c r="N1553">
        <v>579.18000000000006</v>
      </c>
    </row>
    <row r="1554" spans="1:14" x14ac:dyDescent="0.35">
      <c r="A1554" s="2">
        <v>45074</v>
      </c>
      <c r="B1554" t="s">
        <v>1554</v>
      </c>
      <c r="C1554" t="s">
        <v>86</v>
      </c>
      <c r="D1554" t="s">
        <v>33</v>
      </c>
      <c r="E1554" t="s">
        <v>34</v>
      </c>
      <c r="F1554">
        <v>9</v>
      </c>
      <c r="G1554">
        <v>122.13</v>
      </c>
      <c r="H1554" t="s">
        <v>35</v>
      </c>
      <c r="I1554" t="s">
        <v>2347</v>
      </c>
      <c r="J1554" t="s">
        <v>37</v>
      </c>
      <c r="K1554" t="s">
        <v>60</v>
      </c>
      <c r="L1554" t="s">
        <v>39</v>
      </c>
      <c r="M1554" t="s">
        <v>101</v>
      </c>
      <c r="N1554">
        <v>1099.17</v>
      </c>
    </row>
    <row r="1555" spans="1:14" x14ac:dyDescent="0.35">
      <c r="A1555" s="2">
        <v>45749</v>
      </c>
      <c r="B1555" t="s">
        <v>2348</v>
      </c>
      <c r="C1555" t="s">
        <v>89</v>
      </c>
      <c r="D1555" t="s">
        <v>22</v>
      </c>
      <c r="E1555" t="s">
        <v>23</v>
      </c>
      <c r="F1555">
        <v>10</v>
      </c>
      <c r="G1555">
        <v>200.72</v>
      </c>
      <c r="H1555" t="s">
        <v>58</v>
      </c>
      <c r="I1555" t="s">
        <v>2349</v>
      </c>
      <c r="J1555" t="s">
        <v>37</v>
      </c>
      <c r="K1555" t="s">
        <v>60</v>
      </c>
      <c r="L1555" t="s">
        <v>66</v>
      </c>
      <c r="M1555" t="s">
        <v>67</v>
      </c>
      <c r="N1555">
        <v>2007.2</v>
      </c>
    </row>
    <row r="1556" spans="1:14" x14ac:dyDescent="0.35">
      <c r="A1556" s="2">
        <v>44939</v>
      </c>
      <c r="B1556" t="s">
        <v>558</v>
      </c>
      <c r="C1556" t="s">
        <v>41</v>
      </c>
      <c r="D1556" t="s">
        <v>33</v>
      </c>
      <c r="E1556" t="s">
        <v>43</v>
      </c>
      <c r="F1556">
        <v>9</v>
      </c>
      <c r="G1556">
        <v>318.41000000000003</v>
      </c>
      <c r="H1556" t="s">
        <v>35</v>
      </c>
      <c r="I1556" t="s">
        <v>2350</v>
      </c>
      <c r="J1556" t="s">
        <v>94</v>
      </c>
      <c r="K1556" t="s">
        <v>60</v>
      </c>
      <c r="L1556" t="s">
        <v>39</v>
      </c>
      <c r="M1556" t="s">
        <v>61</v>
      </c>
      <c r="N1556">
        <v>2865.69</v>
      </c>
    </row>
    <row r="1557" spans="1:14" x14ac:dyDescent="0.35">
      <c r="A1557" s="2">
        <v>45277</v>
      </c>
      <c r="B1557" t="s">
        <v>409</v>
      </c>
      <c r="C1557" t="s">
        <v>106</v>
      </c>
      <c r="D1557" t="s">
        <v>42</v>
      </c>
      <c r="E1557" t="s">
        <v>34</v>
      </c>
      <c r="F1557">
        <v>5</v>
      </c>
      <c r="G1557">
        <v>373.5</v>
      </c>
      <c r="H1557" t="s">
        <v>35</v>
      </c>
      <c r="I1557" t="s">
        <v>2351</v>
      </c>
      <c r="J1557" t="s">
        <v>26</v>
      </c>
      <c r="K1557" t="s">
        <v>38</v>
      </c>
      <c r="L1557" t="s">
        <v>39</v>
      </c>
      <c r="M1557" t="s">
        <v>101</v>
      </c>
      <c r="N1557">
        <v>1867.5</v>
      </c>
    </row>
    <row r="1558" spans="1:14" x14ac:dyDescent="0.35">
      <c r="A1558" s="2">
        <v>45412</v>
      </c>
      <c r="B1558" t="s">
        <v>658</v>
      </c>
      <c r="C1558" t="s">
        <v>89</v>
      </c>
      <c r="D1558" t="s">
        <v>42</v>
      </c>
      <c r="E1558" t="s">
        <v>63</v>
      </c>
      <c r="F1558">
        <v>7</v>
      </c>
      <c r="G1558">
        <v>395.92</v>
      </c>
      <c r="H1558" t="s">
        <v>44</v>
      </c>
      <c r="I1558" t="s">
        <v>2352</v>
      </c>
      <c r="J1558" t="s">
        <v>97</v>
      </c>
      <c r="K1558" t="s">
        <v>38</v>
      </c>
      <c r="L1558" t="s">
        <v>39</v>
      </c>
      <c r="M1558" t="s">
        <v>49</v>
      </c>
      <c r="N1558">
        <v>2771.44</v>
      </c>
    </row>
    <row r="1559" spans="1:14" x14ac:dyDescent="0.35">
      <c r="A1559" s="2">
        <v>45216</v>
      </c>
      <c r="B1559" t="s">
        <v>889</v>
      </c>
      <c r="C1559" t="s">
        <v>89</v>
      </c>
      <c r="D1559" t="s">
        <v>33</v>
      </c>
      <c r="E1559" t="s">
        <v>63</v>
      </c>
      <c r="F1559">
        <v>2</v>
      </c>
      <c r="G1559">
        <v>328.21</v>
      </c>
      <c r="H1559" t="s">
        <v>24</v>
      </c>
      <c r="I1559" t="s">
        <v>2353</v>
      </c>
      <c r="J1559" t="s">
        <v>97</v>
      </c>
      <c r="K1559" t="s">
        <v>38</v>
      </c>
      <c r="L1559" t="s">
        <v>28</v>
      </c>
      <c r="M1559" t="s">
        <v>49</v>
      </c>
      <c r="N1559">
        <v>656.42</v>
      </c>
    </row>
    <row r="1560" spans="1:14" x14ac:dyDescent="0.35">
      <c r="A1560" s="2">
        <v>45076</v>
      </c>
      <c r="B1560" t="s">
        <v>614</v>
      </c>
      <c r="C1560" t="s">
        <v>81</v>
      </c>
      <c r="D1560" t="s">
        <v>52</v>
      </c>
      <c r="E1560" t="s">
        <v>92</v>
      </c>
      <c r="F1560">
        <v>3</v>
      </c>
      <c r="G1560">
        <v>258.19</v>
      </c>
      <c r="H1560" t="s">
        <v>24</v>
      </c>
      <c r="I1560" t="s">
        <v>2354</v>
      </c>
      <c r="J1560" t="s">
        <v>37</v>
      </c>
      <c r="K1560" t="s">
        <v>78</v>
      </c>
      <c r="L1560" t="s">
        <v>28</v>
      </c>
      <c r="M1560" t="s">
        <v>49</v>
      </c>
      <c r="N1560">
        <v>774.56999999999994</v>
      </c>
    </row>
    <row r="1561" spans="1:14" x14ac:dyDescent="0.35">
      <c r="A1561" s="2">
        <v>44981</v>
      </c>
      <c r="B1561" t="s">
        <v>220</v>
      </c>
      <c r="C1561" t="s">
        <v>21</v>
      </c>
      <c r="D1561" t="s">
        <v>42</v>
      </c>
      <c r="E1561" t="s">
        <v>63</v>
      </c>
      <c r="F1561">
        <v>4</v>
      </c>
      <c r="G1561">
        <v>207.62</v>
      </c>
      <c r="H1561" t="s">
        <v>58</v>
      </c>
      <c r="I1561" t="s">
        <v>2355</v>
      </c>
      <c r="J1561" t="s">
        <v>37</v>
      </c>
      <c r="K1561" t="s">
        <v>38</v>
      </c>
      <c r="L1561" t="s">
        <v>39</v>
      </c>
      <c r="M1561" t="s">
        <v>61</v>
      </c>
      <c r="N1561">
        <v>830.48</v>
      </c>
    </row>
    <row r="1562" spans="1:14" x14ac:dyDescent="0.35">
      <c r="A1562" s="2">
        <v>45475</v>
      </c>
      <c r="B1562" t="s">
        <v>847</v>
      </c>
      <c r="C1562" t="s">
        <v>41</v>
      </c>
      <c r="D1562" t="s">
        <v>33</v>
      </c>
      <c r="E1562" t="s">
        <v>23</v>
      </c>
      <c r="F1562">
        <v>1</v>
      </c>
      <c r="G1562">
        <v>287.83999999999997</v>
      </c>
      <c r="H1562" t="s">
        <v>64</v>
      </c>
      <c r="I1562" t="s">
        <v>2356</v>
      </c>
      <c r="J1562" t="s">
        <v>94</v>
      </c>
      <c r="K1562" t="s">
        <v>78</v>
      </c>
      <c r="L1562" t="s">
        <v>66</v>
      </c>
      <c r="M1562" t="s">
        <v>49</v>
      </c>
      <c r="N1562">
        <v>287.83999999999997</v>
      </c>
    </row>
    <row r="1563" spans="1:14" x14ac:dyDescent="0.35">
      <c r="A1563" s="2">
        <v>44950</v>
      </c>
      <c r="B1563" t="s">
        <v>2031</v>
      </c>
      <c r="C1563" t="s">
        <v>106</v>
      </c>
      <c r="D1563" t="s">
        <v>52</v>
      </c>
      <c r="E1563" t="s">
        <v>43</v>
      </c>
      <c r="F1563">
        <v>10</v>
      </c>
      <c r="G1563">
        <v>303.18</v>
      </c>
      <c r="H1563" t="s">
        <v>24</v>
      </c>
      <c r="I1563" t="s">
        <v>2357</v>
      </c>
      <c r="J1563" t="s">
        <v>26</v>
      </c>
      <c r="K1563" t="s">
        <v>38</v>
      </c>
      <c r="L1563" t="s">
        <v>66</v>
      </c>
      <c r="M1563" t="s">
        <v>49</v>
      </c>
      <c r="N1563">
        <v>3031.8</v>
      </c>
    </row>
    <row r="1564" spans="1:14" x14ac:dyDescent="0.35">
      <c r="A1564" s="2">
        <v>45232</v>
      </c>
      <c r="B1564" t="s">
        <v>1057</v>
      </c>
      <c r="C1564" t="s">
        <v>21</v>
      </c>
      <c r="D1564" t="s">
        <v>33</v>
      </c>
      <c r="E1564" t="s">
        <v>83</v>
      </c>
      <c r="F1564">
        <v>8</v>
      </c>
      <c r="G1564">
        <v>170.21</v>
      </c>
      <c r="H1564" t="s">
        <v>44</v>
      </c>
      <c r="I1564" t="s">
        <v>2358</v>
      </c>
      <c r="J1564" t="s">
        <v>97</v>
      </c>
      <c r="K1564" t="s">
        <v>27</v>
      </c>
      <c r="L1564" t="s">
        <v>66</v>
      </c>
      <c r="M1564" t="s">
        <v>56</v>
      </c>
      <c r="N1564">
        <v>1361.68</v>
      </c>
    </row>
    <row r="1565" spans="1:14" x14ac:dyDescent="0.35">
      <c r="A1565" s="2">
        <v>44964</v>
      </c>
      <c r="B1565" t="s">
        <v>1902</v>
      </c>
      <c r="C1565" t="s">
        <v>47</v>
      </c>
      <c r="D1565" t="s">
        <v>33</v>
      </c>
      <c r="E1565" t="s">
        <v>43</v>
      </c>
      <c r="F1565">
        <v>9</v>
      </c>
      <c r="G1565">
        <v>302.06</v>
      </c>
      <c r="H1565" t="s">
        <v>35</v>
      </c>
      <c r="I1565" t="s">
        <v>2359</v>
      </c>
      <c r="J1565" t="s">
        <v>94</v>
      </c>
      <c r="K1565" t="s">
        <v>38</v>
      </c>
      <c r="L1565" t="s">
        <v>66</v>
      </c>
      <c r="M1565" t="s">
        <v>49</v>
      </c>
      <c r="N1565">
        <v>2718.54</v>
      </c>
    </row>
    <row r="1566" spans="1:14" x14ac:dyDescent="0.35">
      <c r="A1566" s="2">
        <v>45588</v>
      </c>
      <c r="B1566" t="s">
        <v>228</v>
      </c>
      <c r="C1566" t="s">
        <v>106</v>
      </c>
      <c r="D1566" t="s">
        <v>22</v>
      </c>
      <c r="E1566" t="s">
        <v>53</v>
      </c>
      <c r="F1566">
        <v>10</v>
      </c>
      <c r="G1566">
        <v>68.48</v>
      </c>
      <c r="H1566" t="s">
        <v>24</v>
      </c>
      <c r="I1566" t="s">
        <v>2360</v>
      </c>
      <c r="J1566" t="s">
        <v>97</v>
      </c>
      <c r="K1566" t="s">
        <v>27</v>
      </c>
      <c r="L1566" t="s">
        <v>39</v>
      </c>
      <c r="M1566" t="s">
        <v>67</v>
      </c>
      <c r="N1566">
        <v>684.80000000000007</v>
      </c>
    </row>
    <row r="1567" spans="1:14" x14ac:dyDescent="0.35">
      <c r="A1567" s="2">
        <v>45026</v>
      </c>
      <c r="B1567" t="s">
        <v>388</v>
      </c>
      <c r="C1567" t="s">
        <v>47</v>
      </c>
      <c r="D1567" t="s">
        <v>22</v>
      </c>
      <c r="E1567" t="s">
        <v>83</v>
      </c>
      <c r="F1567">
        <v>6</v>
      </c>
      <c r="G1567">
        <v>94.92</v>
      </c>
      <c r="H1567" t="s">
        <v>58</v>
      </c>
      <c r="I1567" t="s">
        <v>2361</v>
      </c>
      <c r="J1567" t="s">
        <v>55</v>
      </c>
      <c r="K1567" t="s">
        <v>38</v>
      </c>
      <c r="L1567" t="s">
        <v>28</v>
      </c>
      <c r="M1567" t="s">
        <v>29</v>
      </c>
      <c r="N1567">
        <v>569.52</v>
      </c>
    </row>
    <row r="1568" spans="1:14" x14ac:dyDescent="0.35">
      <c r="A1568" s="2">
        <v>45124</v>
      </c>
      <c r="B1568" t="s">
        <v>1670</v>
      </c>
      <c r="C1568" t="s">
        <v>41</v>
      </c>
      <c r="D1568" t="s">
        <v>33</v>
      </c>
      <c r="E1568" t="s">
        <v>23</v>
      </c>
      <c r="F1568">
        <v>7</v>
      </c>
      <c r="G1568">
        <v>74.849999999999994</v>
      </c>
      <c r="H1568" t="s">
        <v>64</v>
      </c>
      <c r="I1568" t="s">
        <v>2362</v>
      </c>
      <c r="J1568" t="s">
        <v>55</v>
      </c>
      <c r="K1568" t="s">
        <v>78</v>
      </c>
      <c r="L1568" t="s">
        <v>66</v>
      </c>
      <c r="M1568" t="s">
        <v>29</v>
      </c>
      <c r="N1568">
        <v>523.94999999999993</v>
      </c>
    </row>
    <row r="1569" spans="1:14" x14ac:dyDescent="0.35">
      <c r="A1569" s="2">
        <v>45453</v>
      </c>
      <c r="B1569" t="s">
        <v>558</v>
      </c>
      <c r="C1569" t="s">
        <v>41</v>
      </c>
      <c r="D1569" t="s">
        <v>33</v>
      </c>
      <c r="E1569" t="s">
        <v>92</v>
      </c>
      <c r="F1569">
        <v>3</v>
      </c>
      <c r="G1569">
        <v>293.43</v>
      </c>
      <c r="H1569" t="s">
        <v>35</v>
      </c>
      <c r="I1569" t="s">
        <v>2363</v>
      </c>
      <c r="J1569" t="s">
        <v>26</v>
      </c>
      <c r="K1569" t="s">
        <v>38</v>
      </c>
      <c r="L1569" t="s">
        <v>39</v>
      </c>
      <c r="M1569" t="s">
        <v>29</v>
      </c>
      <c r="N1569">
        <v>880.29</v>
      </c>
    </row>
    <row r="1570" spans="1:14" x14ac:dyDescent="0.35">
      <c r="A1570" s="2">
        <v>45326</v>
      </c>
      <c r="B1570" t="s">
        <v>1928</v>
      </c>
      <c r="C1570" t="s">
        <v>47</v>
      </c>
      <c r="D1570" t="s">
        <v>42</v>
      </c>
      <c r="E1570" t="s">
        <v>63</v>
      </c>
      <c r="F1570">
        <v>1</v>
      </c>
      <c r="G1570">
        <v>337.9</v>
      </c>
      <c r="H1570" t="s">
        <v>24</v>
      </c>
      <c r="I1570" t="s">
        <v>2364</v>
      </c>
      <c r="J1570" t="s">
        <v>37</v>
      </c>
      <c r="K1570" t="s">
        <v>38</v>
      </c>
      <c r="L1570" t="s">
        <v>39</v>
      </c>
      <c r="M1570" t="s">
        <v>101</v>
      </c>
      <c r="N1570">
        <v>337.9</v>
      </c>
    </row>
    <row r="1571" spans="1:14" x14ac:dyDescent="0.35">
      <c r="A1571" s="2">
        <v>45253</v>
      </c>
      <c r="B1571" t="s">
        <v>770</v>
      </c>
      <c r="C1571" t="s">
        <v>21</v>
      </c>
      <c r="D1571" t="s">
        <v>42</v>
      </c>
      <c r="E1571" t="s">
        <v>34</v>
      </c>
      <c r="F1571">
        <v>1</v>
      </c>
      <c r="G1571">
        <v>231.16</v>
      </c>
      <c r="H1571" t="s">
        <v>44</v>
      </c>
      <c r="I1571" t="s">
        <v>2365</v>
      </c>
      <c r="J1571" t="s">
        <v>94</v>
      </c>
      <c r="K1571" t="s">
        <v>27</v>
      </c>
      <c r="L1571" t="s">
        <v>39</v>
      </c>
      <c r="M1571" t="s">
        <v>56</v>
      </c>
      <c r="N1571">
        <v>231.16</v>
      </c>
    </row>
    <row r="1572" spans="1:14" x14ac:dyDescent="0.35">
      <c r="A1572" s="2">
        <v>45242</v>
      </c>
      <c r="B1572" t="s">
        <v>472</v>
      </c>
      <c r="C1572" t="s">
        <v>74</v>
      </c>
      <c r="D1572" t="s">
        <v>22</v>
      </c>
      <c r="E1572" t="s">
        <v>34</v>
      </c>
      <c r="F1572">
        <v>2</v>
      </c>
      <c r="G1572">
        <v>17.670000000000002</v>
      </c>
      <c r="H1572" t="s">
        <v>24</v>
      </c>
      <c r="I1572" t="s">
        <v>2366</v>
      </c>
      <c r="J1572" t="s">
        <v>26</v>
      </c>
      <c r="K1572" t="s">
        <v>60</v>
      </c>
      <c r="L1572" t="s">
        <v>28</v>
      </c>
      <c r="M1572" t="s">
        <v>101</v>
      </c>
      <c r="N1572">
        <v>35.340000000000003</v>
      </c>
    </row>
    <row r="1573" spans="1:14" x14ac:dyDescent="0.35">
      <c r="A1573" s="2">
        <v>45775</v>
      </c>
      <c r="B1573" t="s">
        <v>206</v>
      </c>
      <c r="C1573" t="s">
        <v>86</v>
      </c>
      <c r="D1573" t="s">
        <v>33</v>
      </c>
      <c r="E1573" t="s">
        <v>83</v>
      </c>
      <c r="F1573">
        <v>6</v>
      </c>
      <c r="G1573">
        <v>92.43</v>
      </c>
      <c r="H1573" t="s">
        <v>64</v>
      </c>
      <c r="I1573" t="s">
        <v>2367</v>
      </c>
      <c r="J1573" t="s">
        <v>55</v>
      </c>
      <c r="K1573" t="s">
        <v>60</v>
      </c>
      <c r="L1573" t="s">
        <v>28</v>
      </c>
      <c r="M1573" t="s">
        <v>29</v>
      </c>
      <c r="N1573">
        <v>554.58000000000004</v>
      </c>
    </row>
    <row r="1574" spans="1:14" x14ac:dyDescent="0.35">
      <c r="A1574" s="2">
        <v>45452</v>
      </c>
      <c r="B1574" t="s">
        <v>2368</v>
      </c>
      <c r="C1574" t="s">
        <v>71</v>
      </c>
      <c r="D1574" t="s">
        <v>42</v>
      </c>
      <c r="E1574" t="s">
        <v>92</v>
      </c>
      <c r="F1574">
        <v>2</v>
      </c>
      <c r="G1574">
        <v>39.520000000000003</v>
      </c>
      <c r="H1574" t="s">
        <v>35</v>
      </c>
      <c r="I1574" t="s">
        <v>2369</v>
      </c>
      <c r="J1574" t="s">
        <v>26</v>
      </c>
      <c r="K1574" t="s">
        <v>78</v>
      </c>
      <c r="L1574" t="s">
        <v>66</v>
      </c>
      <c r="M1574" t="s">
        <v>101</v>
      </c>
      <c r="N1574">
        <v>79.040000000000006</v>
      </c>
    </row>
    <row r="1575" spans="1:14" x14ac:dyDescent="0.35">
      <c r="A1575" s="2">
        <v>45468</v>
      </c>
      <c r="B1575" t="s">
        <v>743</v>
      </c>
      <c r="C1575" t="s">
        <v>89</v>
      </c>
      <c r="D1575" t="s">
        <v>33</v>
      </c>
      <c r="E1575" t="s">
        <v>43</v>
      </c>
      <c r="F1575">
        <v>8</v>
      </c>
      <c r="G1575">
        <v>323.82</v>
      </c>
      <c r="H1575" t="s">
        <v>58</v>
      </c>
      <c r="I1575" t="s">
        <v>2370</v>
      </c>
      <c r="J1575" t="s">
        <v>55</v>
      </c>
      <c r="K1575" t="s">
        <v>38</v>
      </c>
      <c r="L1575" t="s">
        <v>39</v>
      </c>
      <c r="M1575" t="s">
        <v>49</v>
      </c>
      <c r="N1575">
        <v>2590.56</v>
      </c>
    </row>
    <row r="1576" spans="1:14" x14ac:dyDescent="0.35">
      <c r="A1576" s="2">
        <v>45131</v>
      </c>
      <c r="B1576" t="s">
        <v>1088</v>
      </c>
      <c r="C1576" t="s">
        <v>41</v>
      </c>
      <c r="D1576" t="s">
        <v>22</v>
      </c>
      <c r="E1576" t="s">
        <v>23</v>
      </c>
      <c r="F1576">
        <v>10</v>
      </c>
      <c r="G1576">
        <v>257.51</v>
      </c>
      <c r="H1576" t="s">
        <v>44</v>
      </c>
      <c r="I1576" t="s">
        <v>2371</v>
      </c>
      <c r="J1576" t="s">
        <v>26</v>
      </c>
      <c r="K1576" t="s">
        <v>78</v>
      </c>
      <c r="L1576" t="s">
        <v>66</v>
      </c>
      <c r="M1576" t="s">
        <v>29</v>
      </c>
      <c r="N1576">
        <v>2575.1</v>
      </c>
    </row>
    <row r="1577" spans="1:14" x14ac:dyDescent="0.35">
      <c r="A1577" s="2">
        <v>45674</v>
      </c>
      <c r="B1577" t="s">
        <v>1092</v>
      </c>
      <c r="C1577" t="s">
        <v>81</v>
      </c>
      <c r="D1577" t="s">
        <v>22</v>
      </c>
      <c r="E1577" t="s">
        <v>63</v>
      </c>
      <c r="F1577">
        <v>10</v>
      </c>
      <c r="G1577">
        <v>292.85000000000002</v>
      </c>
      <c r="H1577" t="s">
        <v>44</v>
      </c>
      <c r="I1577" t="s">
        <v>2372</v>
      </c>
      <c r="J1577" t="s">
        <v>37</v>
      </c>
      <c r="K1577" t="s">
        <v>60</v>
      </c>
      <c r="L1577" t="s">
        <v>28</v>
      </c>
      <c r="M1577" t="s">
        <v>61</v>
      </c>
      <c r="N1577">
        <v>2928.5</v>
      </c>
    </row>
    <row r="1578" spans="1:14" x14ac:dyDescent="0.35">
      <c r="A1578" s="2">
        <v>45424</v>
      </c>
      <c r="B1578" t="s">
        <v>2268</v>
      </c>
      <c r="C1578" t="s">
        <v>71</v>
      </c>
      <c r="D1578" t="s">
        <v>52</v>
      </c>
      <c r="E1578" t="s">
        <v>83</v>
      </c>
      <c r="F1578">
        <v>4</v>
      </c>
      <c r="G1578">
        <v>313.24</v>
      </c>
      <c r="H1578" t="s">
        <v>24</v>
      </c>
      <c r="I1578" t="s">
        <v>2373</v>
      </c>
      <c r="J1578" t="s">
        <v>26</v>
      </c>
      <c r="K1578" t="s">
        <v>27</v>
      </c>
      <c r="L1578" t="s">
        <v>28</v>
      </c>
      <c r="M1578" t="s">
        <v>101</v>
      </c>
      <c r="N1578">
        <v>1252.96</v>
      </c>
    </row>
    <row r="1579" spans="1:14" x14ac:dyDescent="0.35">
      <c r="A1579" s="2">
        <v>45046</v>
      </c>
      <c r="B1579" t="s">
        <v>1510</v>
      </c>
      <c r="C1579" t="s">
        <v>71</v>
      </c>
      <c r="D1579" t="s">
        <v>22</v>
      </c>
      <c r="E1579" t="s">
        <v>83</v>
      </c>
      <c r="F1579">
        <v>7</v>
      </c>
      <c r="G1579">
        <v>355.86</v>
      </c>
      <c r="H1579" t="s">
        <v>35</v>
      </c>
      <c r="I1579" t="s">
        <v>2374</v>
      </c>
      <c r="J1579" t="s">
        <v>97</v>
      </c>
      <c r="K1579" t="s">
        <v>78</v>
      </c>
      <c r="L1579" t="s">
        <v>66</v>
      </c>
      <c r="M1579" t="s">
        <v>101</v>
      </c>
      <c r="N1579">
        <v>2491.02</v>
      </c>
    </row>
    <row r="1580" spans="1:14" x14ac:dyDescent="0.35">
      <c r="A1580" s="2">
        <v>45635</v>
      </c>
      <c r="B1580" t="s">
        <v>421</v>
      </c>
      <c r="C1580" t="s">
        <v>74</v>
      </c>
      <c r="D1580" t="s">
        <v>52</v>
      </c>
      <c r="E1580" t="s">
        <v>63</v>
      </c>
      <c r="F1580">
        <v>7</v>
      </c>
      <c r="G1580">
        <v>25.03</v>
      </c>
      <c r="H1580" t="s">
        <v>44</v>
      </c>
      <c r="I1580" t="s">
        <v>2375</v>
      </c>
      <c r="J1580" t="s">
        <v>97</v>
      </c>
      <c r="K1580" t="s">
        <v>38</v>
      </c>
      <c r="L1580" t="s">
        <v>39</v>
      </c>
      <c r="M1580" t="s">
        <v>29</v>
      </c>
      <c r="N1580">
        <v>175.21</v>
      </c>
    </row>
    <row r="1581" spans="1:14" x14ac:dyDescent="0.35">
      <c r="A1581" s="2">
        <v>45835</v>
      </c>
      <c r="B1581" t="s">
        <v>869</v>
      </c>
      <c r="C1581" t="s">
        <v>47</v>
      </c>
      <c r="D1581" t="s">
        <v>33</v>
      </c>
      <c r="E1581" t="s">
        <v>63</v>
      </c>
      <c r="F1581">
        <v>2</v>
      </c>
      <c r="G1581">
        <v>52.08</v>
      </c>
      <c r="H1581" t="s">
        <v>58</v>
      </c>
      <c r="I1581" t="s">
        <v>2376</v>
      </c>
      <c r="J1581" t="s">
        <v>97</v>
      </c>
      <c r="K1581" t="s">
        <v>78</v>
      </c>
      <c r="L1581" t="s">
        <v>66</v>
      </c>
      <c r="M1581" t="s">
        <v>61</v>
      </c>
      <c r="N1581">
        <v>104.16</v>
      </c>
    </row>
    <row r="1582" spans="1:14" x14ac:dyDescent="0.35">
      <c r="A1582" s="2">
        <v>45104</v>
      </c>
      <c r="B1582" t="s">
        <v>759</v>
      </c>
      <c r="C1582" t="s">
        <v>71</v>
      </c>
      <c r="D1582" t="s">
        <v>52</v>
      </c>
      <c r="E1582" t="s">
        <v>43</v>
      </c>
      <c r="F1582">
        <v>4</v>
      </c>
      <c r="G1582">
        <v>249.64</v>
      </c>
      <c r="H1582" t="s">
        <v>44</v>
      </c>
      <c r="I1582" t="s">
        <v>2377</v>
      </c>
      <c r="J1582" t="s">
        <v>55</v>
      </c>
      <c r="K1582" t="s">
        <v>78</v>
      </c>
      <c r="L1582" t="s">
        <v>28</v>
      </c>
      <c r="M1582" t="s">
        <v>49</v>
      </c>
      <c r="N1582">
        <v>998.56</v>
      </c>
    </row>
    <row r="1583" spans="1:14" x14ac:dyDescent="0.35">
      <c r="A1583" s="2">
        <v>45796</v>
      </c>
      <c r="B1583" t="s">
        <v>516</v>
      </c>
      <c r="C1583" t="s">
        <v>47</v>
      </c>
      <c r="D1583" t="s">
        <v>42</v>
      </c>
      <c r="E1583" t="s">
        <v>63</v>
      </c>
      <c r="F1583">
        <v>4</v>
      </c>
      <c r="G1583">
        <v>283.24</v>
      </c>
      <c r="H1583" t="s">
        <v>44</v>
      </c>
      <c r="I1583" t="s">
        <v>2378</v>
      </c>
      <c r="J1583" t="s">
        <v>37</v>
      </c>
      <c r="K1583" t="s">
        <v>78</v>
      </c>
      <c r="L1583" t="s">
        <v>28</v>
      </c>
      <c r="M1583" t="s">
        <v>29</v>
      </c>
      <c r="N1583">
        <v>1132.96</v>
      </c>
    </row>
    <row r="1584" spans="1:14" x14ac:dyDescent="0.35">
      <c r="A1584" s="2">
        <v>45490</v>
      </c>
      <c r="B1584" t="s">
        <v>2379</v>
      </c>
      <c r="C1584" t="s">
        <v>86</v>
      </c>
      <c r="D1584" t="s">
        <v>52</v>
      </c>
      <c r="E1584" t="s">
        <v>43</v>
      </c>
      <c r="F1584">
        <v>8</v>
      </c>
      <c r="G1584">
        <v>122.72</v>
      </c>
      <c r="H1584" t="s">
        <v>58</v>
      </c>
      <c r="I1584" t="s">
        <v>2380</v>
      </c>
      <c r="J1584" t="s">
        <v>37</v>
      </c>
      <c r="K1584" t="s">
        <v>60</v>
      </c>
      <c r="L1584" t="s">
        <v>28</v>
      </c>
      <c r="M1584" t="s">
        <v>67</v>
      </c>
      <c r="N1584">
        <v>981.76</v>
      </c>
    </row>
    <row r="1585" spans="1:14" x14ac:dyDescent="0.35">
      <c r="A1585" s="2">
        <v>45358</v>
      </c>
      <c r="B1585" t="s">
        <v>2381</v>
      </c>
      <c r="C1585" t="s">
        <v>47</v>
      </c>
      <c r="D1585" t="s">
        <v>42</v>
      </c>
      <c r="E1585" t="s">
        <v>43</v>
      </c>
      <c r="F1585">
        <v>1</v>
      </c>
      <c r="G1585">
        <v>318.77999999999997</v>
      </c>
      <c r="H1585" t="s">
        <v>64</v>
      </c>
      <c r="I1585" t="s">
        <v>2382</v>
      </c>
      <c r="J1585" t="s">
        <v>37</v>
      </c>
      <c r="K1585" t="s">
        <v>27</v>
      </c>
      <c r="L1585" t="s">
        <v>28</v>
      </c>
      <c r="M1585" t="s">
        <v>56</v>
      </c>
      <c r="N1585">
        <v>318.77999999999997</v>
      </c>
    </row>
    <row r="1586" spans="1:14" x14ac:dyDescent="0.35">
      <c r="A1586" s="2">
        <v>44966</v>
      </c>
      <c r="B1586" t="s">
        <v>727</v>
      </c>
      <c r="C1586" t="s">
        <v>106</v>
      </c>
      <c r="D1586" t="s">
        <v>22</v>
      </c>
      <c r="E1586" t="s">
        <v>43</v>
      </c>
      <c r="F1586">
        <v>3</v>
      </c>
      <c r="G1586">
        <v>330.4</v>
      </c>
      <c r="H1586" t="s">
        <v>24</v>
      </c>
      <c r="I1586" t="s">
        <v>2383</v>
      </c>
      <c r="J1586" t="s">
        <v>55</v>
      </c>
      <c r="K1586" t="s">
        <v>60</v>
      </c>
      <c r="L1586" t="s">
        <v>28</v>
      </c>
      <c r="M1586" t="s">
        <v>56</v>
      </c>
      <c r="N1586">
        <v>991.19999999999993</v>
      </c>
    </row>
    <row r="1587" spans="1:14" x14ac:dyDescent="0.35">
      <c r="A1587" s="2">
        <v>45158</v>
      </c>
      <c r="B1587" t="s">
        <v>1769</v>
      </c>
      <c r="C1587" t="s">
        <v>71</v>
      </c>
      <c r="D1587" t="s">
        <v>33</v>
      </c>
      <c r="E1587" t="s">
        <v>63</v>
      </c>
      <c r="F1587">
        <v>8</v>
      </c>
      <c r="G1587">
        <v>11.98</v>
      </c>
      <c r="H1587" t="s">
        <v>35</v>
      </c>
      <c r="I1587" t="s">
        <v>2384</v>
      </c>
      <c r="J1587" t="s">
        <v>37</v>
      </c>
      <c r="K1587" t="s">
        <v>27</v>
      </c>
      <c r="L1587" t="s">
        <v>39</v>
      </c>
      <c r="M1587" t="s">
        <v>101</v>
      </c>
      <c r="N1587">
        <v>95.84</v>
      </c>
    </row>
    <row r="1588" spans="1:14" x14ac:dyDescent="0.35">
      <c r="A1588" s="2">
        <v>44970</v>
      </c>
      <c r="B1588" t="s">
        <v>1499</v>
      </c>
      <c r="C1588" t="s">
        <v>47</v>
      </c>
      <c r="D1588" t="s">
        <v>52</v>
      </c>
      <c r="E1588" t="s">
        <v>92</v>
      </c>
      <c r="F1588">
        <v>1</v>
      </c>
      <c r="G1588">
        <v>71.12</v>
      </c>
      <c r="H1588" t="s">
        <v>44</v>
      </c>
      <c r="I1588" t="s">
        <v>2385</v>
      </c>
      <c r="J1588" t="s">
        <v>55</v>
      </c>
      <c r="K1588" t="s">
        <v>27</v>
      </c>
      <c r="L1588" t="s">
        <v>66</v>
      </c>
      <c r="M1588" t="s">
        <v>29</v>
      </c>
      <c r="N1588">
        <v>71.12</v>
      </c>
    </row>
    <row r="1589" spans="1:14" x14ac:dyDescent="0.35">
      <c r="A1589" s="2">
        <v>45726</v>
      </c>
      <c r="B1589" t="s">
        <v>423</v>
      </c>
      <c r="C1589" t="s">
        <v>21</v>
      </c>
      <c r="D1589" t="s">
        <v>33</v>
      </c>
      <c r="E1589" t="s">
        <v>83</v>
      </c>
      <c r="F1589">
        <v>8</v>
      </c>
      <c r="G1589">
        <v>358.91</v>
      </c>
      <c r="H1589" t="s">
        <v>35</v>
      </c>
      <c r="I1589" t="s">
        <v>2386</v>
      </c>
      <c r="J1589" t="s">
        <v>55</v>
      </c>
      <c r="K1589" t="s">
        <v>78</v>
      </c>
      <c r="L1589" t="s">
        <v>28</v>
      </c>
      <c r="M1589" t="s">
        <v>29</v>
      </c>
      <c r="N1589">
        <v>2871.28</v>
      </c>
    </row>
    <row r="1590" spans="1:14" x14ac:dyDescent="0.35">
      <c r="A1590" s="2">
        <v>45641</v>
      </c>
      <c r="B1590" t="s">
        <v>812</v>
      </c>
      <c r="C1590" t="s">
        <v>74</v>
      </c>
      <c r="D1590" t="s">
        <v>42</v>
      </c>
      <c r="E1590" t="s">
        <v>92</v>
      </c>
      <c r="F1590">
        <v>7</v>
      </c>
      <c r="G1590">
        <v>41.86</v>
      </c>
      <c r="H1590" t="s">
        <v>44</v>
      </c>
      <c r="I1590" t="s">
        <v>2387</v>
      </c>
      <c r="J1590" t="s">
        <v>94</v>
      </c>
      <c r="K1590" t="s">
        <v>38</v>
      </c>
      <c r="L1590" t="s">
        <v>28</v>
      </c>
      <c r="M1590" t="s">
        <v>101</v>
      </c>
      <c r="N1590">
        <v>293.02</v>
      </c>
    </row>
    <row r="1591" spans="1:14" x14ac:dyDescent="0.35">
      <c r="A1591" s="2">
        <v>45217</v>
      </c>
      <c r="B1591" t="s">
        <v>1861</v>
      </c>
      <c r="C1591" t="s">
        <v>86</v>
      </c>
      <c r="D1591" t="s">
        <v>42</v>
      </c>
      <c r="E1591" t="s">
        <v>92</v>
      </c>
      <c r="F1591">
        <v>6</v>
      </c>
      <c r="G1591">
        <v>303.95</v>
      </c>
      <c r="H1591" t="s">
        <v>35</v>
      </c>
      <c r="I1591" t="s">
        <v>2388</v>
      </c>
      <c r="J1591" t="s">
        <v>94</v>
      </c>
      <c r="K1591" t="s">
        <v>78</v>
      </c>
      <c r="L1591" t="s">
        <v>28</v>
      </c>
      <c r="M1591" t="s">
        <v>67</v>
      </c>
      <c r="N1591">
        <v>1823.7</v>
      </c>
    </row>
    <row r="1592" spans="1:14" x14ac:dyDescent="0.35">
      <c r="A1592" s="2">
        <v>45810</v>
      </c>
      <c r="B1592" t="s">
        <v>2094</v>
      </c>
      <c r="C1592" t="s">
        <v>86</v>
      </c>
      <c r="D1592" t="s">
        <v>52</v>
      </c>
      <c r="E1592" t="s">
        <v>83</v>
      </c>
      <c r="F1592">
        <v>10</v>
      </c>
      <c r="G1592">
        <v>380.28</v>
      </c>
      <c r="H1592" t="s">
        <v>35</v>
      </c>
      <c r="I1592" t="s">
        <v>2389</v>
      </c>
      <c r="J1592" t="s">
        <v>26</v>
      </c>
      <c r="K1592" t="s">
        <v>78</v>
      </c>
      <c r="L1592" t="s">
        <v>39</v>
      </c>
      <c r="M1592" t="s">
        <v>29</v>
      </c>
      <c r="N1592">
        <v>3802.8</v>
      </c>
    </row>
    <row r="1593" spans="1:14" x14ac:dyDescent="0.35">
      <c r="A1593" s="2">
        <v>45415</v>
      </c>
      <c r="B1593" t="s">
        <v>1002</v>
      </c>
      <c r="C1593" t="s">
        <v>86</v>
      </c>
      <c r="D1593" t="s">
        <v>52</v>
      </c>
      <c r="E1593" t="s">
        <v>34</v>
      </c>
      <c r="F1593">
        <v>2</v>
      </c>
      <c r="G1593">
        <v>320.66000000000003</v>
      </c>
      <c r="H1593" t="s">
        <v>24</v>
      </c>
      <c r="I1593" t="s">
        <v>2390</v>
      </c>
      <c r="J1593" t="s">
        <v>55</v>
      </c>
      <c r="K1593" t="s">
        <v>27</v>
      </c>
      <c r="L1593" t="s">
        <v>28</v>
      </c>
      <c r="M1593" t="s">
        <v>61</v>
      </c>
      <c r="N1593">
        <v>641.32000000000005</v>
      </c>
    </row>
    <row r="1594" spans="1:14" x14ac:dyDescent="0.35">
      <c r="A1594" s="2">
        <v>45022</v>
      </c>
      <c r="B1594" t="s">
        <v>1914</v>
      </c>
      <c r="C1594" t="s">
        <v>21</v>
      </c>
      <c r="D1594" t="s">
        <v>22</v>
      </c>
      <c r="E1594" t="s">
        <v>43</v>
      </c>
      <c r="F1594">
        <v>8</v>
      </c>
      <c r="G1594">
        <v>129.49</v>
      </c>
      <c r="H1594" t="s">
        <v>64</v>
      </c>
      <c r="I1594" t="s">
        <v>2391</v>
      </c>
      <c r="J1594" t="s">
        <v>94</v>
      </c>
      <c r="K1594" t="s">
        <v>27</v>
      </c>
      <c r="L1594" t="s">
        <v>28</v>
      </c>
      <c r="M1594" t="s">
        <v>56</v>
      </c>
      <c r="N1594">
        <v>1035.92</v>
      </c>
    </row>
    <row r="1595" spans="1:14" x14ac:dyDescent="0.35">
      <c r="A1595" s="2">
        <v>45446</v>
      </c>
      <c r="B1595" t="s">
        <v>897</v>
      </c>
      <c r="C1595" t="s">
        <v>86</v>
      </c>
      <c r="D1595" t="s">
        <v>52</v>
      </c>
      <c r="E1595" t="s">
        <v>53</v>
      </c>
      <c r="F1595">
        <v>3</v>
      </c>
      <c r="G1595">
        <v>319.82</v>
      </c>
      <c r="H1595" t="s">
        <v>44</v>
      </c>
      <c r="I1595" t="s">
        <v>2392</v>
      </c>
      <c r="J1595" t="s">
        <v>94</v>
      </c>
      <c r="K1595" t="s">
        <v>60</v>
      </c>
      <c r="L1595" t="s">
        <v>39</v>
      </c>
      <c r="M1595" t="s">
        <v>29</v>
      </c>
      <c r="N1595">
        <v>959.46</v>
      </c>
    </row>
    <row r="1596" spans="1:14" x14ac:dyDescent="0.35">
      <c r="A1596" s="2">
        <v>45597</v>
      </c>
      <c r="B1596" t="s">
        <v>486</v>
      </c>
      <c r="C1596" t="s">
        <v>89</v>
      </c>
      <c r="D1596" t="s">
        <v>52</v>
      </c>
      <c r="E1596" t="s">
        <v>63</v>
      </c>
      <c r="F1596">
        <v>3</v>
      </c>
      <c r="G1596">
        <v>374.41</v>
      </c>
      <c r="H1596" t="s">
        <v>35</v>
      </c>
      <c r="I1596" t="s">
        <v>2393</v>
      </c>
      <c r="J1596" t="s">
        <v>55</v>
      </c>
      <c r="K1596" t="s">
        <v>27</v>
      </c>
      <c r="L1596" t="s">
        <v>66</v>
      </c>
      <c r="M1596" t="s">
        <v>61</v>
      </c>
      <c r="N1596">
        <v>1123.23</v>
      </c>
    </row>
    <row r="1597" spans="1:14" x14ac:dyDescent="0.35">
      <c r="A1597" s="2">
        <v>45256</v>
      </c>
      <c r="B1597" t="s">
        <v>116</v>
      </c>
      <c r="C1597" t="s">
        <v>74</v>
      </c>
      <c r="D1597" t="s">
        <v>33</v>
      </c>
      <c r="E1597" t="s">
        <v>23</v>
      </c>
      <c r="F1597">
        <v>10</v>
      </c>
      <c r="G1597">
        <v>343.66</v>
      </c>
      <c r="H1597" t="s">
        <v>58</v>
      </c>
      <c r="I1597" t="s">
        <v>2394</v>
      </c>
      <c r="J1597" t="s">
        <v>26</v>
      </c>
      <c r="K1597" t="s">
        <v>60</v>
      </c>
      <c r="L1597" t="s">
        <v>66</v>
      </c>
      <c r="M1597" t="s">
        <v>101</v>
      </c>
      <c r="N1597">
        <v>3436.6</v>
      </c>
    </row>
    <row r="1598" spans="1:14" x14ac:dyDescent="0.35">
      <c r="A1598" s="2">
        <v>45095</v>
      </c>
      <c r="B1598" t="s">
        <v>2395</v>
      </c>
      <c r="C1598" t="s">
        <v>51</v>
      </c>
      <c r="D1598" t="s">
        <v>42</v>
      </c>
      <c r="E1598" t="s">
        <v>43</v>
      </c>
      <c r="F1598">
        <v>1</v>
      </c>
      <c r="G1598">
        <v>53.91</v>
      </c>
      <c r="H1598" t="s">
        <v>64</v>
      </c>
      <c r="I1598" t="s">
        <v>2396</v>
      </c>
      <c r="J1598" t="s">
        <v>26</v>
      </c>
      <c r="K1598" t="s">
        <v>27</v>
      </c>
      <c r="L1598" t="s">
        <v>28</v>
      </c>
      <c r="M1598" t="s">
        <v>101</v>
      </c>
      <c r="N1598">
        <v>53.91</v>
      </c>
    </row>
    <row r="1599" spans="1:14" x14ac:dyDescent="0.35">
      <c r="A1599" s="2">
        <v>45442</v>
      </c>
      <c r="B1599" t="s">
        <v>187</v>
      </c>
      <c r="C1599" t="s">
        <v>74</v>
      </c>
      <c r="D1599" t="s">
        <v>52</v>
      </c>
      <c r="E1599" t="s">
        <v>34</v>
      </c>
      <c r="F1599">
        <v>2</v>
      </c>
      <c r="G1599">
        <v>180.34</v>
      </c>
      <c r="H1599" t="s">
        <v>64</v>
      </c>
      <c r="I1599" t="s">
        <v>2397</v>
      </c>
      <c r="J1599" t="s">
        <v>26</v>
      </c>
      <c r="K1599" t="s">
        <v>38</v>
      </c>
      <c r="L1599" t="s">
        <v>28</v>
      </c>
      <c r="M1599" t="s">
        <v>56</v>
      </c>
      <c r="N1599">
        <v>360.68</v>
      </c>
    </row>
    <row r="1600" spans="1:14" x14ac:dyDescent="0.35">
      <c r="A1600" s="2">
        <v>45286</v>
      </c>
      <c r="B1600" t="s">
        <v>1849</v>
      </c>
      <c r="C1600" t="s">
        <v>106</v>
      </c>
      <c r="D1600" t="s">
        <v>52</v>
      </c>
      <c r="E1600" t="s">
        <v>53</v>
      </c>
      <c r="F1600">
        <v>7</v>
      </c>
      <c r="G1600">
        <v>148.31</v>
      </c>
      <c r="H1600" t="s">
        <v>58</v>
      </c>
      <c r="I1600" t="s">
        <v>2398</v>
      </c>
      <c r="J1600" t="s">
        <v>94</v>
      </c>
      <c r="K1600" t="s">
        <v>38</v>
      </c>
      <c r="L1600" t="s">
        <v>28</v>
      </c>
      <c r="M1600" t="s">
        <v>49</v>
      </c>
      <c r="N1600">
        <v>1038.17</v>
      </c>
    </row>
    <row r="1601" spans="1:14" x14ac:dyDescent="0.35">
      <c r="A1601" s="2">
        <v>44968</v>
      </c>
      <c r="B1601" t="s">
        <v>1619</v>
      </c>
      <c r="C1601" t="s">
        <v>51</v>
      </c>
      <c r="D1601" t="s">
        <v>33</v>
      </c>
      <c r="E1601" t="s">
        <v>63</v>
      </c>
      <c r="F1601">
        <v>8</v>
      </c>
      <c r="G1601">
        <v>326.17</v>
      </c>
      <c r="H1601" t="s">
        <v>58</v>
      </c>
      <c r="I1601" t="s">
        <v>2399</v>
      </c>
      <c r="J1601" t="s">
        <v>94</v>
      </c>
      <c r="K1601" t="s">
        <v>27</v>
      </c>
      <c r="L1601" t="s">
        <v>39</v>
      </c>
      <c r="M1601" t="s">
        <v>79</v>
      </c>
      <c r="N1601">
        <v>2609.36</v>
      </c>
    </row>
    <row r="1602" spans="1:14" x14ac:dyDescent="0.35">
      <c r="A1602" s="2">
        <v>45354</v>
      </c>
      <c r="B1602" t="s">
        <v>2400</v>
      </c>
      <c r="C1602" t="s">
        <v>89</v>
      </c>
      <c r="D1602" t="s">
        <v>42</v>
      </c>
      <c r="E1602" t="s">
        <v>83</v>
      </c>
      <c r="F1602">
        <v>7</v>
      </c>
      <c r="G1602">
        <v>215.7</v>
      </c>
      <c r="H1602" t="s">
        <v>35</v>
      </c>
      <c r="I1602" t="s">
        <v>2401</v>
      </c>
      <c r="J1602" t="s">
        <v>97</v>
      </c>
      <c r="K1602" t="s">
        <v>27</v>
      </c>
      <c r="L1602" t="s">
        <v>39</v>
      </c>
      <c r="M1602" t="s">
        <v>101</v>
      </c>
      <c r="N1602">
        <v>1509.9</v>
      </c>
    </row>
    <row r="1603" spans="1:14" x14ac:dyDescent="0.35">
      <c r="A1603" s="2">
        <v>45225</v>
      </c>
      <c r="B1603" t="s">
        <v>479</v>
      </c>
      <c r="C1603" t="s">
        <v>21</v>
      </c>
      <c r="D1603" t="s">
        <v>52</v>
      </c>
      <c r="E1603" t="s">
        <v>53</v>
      </c>
      <c r="F1603">
        <v>10</v>
      </c>
      <c r="G1603">
        <v>91.27</v>
      </c>
      <c r="H1603" t="s">
        <v>35</v>
      </c>
      <c r="I1603" t="s">
        <v>2402</v>
      </c>
      <c r="J1603" t="s">
        <v>97</v>
      </c>
      <c r="K1603" t="s">
        <v>60</v>
      </c>
      <c r="L1603" t="s">
        <v>28</v>
      </c>
      <c r="M1603" t="s">
        <v>56</v>
      </c>
      <c r="N1603">
        <v>912.69999999999993</v>
      </c>
    </row>
    <row r="1604" spans="1:14" x14ac:dyDescent="0.35">
      <c r="A1604" s="2">
        <v>45673</v>
      </c>
      <c r="B1604" t="s">
        <v>119</v>
      </c>
      <c r="C1604" t="s">
        <v>86</v>
      </c>
      <c r="D1604" t="s">
        <v>52</v>
      </c>
      <c r="E1604" t="s">
        <v>43</v>
      </c>
      <c r="F1604">
        <v>9</v>
      </c>
      <c r="G1604">
        <v>43.26</v>
      </c>
      <c r="H1604" t="s">
        <v>64</v>
      </c>
      <c r="I1604" t="s">
        <v>2403</v>
      </c>
      <c r="J1604" t="s">
        <v>26</v>
      </c>
      <c r="K1604" t="s">
        <v>60</v>
      </c>
      <c r="L1604" t="s">
        <v>66</v>
      </c>
      <c r="M1604" t="s">
        <v>56</v>
      </c>
      <c r="N1604">
        <v>389.34</v>
      </c>
    </row>
    <row r="1605" spans="1:14" x14ac:dyDescent="0.35">
      <c r="A1605" s="2">
        <v>45056</v>
      </c>
      <c r="B1605" t="s">
        <v>2404</v>
      </c>
      <c r="C1605" t="s">
        <v>47</v>
      </c>
      <c r="D1605" t="s">
        <v>42</v>
      </c>
      <c r="E1605" t="s">
        <v>92</v>
      </c>
      <c r="F1605">
        <v>7</v>
      </c>
      <c r="G1605">
        <v>61.08</v>
      </c>
      <c r="H1605" t="s">
        <v>24</v>
      </c>
      <c r="I1605" t="s">
        <v>2405</v>
      </c>
      <c r="J1605" t="s">
        <v>97</v>
      </c>
      <c r="K1605" t="s">
        <v>27</v>
      </c>
      <c r="L1605" t="s">
        <v>39</v>
      </c>
      <c r="M1605" t="s">
        <v>67</v>
      </c>
      <c r="N1605">
        <v>427.56</v>
      </c>
    </row>
    <row r="1606" spans="1:14" x14ac:dyDescent="0.35">
      <c r="A1606" s="2">
        <v>45229</v>
      </c>
      <c r="B1606" t="s">
        <v>1150</v>
      </c>
      <c r="C1606" t="s">
        <v>81</v>
      </c>
      <c r="D1606" t="s">
        <v>22</v>
      </c>
      <c r="E1606" t="s">
        <v>43</v>
      </c>
      <c r="F1606">
        <v>4</v>
      </c>
      <c r="G1606">
        <v>132.07</v>
      </c>
      <c r="H1606" t="s">
        <v>35</v>
      </c>
      <c r="I1606" t="s">
        <v>2406</v>
      </c>
      <c r="J1606" t="s">
        <v>37</v>
      </c>
      <c r="K1606" t="s">
        <v>78</v>
      </c>
      <c r="L1606" t="s">
        <v>39</v>
      </c>
      <c r="M1606" t="s">
        <v>29</v>
      </c>
      <c r="N1606">
        <v>528.28</v>
      </c>
    </row>
    <row r="1607" spans="1:14" x14ac:dyDescent="0.35">
      <c r="A1607" s="2">
        <v>45559</v>
      </c>
      <c r="B1607" t="s">
        <v>915</v>
      </c>
      <c r="C1607" t="s">
        <v>86</v>
      </c>
      <c r="D1607" t="s">
        <v>33</v>
      </c>
      <c r="E1607" t="s">
        <v>92</v>
      </c>
      <c r="F1607">
        <v>1</v>
      </c>
      <c r="G1607">
        <v>159.52000000000001</v>
      </c>
      <c r="H1607" t="s">
        <v>35</v>
      </c>
      <c r="I1607" t="s">
        <v>2407</v>
      </c>
      <c r="J1607" t="s">
        <v>26</v>
      </c>
      <c r="K1607" t="s">
        <v>27</v>
      </c>
      <c r="L1607" t="s">
        <v>39</v>
      </c>
      <c r="M1607" t="s">
        <v>49</v>
      </c>
      <c r="N1607">
        <v>159.52000000000001</v>
      </c>
    </row>
    <row r="1608" spans="1:14" x14ac:dyDescent="0.35">
      <c r="A1608" s="2">
        <v>45653</v>
      </c>
      <c r="B1608" t="s">
        <v>867</v>
      </c>
      <c r="C1608" t="s">
        <v>81</v>
      </c>
      <c r="D1608" t="s">
        <v>52</v>
      </c>
      <c r="E1608" t="s">
        <v>43</v>
      </c>
      <c r="F1608">
        <v>4</v>
      </c>
      <c r="G1608">
        <v>134.66</v>
      </c>
      <c r="H1608" t="s">
        <v>35</v>
      </c>
      <c r="I1608" t="s">
        <v>2408</v>
      </c>
      <c r="J1608" t="s">
        <v>97</v>
      </c>
      <c r="K1608" t="s">
        <v>60</v>
      </c>
      <c r="L1608" t="s">
        <v>28</v>
      </c>
      <c r="M1608" t="s">
        <v>61</v>
      </c>
      <c r="N1608">
        <v>538.64</v>
      </c>
    </row>
    <row r="1609" spans="1:14" x14ac:dyDescent="0.35">
      <c r="A1609" s="2">
        <v>45086</v>
      </c>
      <c r="B1609" t="s">
        <v>2409</v>
      </c>
      <c r="C1609" t="s">
        <v>41</v>
      </c>
      <c r="D1609" t="s">
        <v>22</v>
      </c>
      <c r="E1609" t="s">
        <v>53</v>
      </c>
      <c r="F1609">
        <v>6</v>
      </c>
      <c r="G1609">
        <v>45.37</v>
      </c>
      <c r="H1609" t="s">
        <v>64</v>
      </c>
      <c r="I1609" t="s">
        <v>2410</v>
      </c>
      <c r="J1609" t="s">
        <v>94</v>
      </c>
      <c r="K1609" t="s">
        <v>38</v>
      </c>
      <c r="L1609" t="s">
        <v>28</v>
      </c>
      <c r="M1609" t="s">
        <v>61</v>
      </c>
      <c r="N1609">
        <v>272.22000000000003</v>
      </c>
    </row>
    <row r="1610" spans="1:14" x14ac:dyDescent="0.35">
      <c r="A1610" s="2">
        <v>45110</v>
      </c>
      <c r="B1610" t="s">
        <v>2131</v>
      </c>
      <c r="C1610" t="s">
        <v>106</v>
      </c>
      <c r="D1610" t="s">
        <v>33</v>
      </c>
      <c r="E1610" t="s">
        <v>34</v>
      </c>
      <c r="F1610">
        <v>8</v>
      </c>
      <c r="G1610">
        <v>296.29000000000002</v>
      </c>
      <c r="H1610" t="s">
        <v>58</v>
      </c>
      <c r="I1610" t="s">
        <v>2411</v>
      </c>
      <c r="J1610" t="s">
        <v>94</v>
      </c>
      <c r="K1610" t="s">
        <v>38</v>
      </c>
      <c r="L1610" t="s">
        <v>39</v>
      </c>
      <c r="M1610" t="s">
        <v>29</v>
      </c>
      <c r="N1610">
        <v>2370.3200000000002</v>
      </c>
    </row>
    <row r="1611" spans="1:14" x14ac:dyDescent="0.35">
      <c r="A1611" s="2">
        <v>45299</v>
      </c>
      <c r="B1611" t="s">
        <v>721</v>
      </c>
      <c r="C1611" t="s">
        <v>86</v>
      </c>
      <c r="D1611" t="s">
        <v>33</v>
      </c>
      <c r="E1611" t="s">
        <v>43</v>
      </c>
      <c r="F1611">
        <v>3</v>
      </c>
      <c r="G1611">
        <v>384.37</v>
      </c>
      <c r="H1611" t="s">
        <v>64</v>
      </c>
      <c r="I1611" t="s">
        <v>2412</v>
      </c>
      <c r="J1611" t="s">
        <v>26</v>
      </c>
      <c r="K1611" t="s">
        <v>60</v>
      </c>
      <c r="L1611" t="s">
        <v>39</v>
      </c>
      <c r="M1611" t="s">
        <v>29</v>
      </c>
      <c r="N1611">
        <v>1153.1099999999999</v>
      </c>
    </row>
    <row r="1612" spans="1:14" x14ac:dyDescent="0.35">
      <c r="A1612" s="2">
        <v>45331</v>
      </c>
      <c r="B1612" t="s">
        <v>1560</v>
      </c>
      <c r="C1612" t="s">
        <v>71</v>
      </c>
      <c r="D1612" t="s">
        <v>52</v>
      </c>
      <c r="E1612" t="s">
        <v>34</v>
      </c>
      <c r="F1612">
        <v>6</v>
      </c>
      <c r="G1612">
        <v>160.80000000000001</v>
      </c>
      <c r="H1612" t="s">
        <v>35</v>
      </c>
      <c r="I1612" t="s">
        <v>2413</v>
      </c>
      <c r="J1612" t="s">
        <v>55</v>
      </c>
      <c r="K1612" t="s">
        <v>38</v>
      </c>
      <c r="L1612" t="s">
        <v>66</v>
      </c>
      <c r="M1612" t="s">
        <v>61</v>
      </c>
      <c r="N1612">
        <v>964.80000000000007</v>
      </c>
    </row>
    <row r="1613" spans="1:14" x14ac:dyDescent="0.35">
      <c r="A1613" s="2">
        <v>45178</v>
      </c>
      <c r="B1613" t="s">
        <v>1594</v>
      </c>
      <c r="C1613" t="s">
        <v>89</v>
      </c>
      <c r="D1613" t="s">
        <v>22</v>
      </c>
      <c r="E1613" t="s">
        <v>43</v>
      </c>
      <c r="F1613">
        <v>4</v>
      </c>
      <c r="G1613">
        <v>267.99</v>
      </c>
      <c r="H1613" t="s">
        <v>58</v>
      </c>
      <c r="I1613" t="s">
        <v>2414</v>
      </c>
      <c r="J1613" t="s">
        <v>97</v>
      </c>
      <c r="K1613" t="s">
        <v>27</v>
      </c>
      <c r="L1613" t="s">
        <v>28</v>
      </c>
      <c r="M1613" t="s">
        <v>79</v>
      </c>
      <c r="N1613">
        <v>1071.96</v>
      </c>
    </row>
    <row r="1614" spans="1:14" x14ac:dyDescent="0.35">
      <c r="A1614" s="2">
        <v>45836</v>
      </c>
      <c r="B1614" t="s">
        <v>729</v>
      </c>
      <c r="C1614" t="s">
        <v>86</v>
      </c>
      <c r="D1614" t="s">
        <v>42</v>
      </c>
      <c r="E1614" t="s">
        <v>43</v>
      </c>
      <c r="F1614">
        <v>6</v>
      </c>
      <c r="G1614">
        <v>152.9</v>
      </c>
      <c r="H1614" t="s">
        <v>35</v>
      </c>
      <c r="I1614" t="s">
        <v>2415</v>
      </c>
      <c r="J1614" t="s">
        <v>94</v>
      </c>
      <c r="K1614" t="s">
        <v>78</v>
      </c>
      <c r="L1614" t="s">
        <v>28</v>
      </c>
      <c r="M1614" t="s">
        <v>79</v>
      </c>
      <c r="N1614">
        <v>917.40000000000009</v>
      </c>
    </row>
    <row r="1615" spans="1:14" x14ac:dyDescent="0.35">
      <c r="A1615" s="2">
        <v>45484</v>
      </c>
      <c r="B1615" t="s">
        <v>629</v>
      </c>
      <c r="C1615" t="s">
        <v>21</v>
      </c>
      <c r="D1615" t="s">
        <v>22</v>
      </c>
      <c r="E1615" t="s">
        <v>92</v>
      </c>
      <c r="F1615">
        <v>4</v>
      </c>
      <c r="G1615">
        <v>114.63</v>
      </c>
      <c r="H1615" t="s">
        <v>44</v>
      </c>
      <c r="I1615" t="s">
        <v>2416</v>
      </c>
      <c r="J1615" t="s">
        <v>97</v>
      </c>
      <c r="K1615" t="s">
        <v>27</v>
      </c>
      <c r="L1615" t="s">
        <v>28</v>
      </c>
      <c r="M1615" t="s">
        <v>56</v>
      </c>
      <c r="N1615">
        <v>458.52</v>
      </c>
    </row>
    <row r="1616" spans="1:14" x14ac:dyDescent="0.35">
      <c r="A1616" s="2">
        <v>45623</v>
      </c>
      <c r="B1616" t="s">
        <v>640</v>
      </c>
      <c r="C1616" t="s">
        <v>89</v>
      </c>
      <c r="D1616" t="s">
        <v>22</v>
      </c>
      <c r="E1616" t="s">
        <v>63</v>
      </c>
      <c r="F1616">
        <v>5</v>
      </c>
      <c r="G1616">
        <v>83.16</v>
      </c>
      <c r="H1616" t="s">
        <v>44</v>
      </c>
      <c r="I1616" t="s">
        <v>2417</v>
      </c>
      <c r="J1616" t="s">
        <v>97</v>
      </c>
      <c r="K1616" t="s">
        <v>78</v>
      </c>
      <c r="L1616" t="s">
        <v>28</v>
      </c>
      <c r="M1616" t="s">
        <v>67</v>
      </c>
      <c r="N1616">
        <v>415.8</v>
      </c>
    </row>
    <row r="1617" spans="1:14" x14ac:dyDescent="0.35">
      <c r="A1617" s="2">
        <v>45054</v>
      </c>
      <c r="B1617" t="s">
        <v>2418</v>
      </c>
      <c r="C1617" t="s">
        <v>106</v>
      </c>
      <c r="D1617" t="s">
        <v>33</v>
      </c>
      <c r="E1617" t="s">
        <v>53</v>
      </c>
      <c r="F1617">
        <v>6</v>
      </c>
      <c r="G1617">
        <v>315.77999999999997</v>
      </c>
      <c r="H1617" t="s">
        <v>64</v>
      </c>
      <c r="I1617" t="s">
        <v>2419</v>
      </c>
      <c r="J1617" t="s">
        <v>55</v>
      </c>
      <c r="K1617" t="s">
        <v>38</v>
      </c>
      <c r="L1617" t="s">
        <v>66</v>
      </c>
      <c r="M1617" t="s">
        <v>29</v>
      </c>
      <c r="N1617">
        <v>1894.68</v>
      </c>
    </row>
    <row r="1618" spans="1:14" x14ac:dyDescent="0.35">
      <c r="A1618" s="2">
        <v>45296</v>
      </c>
      <c r="B1618" t="s">
        <v>495</v>
      </c>
      <c r="C1618" t="s">
        <v>71</v>
      </c>
      <c r="D1618" t="s">
        <v>42</v>
      </c>
      <c r="E1618" t="s">
        <v>23</v>
      </c>
      <c r="F1618">
        <v>9</v>
      </c>
      <c r="G1618">
        <v>395.2</v>
      </c>
      <c r="H1618" t="s">
        <v>64</v>
      </c>
      <c r="I1618" t="s">
        <v>2420</v>
      </c>
      <c r="J1618" t="s">
        <v>37</v>
      </c>
      <c r="K1618" t="s">
        <v>27</v>
      </c>
      <c r="L1618" t="s">
        <v>28</v>
      </c>
      <c r="M1618" t="s">
        <v>61</v>
      </c>
      <c r="N1618">
        <v>3556.8</v>
      </c>
    </row>
    <row r="1619" spans="1:14" x14ac:dyDescent="0.35">
      <c r="A1619" s="2">
        <v>45792</v>
      </c>
      <c r="B1619" t="s">
        <v>569</v>
      </c>
      <c r="C1619" t="s">
        <v>41</v>
      </c>
      <c r="D1619" t="s">
        <v>33</v>
      </c>
      <c r="E1619" t="s">
        <v>92</v>
      </c>
      <c r="F1619">
        <v>8</v>
      </c>
      <c r="G1619">
        <v>322.52</v>
      </c>
      <c r="H1619" t="s">
        <v>64</v>
      </c>
      <c r="I1619" t="s">
        <v>2421</v>
      </c>
      <c r="J1619" t="s">
        <v>97</v>
      </c>
      <c r="K1619" t="s">
        <v>60</v>
      </c>
      <c r="L1619" t="s">
        <v>39</v>
      </c>
      <c r="M1619" t="s">
        <v>56</v>
      </c>
      <c r="N1619">
        <v>2580.16</v>
      </c>
    </row>
    <row r="1620" spans="1:14" x14ac:dyDescent="0.35">
      <c r="A1620" s="2">
        <v>45152</v>
      </c>
      <c r="B1620" t="s">
        <v>2422</v>
      </c>
      <c r="C1620" t="s">
        <v>21</v>
      </c>
      <c r="D1620" t="s">
        <v>42</v>
      </c>
      <c r="E1620" t="s">
        <v>63</v>
      </c>
      <c r="F1620">
        <v>10</v>
      </c>
      <c r="G1620">
        <v>174.06</v>
      </c>
      <c r="H1620" t="s">
        <v>35</v>
      </c>
      <c r="I1620" t="s">
        <v>2423</v>
      </c>
      <c r="J1620" t="s">
        <v>94</v>
      </c>
      <c r="K1620" t="s">
        <v>38</v>
      </c>
      <c r="L1620" t="s">
        <v>39</v>
      </c>
      <c r="M1620" t="s">
        <v>29</v>
      </c>
      <c r="N1620">
        <v>1740.6</v>
      </c>
    </row>
    <row r="1621" spans="1:14" x14ac:dyDescent="0.35">
      <c r="A1621" s="2">
        <v>45196</v>
      </c>
      <c r="B1621" t="s">
        <v>259</v>
      </c>
      <c r="C1621" t="s">
        <v>41</v>
      </c>
      <c r="D1621" t="s">
        <v>42</v>
      </c>
      <c r="E1621" t="s">
        <v>43</v>
      </c>
      <c r="F1621">
        <v>10</v>
      </c>
      <c r="G1621">
        <v>98.41</v>
      </c>
      <c r="H1621" t="s">
        <v>64</v>
      </c>
      <c r="I1621" t="s">
        <v>2424</v>
      </c>
      <c r="J1621" t="s">
        <v>55</v>
      </c>
      <c r="K1621" t="s">
        <v>38</v>
      </c>
      <c r="L1621" t="s">
        <v>28</v>
      </c>
      <c r="M1621" t="s">
        <v>67</v>
      </c>
      <c r="N1621">
        <v>984.09999999999991</v>
      </c>
    </row>
    <row r="1622" spans="1:14" x14ac:dyDescent="0.35">
      <c r="A1622" s="2">
        <v>44953</v>
      </c>
      <c r="B1622" t="s">
        <v>1769</v>
      </c>
      <c r="C1622" t="s">
        <v>86</v>
      </c>
      <c r="D1622" t="s">
        <v>33</v>
      </c>
      <c r="E1622" t="s">
        <v>83</v>
      </c>
      <c r="F1622">
        <v>9</v>
      </c>
      <c r="G1622">
        <v>246.89</v>
      </c>
      <c r="H1622" t="s">
        <v>58</v>
      </c>
      <c r="I1622" t="s">
        <v>2425</v>
      </c>
      <c r="J1622" t="s">
        <v>26</v>
      </c>
      <c r="K1622" t="s">
        <v>38</v>
      </c>
      <c r="L1622" t="s">
        <v>39</v>
      </c>
      <c r="M1622" t="s">
        <v>61</v>
      </c>
      <c r="N1622">
        <v>2222.0100000000002</v>
      </c>
    </row>
    <row r="1623" spans="1:14" x14ac:dyDescent="0.35">
      <c r="A1623" s="2">
        <v>45659</v>
      </c>
      <c r="B1623" t="s">
        <v>2426</v>
      </c>
      <c r="C1623" t="s">
        <v>21</v>
      </c>
      <c r="D1623" t="s">
        <v>42</v>
      </c>
      <c r="E1623" t="s">
        <v>83</v>
      </c>
      <c r="F1623">
        <v>8</v>
      </c>
      <c r="G1623">
        <v>68.63</v>
      </c>
      <c r="H1623" t="s">
        <v>58</v>
      </c>
      <c r="I1623" t="s">
        <v>2427</v>
      </c>
      <c r="J1623" t="s">
        <v>97</v>
      </c>
      <c r="K1623" t="s">
        <v>60</v>
      </c>
      <c r="L1623" t="s">
        <v>28</v>
      </c>
      <c r="M1623" t="s">
        <v>56</v>
      </c>
      <c r="N1623">
        <v>549.04</v>
      </c>
    </row>
    <row r="1624" spans="1:14" x14ac:dyDescent="0.35">
      <c r="A1624" s="2">
        <v>45766</v>
      </c>
      <c r="B1624" t="s">
        <v>1261</v>
      </c>
      <c r="C1624" t="s">
        <v>51</v>
      </c>
      <c r="D1624" t="s">
        <v>42</v>
      </c>
      <c r="E1624" t="s">
        <v>43</v>
      </c>
      <c r="F1624">
        <v>2</v>
      </c>
      <c r="G1624">
        <v>174.57</v>
      </c>
      <c r="H1624" t="s">
        <v>35</v>
      </c>
      <c r="I1624" t="s">
        <v>2428</v>
      </c>
      <c r="J1624" t="s">
        <v>97</v>
      </c>
      <c r="K1624" t="s">
        <v>60</v>
      </c>
      <c r="L1624" t="s">
        <v>39</v>
      </c>
      <c r="M1624" t="s">
        <v>79</v>
      </c>
      <c r="N1624">
        <v>349.14</v>
      </c>
    </row>
    <row r="1625" spans="1:14" x14ac:dyDescent="0.35">
      <c r="A1625" s="2">
        <v>45284</v>
      </c>
      <c r="B1625" t="s">
        <v>1530</v>
      </c>
      <c r="C1625" t="s">
        <v>89</v>
      </c>
      <c r="D1625" t="s">
        <v>22</v>
      </c>
      <c r="E1625" t="s">
        <v>43</v>
      </c>
      <c r="F1625">
        <v>4</v>
      </c>
      <c r="G1625">
        <v>84.97</v>
      </c>
      <c r="H1625" t="s">
        <v>64</v>
      </c>
      <c r="I1625" t="s">
        <v>2429</v>
      </c>
      <c r="J1625" t="s">
        <v>94</v>
      </c>
      <c r="K1625" t="s">
        <v>78</v>
      </c>
      <c r="L1625" t="s">
        <v>39</v>
      </c>
      <c r="M1625" t="s">
        <v>101</v>
      </c>
      <c r="N1625">
        <v>339.88</v>
      </c>
    </row>
    <row r="1626" spans="1:14" x14ac:dyDescent="0.35">
      <c r="A1626" s="2">
        <v>45190</v>
      </c>
      <c r="B1626" t="s">
        <v>2297</v>
      </c>
      <c r="C1626" t="s">
        <v>21</v>
      </c>
      <c r="D1626" t="s">
        <v>52</v>
      </c>
      <c r="E1626" t="s">
        <v>43</v>
      </c>
      <c r="F1626">
        <v>5</v>
      </c>
      <c r="G1626">
        <v>15.19</v>
      </c>
      <c r="H1626" t="s">
        <v>58</v>
      </c>
      <c r="I1626" t="s">
        <v>2430</v>
      </c>
      <c r="J1626" t="s">
        <v>55</v>
      </c>
      <c r="K1626" t="s">
        <v>27</v>
      </c>
      <c r="L1626" t="s">
        <v>39</v>
      </c>
      <c r="M1626" t="s">
        <v>56</v>
      </c>
      <c r="N1626">
        <v>75.95</v>
      </c>
    </row>
    <row r="1627" spans="1:14" x14ac:dyDescent="0.35">
      <c r="A1627" s="2">
        <v>44990</v>
      </c>
      <c r="B1627" t="s">
        <v>57</v>
      </c>
      <c r="C1627" t="s">
        <v>74</v>
      </c>
      <c r="D1627" t="s">
        <v>42</v>
      </c>
      <c r="E1627" t="s">
        <v>63</v>
      </c>
      <c r="F1627">
        <v>10</v>
      </c>
      <c r="G1627">
        <v>133.34</v>
      </c>
      <c r="H1627" t="s">
        <v>44</v>
      </c>
      <c r="I1627" t="s">
        <v>2431</v>
      </c>
      <c r="J1627" t="s">
        <v>37</v>
      </c>
      <c r="K1627" t="s">
        <v>78</v>
      </c>
      <c r="L1627" t="s">
        <v>28</v>
      </c>
      <c r="M1627" t="s">
        <v>101</v>
      </c>
      <c r="N1627">
        <v>1333.4</v>
      </c>
    </row>
    <row r="1628" spans="1:14" x14ac:dyDescent="0.35">
      <c r="A1628" s="2">
        <v>45437</v>
      </c>
      <c r="B1628" t="s">
        <v>627</v>
      </c>
      <c r="C1628" t="s">
        <v>89</v>
      </c>
      <c r="D1628" t="s">
        <v>52</v>
      </c>
      <c r="E1628" t="s">
        <v>83</v>
      </c>
      <c r="F1628">
        <v>5</v>
      </c>
      <c r="G1628">
        <v>129.6</v>
      </c>
      <c r="H1628" t="s">
        <v>58</v>
      </c>
      <c r="I1628" t="s">
        <v>2432</v>
      </c>
      <c r="J1628" t="s">
        <v>37</v>
      </c>
      <c r="K1628" t="s">
        <v>38</v>
      </c>
      <c r="L1628" t="s">
        <v>39</v>
      </c>
      <c r="M1628" t="s">
        <v>79</v>
      </c>
      <c r="N1628">
        <v>648</v>
      </c>
    </row>
    <row r="1629" spans="1:14" x14ac:dyDescent="0.35">
      <c r="A1629" s="2">
        <v>45787</v>
      </c>
      <c r="B1629" t="s">
        <v>518</v>
      </c>
      <c r="C1629" t="s">
        <v>51</v>
      </c>
      <c r="D1629" t="s">
        <v>52</v>
      </c>
      <c r="E1629" t="s">
        <v>23</v>
      </c>
      <c r="F1629">
        <v>10</v>
      </c>
      <c r="G1629">
        <v>52.31</v>
      </c>
      <c r="H1629" t="s">
        <v>44</v>
      </c>
      <c r="I1629" t="s">
        <v>2433</v>
      </c>
      <c r="J1629" t="s">
        <v>55</v>
      </c>
      <c r="K1629" t="s">
        <v>60</v>
      </c>
      <c r="L1629" t="s">
        <v>66</v>
      </c>
      <c r="M1629" t="s">
        <v>79</v>
      </c>
      <c r="N1629">
        <v>523.1</v>
      </c>
    </row>
    <row r="1630" spans="1:14" x14ac:dyDescent="0.35">
      <c r="A1630" s="2">
        <v>45318</v>
      </c>
      <c r="B1630" t="s">
        <v>1892</v>
      </c>
      <c r="C1630" t="s">
        <v>74</v>
      </c>
      <c r="D1630" t="s">
        <v>52</v>
      </c>
      <c r="E1630" t="s">
        <v>92</v>
      </c>
      <c r="F1630">
        <v>10</v>
      </c>
      <c r="G1630">
        <v>366.42</v>
      </c>
      <c r="H1630" t="s">
        <v>35</v>
      </c>
      <c r="I1630" t="s">
        <v>2434</v>
      </c>
      <c r="J1630" t="s">
        <v>94</v>
      </c>
      <c r="K1630" t="s">
        <v>27</v>
      </c>
      <c r="L1630" t="s">
        <v>28</v>
      </c>
      <c r="M1630" t="s">
        <v>79</v>
      </c>
      <c r="N1630">
        <v>3664.2</v>
      </c>
    </row>
    <row r="1631" spans="1:14" x14ac:dyDescent="0.35">
      <c r="A1631" s="2">
        <v>45506</v>
      </c>
      <c r="B1631" t="s">
        <v>558</v>
      </c>
      <c r="C1631" t="s">
        <v>106</v>
      </c>
      <c r="D1631" t="s">
        <v>22</v>
      </c>
      <c r="E1631" t="s">
        <v>34</v>
      </c>
      <c r="F1631">
        <v>1</v>
      </c>
      <c r="G1631">
        <v>258.97000000000003</v>
      </c>
      <c r="H1631" t="s">
        <v>35</v>
      </c>
      <c r="I1631" t="s">
        <v>2435</v>
      </c>
      <c r="J1631" t="s">
        <v>97</v>
      </c>
      <c r="K1631" t="s">
        <v>27</v>
      </c>
      <c r="L1631" t="s">
        <v>39</v>
      </c>
      <c r="M1631" t="s">
        <v>61</v>
      </c>
      <c r="N1631">
        <v>258.97000000000003</v>
      </c>
    </row>
    <row r="1632" spans="1:14" x14ac:dyDescent="0.35">
      <c r="A1632" s="2">
        <v>45285</v>
      </c>
      <c r="B1632" t="s">
        <v>556</v>
      </c>
      <c r="C1632" t="s">
        <v>51</v>
      </c>
      <c r="D1632" t="s">
        <v>52</v>
      </c>
      <c r="E1632" t="s">
        <v>43</v>
      </c>
      <c r="F1632">
        <v>10</v>
      </c>
      <c r="G1632">
        <v>292.68</v>
      </c>
      <c r="H1632" t="s">
        <v>44</v>
      </c>
      <c r="I1632" t="s">
        <v>2436</v>
      </c>
      <c r="J1632" t="s">
        <v>94</v>
      </c>
      <c r="K1632" t="s">
        <v>60</v>
      </c>
      <c r="L1632" t="s">
        <v>28</v>
      </c>
      <c r="M1632" t="s">
        <v>29</v>
      </c>
      <c r="N1632">
        <v>2926.8</v>
      </c>
    </row>
    <row r="1633" spans="1:14" x14ac:dyDescent="0.35">
      <c r="A1633" s="2">
        <v>45681</v>
      </c>
      <c r="B1633" t="s">
        <v>340</v>
      </c>
      <c r="C1633" t="s">
        <v>106</v>
      </c>
      <c r="D1633" t="s">
        <v>33</v>
      </c>
      <c r="E1633" t="s">
        <v>34</v>
      </c>
      <c r="F1633">
        <v>5</v>
      </c>
      <c r="G1633">
        <v>224.77</v>
      </c>
      <c r="H1633" t="s">
        <v>35</v>
      </c>
      <c r="I1633" t="s">
        <v>2437</v>
      </c>
      <c r="J1633" t="s">
        <v>37</v>
      </c>
      <c r="K1633" t="s">
        <v>27</v>
      </c>
      <c r="L1633" t="s">
        <v>28</v>
      </c>
      <c r="M1633" t="s">
        <v>61</v>
      </c>
      <c r="N1633">
        <v>1123.8499999999999</v>
      </c>
    </row>
    <row r="1634" spans="1:14" x14ac:dyDescent="0.35">
      <c r="A1634" s="2">
        <v>45265</v>
      </c>
      <c r="B1634" t="s">
        <v>2438</v>
      </c>
      <c r="C1634" t="s">
        <v>51</v>
      </c>
      <c r="D1634" t="s">
        <v>33</v>
      </c>
      <c r="E1634" t="s">
        <v>43</v>
      </c>
      <c r="F1634">
        <v>1</v>
      </c>
      <c r="G1634">
        <v>399.31</v>
      </c>
      <c r="H1634" t="s">
        <v>64</v>
      </c>
      <c r="I1634" t="s">
        <v>2439</v>
      </c>
      <c r="J1634" t="s">
        <v>55</v>
      </c>
      <c r="K1634" t="s">
        <v>60</v>
      </c>
      <c r="L1634" t="s">
        <v>28</v>
      </c>
      <c r="M1634" t="s">
        <v>49</v>
      </c>
      <c r="N1634">
        <v>399.31</v>
      </c>
    </row>
    <row r="1635" spans="1:14" x14ac:dyDescent="0.35">
      <c r="A1635" s="2">
        <v>44991</v>
      </c>
      <c r="B1635" t="s">
        <v>663</v>
      </c>
      <c r="C1635" t="s">
        <v>106</v>
      </c>
      <c r="D1635" t="s">
        <v>22</v>
      </c>
      <c r="E1635" t="s">
        <v>34</v>
      </c>
      <c r="F1635">
        <v>4</v>
      </c>
      <c r="G1635">
        <v>61.05</v>
      </c>
      <c r="H1635" t="s">
        <v>24</v>
      </c>
      <c r="I1635" t="s">
        <v>2440</v>
      </c>
      <c r="J1635" t="s">
        <v>94</v>
      </c>
      <c r="K1635" t="s">
        <v>60</v>
      </c>
      <c r="L1635" t="s">
        <v>66</v>
      </c>
      <c r="M1635" t="s">
        <v>29</v>
      </c>
      <c r="N1635">
        <v>244.2</v>
      </c>
    </row>
    <row r="1636" spans="1:14" x14ac:dyDescent="0.35">
      <c r="A1636" s="2">
        <v>45303</v>
      </c>
      <c r="B1636" t="s">
        <v>390</v>
      </c>
      <c r="C1636" t="s">
        <v>86</v>
      </c>
      <c r="D1636" t="s">
        <v>42</v>
      </c>
      <c r="E1636" t="s">
        <v>23</v>
      </c>
      <c r="F1636">
        <v>1</v>
      </c>
      <c r="G1636">
        <v>39.85</v>
      </c>
      <c r="H1636" t="s">
        <v>64</v>
      </c>
      <c r="I1636" t="s">
        <v>2441</v>
      </c>
      <c r="J1636" t="s">
        <v>94</v>
      </c>
      <c r="K1636" t="s">
        <v>60</v>
      </c>
      <c r="L1636" t="s">
        <v>28</v>
      </c>
      <c r="M1636" t="s">
        <v>61</v>
      </c>
      <c r="N1636">
        <v>39.85</v>
      </c>
    </row>
    <row r="1637" spans="1:14" x14ac:dyDescent="0.35">
      <c r="A1637" s="2">
        <v>45257</v>
      </c>
      <c r="B1637" t="s">
        <v>1984</v>
      </c>
      <c r="C1637" t="s">
        <v>106</v>
      </c>
      <c r="D1637" t="s">
        <v>33</v>
      </c>
      <c r="E1637" t="s">
        <v>23</v>
      </c>
      <c r="F1637">
        <v>2</v>
      </c>
      <c r="G1637">
        <v>71.25</v>
      </c>
      <c r="H1637" t="s">
        <v>35</v>
      </c>
      <c r="I1637" t="s">
        <v>2442</v>
      </c>
      <c r="J1637" t="s">
        <v>26</v>
      </c>
      <c r="K1637" t="s">
        <v>38</v>
      </c>
      <c r="L1637" t="s">
        <v>39</v>
      </c>
      <c r="M1637" t="s">
        <v>29</v>
      </c>
      <c r="N1637">
        <v>142.5</v>
      </c>
    </row>
    <row r="1638" spans="1:14" x14ac:dyDescent="0.35">
      <c r="A1638" s="2">
        <v>45467</v>
      </c>
      <c r="B1638" t="s">
        <v>1696</v>
      </c>
      <c r="C1638" t="s">
        <v>47</v>
      </c>
      <c r="D1638" t="s">
        <v>33</v>
      </c>
      <c r="E1638" t="s">
        <v>63</v>
      </c>
      <c r="F1638">
        <v>10</v>
      </c>
      <c r="G1638">
        <v>223.71</v>
      </c>
      <c r="H1638" t="s">
        <v>44</v>
      </c>
      <c r="I1638" t="s">
        <v>2443</v>
      </c>
      <c r="J1638" t="s">
        <v>94</v>
      </c>
      <c r="K1638" t="s">
        <v>78</v>
      </c>
      <c r="L1638" t="s">
        <v>39</v>
      </c>
      <c r="M1638" t="s">
        <v>29</v>
      </c>
      <c r="N1638">
        <v>2237.1</v>
      </c>
    </row>
    <row r="1639" spans="1:14" x14ac:dyDescent="0.35">
      <c r="A1639" s="2">
        <v>45669</v>
      </c>
      <c r="B1639" t="s">
        <v>1317</v>
      </c>
      <c r="C1639" t="s">
        <v>51</v>
      </c>
      <c r="D1639" t="s">
        <v>33</v>
      </c>
      <c r="E1639" t="s">
        <v>34</v>
      </c>
      <c r="F1639">
        <v>9</v>
      </c>
      <c r="G1639">
        <v>79.260000000000005</v>
      </c>
      <c r="H1639" t="s">
        <v>35</v>
      </c>
      <c r="I1639" t="s">
        <v>2444</v>
      </c>
      <c r="J1639" t="s">
        <v>26</v>
      </c>
      <c r="K1639" t="s">
        <v>60</v>
      </c>
      <c r="L1639" t="s">
        <v>39</v>
      </c>
      <c r="M1639" t="s">
        <v>101</v>
      </c>
      <c r="N1639">
        <v>713.34</v>
      </c>
    </row>
    <row r="1640" spans="1:14" x14ac:dyDescent="0.35">
      <c r="A1640" s="2">
        <v>45123</v>
      </c>
      <c r="B1640" t="s">
        <v>1738</v>
      </c>
      <c r="C1640" t="s">
        <v>71</v>
      </c>
      <c r="D1640" t="s">
        <v>52</v>
      </c>
      <c r="E1640" t="s">
        <v>23</v>
      </c>
      <c r="F1640">
        <v>6</v>
      </c>
      <c r="G1640">
        <v>352.11</v>
      </c>
      <c r="H1640" t="s">
        <v>24</v>
      </c>
      <c r="I1640" t="s">
        <v>2445</v>
      </c>
      <c r="J1640" t="s">
        <v>55</v>
      </c>
      <c r="K1640" t="s">
        <v>27</v>
      </c>
      <c r="L1640" t="s">
        <v>28</v>
      </c>
      <c r="M1640" t="s">
        <v>101</v>
      </c>
      <c r="N1640">
        <v>2112.66</v>
      </c>
    </row>
    <row r="1641" spans="1:14" x14ac:dyDescent="0.35">
      <c r="A1641" s="2">
        <v>45101</v>
      </c>
      <c r="B1641" t="s">
        <v>206</v>
      </c>
      <c r="C1641" t="s">
        <v>51</v>
      </c>
      <c r="D1641" t="s">
        <v>52</v>
      </c>
      <c r="E1641" t="s">
        <v>23</v>
      </c>
      <c r="F1641">
        <v>2</v>
      </c>
      <c r="G1641">
        <v>264.04000000000002</v>
      </c>
      <c r="H1641" t="s">
        <v>64</v>
      </c>
      <c r="I1641" t="s">
        <v>2446</v>
      </c>
      <c r="J1641" t="s">
        <v>94</v>
      </c>
      <c r="K1641" t="s">
        <v>27</v>
      </c>
      <c r="L1641" t="s">
        <v>28</v>
      </c>
      <c r="M1641" t="s">
        <v>79</v>
      </c>
      <c r="N1641">
        <v>528.08000000000004</v>
      </c>
    </row>
    <row r="1642" spans="1:14" x14ac:dyDescent="0.35">
      <c r="A1642" s="2">
        <v>45734</v>
      </c>
      <c r="B1642" t="s">
        <v>2447</v>
      </c>
      <c r="C1642" t="s">
        <v>71</v>
      </c>
      <c r="D1642" t="s">
        <v>52</v>
      </c>
      <c r="E1642" t="s">
        <v>83</v>
      </c>
      <c r="F1642">
        <v>4</v>
      </c>
      <c r="G1642">
        <v>141.85</v>
      </c>
      <c r="H1642" t="s">
        <v>64</v>
      </c>
      <c r="I1642" t="s">
        <v>2448</v>
      </c>
      <c r="J1642" t="s">
        <v>97</v>
      </c>
      <c r="K1642" t="s">
        <v>38</v>
      </c>
      <c r="L1642" t="s">
        <v>66</v>
      </c>
      <c r="M1642" t="s">
        <v>49</v>
      </c>
      <c r="N1642">
        <v>567.4</v>
      </c>
    </row>
    <row r="1643" spans="1:14" x14ac:dyDescent="0.35">
      <c r="A1643" s="2">
        <v>45311</v>
      </c>
      <c r="B1643" t="s">
        <v>735</v>
      </c>
      <c r="C1643" t="s">
        <v>74</v>
      </c>
      <c r="D1643" t="s">
        <v>33</v>
      </c>
      <c r="E1643" t="s">
        <v>23</v>
      </c>
      <c r="F1643">
        <v>5</v>
      </c>
      <c r="G1643">
        <v>264.69</v>
      </c>
      <c r="H1643" t="s">
        <v>24</v>
      </c>
      <c r="I1643" t="s">
        <v>2449</v>
      </c>
      <c r="J1643" t="s">
        <v>94</v>
      </c>
      <c r="K1643" t="s">
        <v>38</v>
      </c>
      <c r="L1643" t="s">
        <v>66</v>
      </c>
      <c r="M1643" t="s">
        <v>79</v>
      </c>
      <c r="N1643">
        <v>1323.45</v>
      </c>
    </row>
    <row r="1644" spans="1:14" x14ac:dyDescent="0.35">
      <c r="A1644" s="2">
        <v>45565</v>
      </c>
      <c r="B1644" t="s">
        <v>1031</v>
      </c>
      <c r="C1644" t="s">
        <v>81</v>
      </c>
      <c r="D1644" t="s">
        <v>22</v>
      </c>
      <c r="E1644" t="s">
        <v>92</v>
      </c>
      <c r="F1644">
        <v>6</v>
      </c>
      <c r="G1644">
        <v>213.37</v>
      </c>
      <c r="H1644" t="s">
        <v>35</v>
      </c>
      <c r="I1644" t="s">
        <v>2450</v>
      </c>
      <c r="J1644" t="s">
        <v>55</v>
      </c>
      <c r="K1644" t="s">
        <v>38</v>
      </c>
      <c r="L1644" t="s">
        <v>66</v>
      </c>
      <c r="M1644" t="s">
        <v>29</v>
      </c>
      <c r="N1644">
        <v>1280.22</v>
      </c>
    </row>
    <row r="1645" spans="1:14" x14ac:dyDescent="0.35">
      <c r="A1645" s="2">
        <v>44950</v>
      </c>
      <c r="B1645" t="s">
        <v>969</v>
      </c>
      <c r="C1645" t="s">
        <v>21</v>
      </c>
      <c r="D1645" t="s">
        <v>33</v>
      </c>
      <c r="E1645" t="s">
        <v>92</v>
      </c>
      <c r="F1645">
        <v>5</v>
      </c>
      <c r="G1645">
        <v>154.16</v>
      </c>
      <c r="H1645" t="s">
        <v>64</v>
      </c>
      <c r="I1645" t="s">
        <v>2451</v>
      </c>
      <c r="J1645" t="s">
        <v>55</v>
      </c>
      <c r="K1645" t="s">
        <v>38</v>
      </c>
      <c r="L1645" t="s">
        <v>66</v>
      </c>
      <c r="M1645" t="s">
        <v>49</v>
      </c>
      <c r="N1645">
        <v>770.8</v>
      </c>
    </row>
    <row r="1646" spans="1:14" x14ac:dyDescent="0.35">
      <c r="A1646" s="2">
        <v>44997</v>
      </c>
      <c r="B1646" t="s">
        <v>1328</v>
      </c>
      <c r="C1646" t="s">
        <v>86</v>
      </c>
      <c r="D1646" t="s">
        <v>22</v>
      </c>
      <c r="E1646" t="s">
        <v>53</v>
      </c>
      <c r="F1646">
        <v>8</v>
      </c>
      <c r="G1646">
        <v>210.83</v>
      </c>
      <c r="H1646" t="s">
        <v>35</v>
      </c>
      <c r="I1646" t="s">
        <v>2452</v>
      </c>
      <c r="J1646" t="s">
        <v>94</v>
      </c>
      <c r="K1646" t="s">
        <v>60</v>
      </c>
      <c r="L1646" t="s">
        <v>28</v>
      </c>
      <c r="M1646" t="s">
        <v>101</v>
      </c>
      <c r="N1646">
        <v>1686.64</v>
      </c>
    </row>
    <row r="1647" spans="1:14" x14ac:dyDescent="0.35">
      <c r="A1647" s="2">
        <v>45146</v>
      </c>
      <c r="B1647" t="s">
        <v>474</v>
      </c>
      <c r="C1647" t="s">
        <v>106</v>
      </c>
      <c r="D1647" t="s">
        <v>42</v>
      </c>
      <c r="E1647" t="s">
        <v>23</v>
      </c>
      <c r="F1647">
        <v>7</v>
      </c>
      <c r="G1647">
        <v>35.630000000000003</v>
      </c>
      <c r="H1647" t="s">
        <v>44</v>
      </c>
      <c r="I1647" t="s">
        <v>2453</v>
      </c>
      <c r="J1647" t="s">
        <v>55</v>
      </c>
      <c r="K1647" t="s">
        <v>60</v>
      </c>
      <c r="L1647" t="s">
        <v>39</v>
      </c>
      <c r="M1647" t="s">
        <v>49</v>
      </c>
      <c r="N1647">
        <v>249.41</v>
      </c>
    </row>
    <row r="1648" spans="1:14" x14ac:dyDescent="0.35">
      <c r="A1648" s="2">
        <v>45439</v>
      </c>
      <c r="B1648" t="s">
        <v>1248</v>
      </c>
      <c r="C1648" t="s">
        <v>89</v>
      </c>
      <c r="D1648" t="s">
        <v>52</v>
      </c>
      <c r="E1648" t="s">
        <v>43</v>
      </c>
      <c r="F1648">
        <v>7</v>
      </c>
      <c r="G1648">
        <v>399.84</v>
      </c>
      <c r="H1648" t="s">
        <v>58</v>
      </c>
      <c r="I1648" t="s">
        <v>2454</v>
      </c>
      <c r="J1648" t="s">
        <v>55</v>
      </c>
      <c r="K1648" t="s">
        <v>78</v>
      </c>
      <c r="L1648" t="s">
        <v>28</v>
      </c>
      <c r="M1648" t="s">
        <v>29</v>
      </c>
      <c r="N1648">
        <v>2798.88</v>
      </c>
    </row>
    <row r="1649" spans="1:14" x14ac:dyDescent="0.35">
      <c r="A1649" s="2">
        <v>45709</v>
      </c>
      <c r="B1649" t="s">
        <v>141</v>
      </c>
      <c r="C1649" t="s">
        <v>51</v>
      </c>
      <c r="D1649" t="s">
        <v>42</v>
      </c>
      <c r="E1649" t="s">
        <v>92</v>
      </c>
      <c r="F1649">
        <v>9</v>
      </c>
      <c r="G1649">
        <v>78.430000000000007</v>
      </c>
      <c r="H1649" t="s">
        <v>35</v>
      </c>
      <c r="I1649" t="s">
        <v>2455</v>
      </c>
      <c r="J1649" t="s">
        <v>97</v>
      </c>
      <c r="K1649" t="s">
        <v>27</v>
      </c>
      <c r="L1649" t="s">
        <v>28</v>
      </c>
      <c r="M1649" t="s">
        <v>61</v>
      </c>
      <c r="N1649">
        <v>705.87000000000012</v>
      </c>
    </row>
    <row r="1650" spans="1:14" x14ac:dyDescent="0.35">
      <c r="A1650" s="2">
        <v>45671</v>
      </c>
      <c r="B1650" t="s">
        <v>433</v>
      </c>
      <c r="C1650" t="s">
        <v>21</v>
      </c>
      <c r="D1650" t="s">
        <v>42</v>
      </c>
      <c r="E1650" t="s">
        <v>63</v>
      </c>
      <c r="F1650">
        <v>10</v>
      </c>
      <c r="G1650">
        <v>15.83</v>
      </c>
      <c r="H1650" t="s">
        <v>44</v>
      </c>
      <c r="I1650" t="s">
        <v>2456</v>
      </c>
      <c r="J1650" t="s">
        <v>94</v>
      </c>
      <c r="K1650" t="s">
        <v>78</v>
      </c>
      <c r="L1650" t="s">
        <v>66</v>
      </c>
      <c r="M1650" t="s">
        <v>49</v>
      </c>
      <c r="N1650">
        <v>158.30000000000001</v>
      </c>
    </row>
    <row r="1651" spans="1:14" x14ac:dyDescent="0.35">
      <c r="A1651" s="2">
        <v>45339</v>
      </c>
      <c r="B1651" t="s">
        <v>900</v>
      </c>
      <c r="C1651" t="s">
        <v>41</v>
      </c>
      <c r="D1651" t="s">
        <v>42</v>
      </c>
      <c r="E1651" t="s">
        <v>92</v>
      </c>
      <c r="F1651">
        <v>7</v>
      </c>
      <c r="G1651">
        <v>59.78</v>
      </c>
      <c r="H1651" t="s">
        <v>58</v>
      </c>
      <c r="I1651" t="s">
        <v>2457</v>
      </c>
      <c r="J1651" t="s">
        <v>94</v>
      </c>
      <c r="K1651" t="s">
        <v>60</v>
      </c>
      <c r="L1651" t="s">
        <v>39</v>
      </c>
      <c r="M1651" t="s">
        <v>79</v>
      </c>
      <c r="N1651">
        <v>418.46</v>
      </c>
    </row>
    <row r="1652" spans="1:14" x14ac:dyDescent="0.35">
      <c r="A1652" s="2">
        <v>45364</v>
      </c>
      <c r="B1652" t="s">
        <v>248</v>
      </c>
      <c r="C1652" t="s">
        <v>89</v>
      </c>
      <c r="D1652" t="s">
        <v>52</v>
      </c>
      <c r="E1652" t="s">
        <v>83</v>
      </c>
      <c r="F1652">
        <v>5</v>
      </c>
      <c r="G1652">
        <v>82.19</v>
      </c>
      <c r="H1652" t="s">
        <v>35</v>
      </c>
      <c r="I1652" t="s">
        <v>2458</v>
      </c>
      <c r="J1652" t="s">
        <v>97</v>
      </c>
      <c r="K1652" t="s">
        <v>78</v>
      </c>
      <c r="L1652" t="s">
        <v>66</v>
      </c>
      <c r="M1652" t="s">
        <v>67</v>
      </c>
      <c r="N1652">
        <v>410.95</v>
      </c>
    </row>
    <row r="1653" spans="1:14" x14ac:dyDescent="0.35">
      <c r="A1653" s="2">
        <v>45209</v>
      </c>
      <c r="B1653" t="s">
        <v>418</v>
      </c>
      <c r="C1653" t="s">
        <v>47</v>
      </c>
      <c r="D1653" t="s">
        <v>33</v>
      </c>
      <c r="E1653" t="s">
        <v>53</v>
      </c>
      <c r="F1653">
        <v>7</v>
      </c>
      <c r="G1653">
        <v>218.78</v>
      </c>
      <c r="H1653" t="s">
        <v>58</v>
      </c>
      <c r="I1653" t="s">
        <v>2459</v>
      </c>
      <c r="J1653" t="s">
        <v>26</v>
      </c>
      <c r="K1653" t="s">
        <v>78</v>
      </c>
      <c r="L1653" t="s">
        <v>28</v>
      </c>
      <c r="M1653" t="s">
        <v>49</v>
      </c>
      <c r="N1653">
        <v>1531.46</v>
      </c>
    </row>
    <row r="1654" spans="1:14" x14ac:dyDescent="0.35">
      <c r="A1654" s="2">
        <v>45705</v>
      </c>
      <c r="B1654" t="s">
        <v>32</v>
      </c>
      <c r="C1654" t="s">
        <v>106</v>
      </c>
      <c r="D1654" t="s">
        <v>52</v>
      </c>
      <c r="E1654" t="s">
        <v>83</v>
      </c>
      <c r="F1654">
        <v>1</v>
      </c>
      <c r="G1654">
        <v>237.09</v>
      </c>
      <c r="H1654" t="s">
        <v>35</v>
      </c>
      <c r="I1654" t="s">
        <v>2460</v>
      </c>
      <c r="J1654" t="s">
        <v>37</v>
      </c>
      <c r="K1654" t="s">
        <v>60</v>
      </c>
      <c r="L1654" t="s">
        <v>39</v>
      </c>
      <c r="M1654" t="s">
        <v>29</v>
      </c>
      <c r="N1654">
        <v>237.09</v>
      </c>
    </row>
    <row r="1655" spans="1:14" x14ac:dyDescent="0.35">
      <c r="A1655" s="2">
        <v>45340</v>
      </c>
      <c r="B1655" t="s">
        <v>2322</v>
      </c>
      <c r="C1655" t="s">
        <v>47</v>
      </c>
      <c r="D1655" t="s">
        <v>52</v>
      </c>
      <c r="E1655" t="s">
        <v>83</v>
      </c>
      <c r="F1655">
        <v>1</v>
      </c>
      <c r="G1655">
        <v>329.62</v>
      </c>
      <c r="H1655" t="s">
        <v>44</v>
      </c>
      <c r="I1655" t="s">
        <v>2461</v>
      </c>
      <c r="J1655" t="s">
        <v>55</v>
      </c>
      <c r="K1655" t="s">
        <v>27</v>
      </c>
      <c r="L1655" t="s">
        <v>28</v>
      </c>
      <c r="M1655" t="s">
        <v>101</v>
      </c>
      <c r="N1655">
        <v>329.62</v>
      </c>
    </row>
    <row r="1656" spans="1:14" x14ac:dyDescent="0.35">
      <c r="A1656" s="2">
        <v>45573</v>
      </c>
      <c r="B1656" t="s">
        <v>1594</v>
      </c>
      <c r="C1656" t="s">
        <v>41</v>
      </c>
      <c r="D1656" t="s">
        <v>42</v>
      </c>
      <c r="E1656" t="s">
        <v>23</v>
      </c>
      <c r="F1656">
        <v>5</v>
      </c>
      <c r="G1656">
        <v>348.37</v>
      </c>
      <c r="H1656" t="s">
        <v>64</v>
      </c>
      <c r="I1656" t="s">
        <v>2462</v>
      </c>
      <c r="J1656" t="s">
        <v>55</v>
      </c>
      <c r="K1656" t="s">
        <v>78</v>
      </c>
      <c r="L1656" t="s">
        <v>28</v>
      </c>
      <c r="M1656" t="s">
        <v>49</v>
      </c>
      <c r="N1656">
        <v>1741.85</v>
      </c>
    </row>
    <row r="1657" spans="1:14" x14ac:dyDescent="0.35">
      <c r="A1657" s="2">
        <v>45610</v>
      </c>
      <c r="B1657" t="s">
        <v>409</v>
      </c>
      <c r="C1657" t="s">
        <v>41</v>
      </c>
      <c r="D1657" t="s">
        <v>22</v>
      </c>
      <c r="E1657" t="s">
        <v>92</v>
      </c>
      <c r="F1657">
        <v>5</v>
      </c>
      <c r="G1657">
        <v>124.49</v>
      </c>
      <c r="H1657" t="s">
        <v>64</v>
      </c>
      <c r="I1657" t="s">
        <v>2463</v>
      </c>
      <c r="J1657" t="s">
        <v>94</v>
      </c>
      <c r="K1657" t="s">
        <v>78</v>
      </c>
      <c r="L1657" t="s">
        <v>39</v>
      </c>
      <c r="M1657" t="s">
        <v>56</v>
      </c>
      <c r="N1657">
        <v>622.44999999999993</v>
      </c>
    </row>
    <row r="1658" spans="1:14" x14ac:dyDescent="0.35">
      <c r="A1658" s="2">
        <v>45366</v>
      </c>
      <c r="B1658" t="s">
        <v>2464</v>
      </c>
      <c r="C1658" t="s">
        <v>21</v>
      </c>
      <c r="D1658" t="s">
        <v>42</v>
      </c>
      <c r="E1658" t="s">
        <v>53</v>
      </c>
      <c r="F1658">
        <v>3</v>
      </c>
      <c r="G1658">
        <v>60.69</v>
      </c>
      <c r="H1658" t="s">
        <v>24</v>
      </c>
      <c r="I1658" t="s">
        <v>2465</v>
      </c>
      <c r="J1658" t="s">
        <v>94</v>
      </c>
      <c r="K1658" t="s">
        <v>38</v>
      </c>
      <c r="L1658" t="s">
        <v>39</v>
      </c>
      <c r="M1658" t="s">
        <v>61</v>
      </c>
      <c r="N1658">
        <v>182.07</v>
      </c>
    </row>
    <row r="1659" spans="1:14" x14ac:dyDescent="0.35">
      <c r="A1659" s="2">
        <v>45679</v>
      </c>
      <c r="B1659" t="s">
        <v>982</v>
      </c>
      <c r="C1659" t="s">
        <v>89</v>
      </c>
      <c r="D1659" t="s">
        <v>52</v>
      </c>
      <c r="E1659" t="s">
        <v>43</v>
      </c>
      <c r="F1659">
        <v>6</v>
      </c>
      <c r="G1659">
        <v>164.69</v>
      </c>
      <c r="H1659" t="s">
        <v>35</v>
      </c>
      <c r="I1659" t="s">
        <v>2466</v>
      </c>
      <c r="J1659" t="s">
        <v>55</v>
      </c>
      <c r="K1659" t="s">
        <v>78</v>
      </c>
      <c r="L1659" t="s">
        <v>28</v>
      </c>
      <c r="M1659" t="s">
        <v>67</v>
      </c>
      <c r="N1659">
        <v>988.14</v>
      </c>
    </row>
    <row r="1660" spans="1:14" x14ac:dyDescent="0.35">
      <c r="A1660" s="2">
        <v>45388</v>
      </c>
      <c r="B1660" t="s">
        <v>833</v>
      </c>
      <c r="C1660" t="s">
        <v>71</v>
      </c>
      <c r="D1660" t="s">
        <v>42</v>
      </c>
      <c r="E1660" t="s">
        <v>23</v>
      </c>
      <c r="F1660">
        <v>9</v>
      </c>
      <c r="G1660">
        <v>364.39</v>
      </c>
      <c r="H1660" t="s">
        <v>35</v>
      </c>
      <c r="I1660" t="s">
        <v>2467</v>
      </c>
      <c r="J1660" t="s">
        <v>55</v>
      </c>
      <c r="K1660" t="s">
        <v>60</v>
      </c>
      <c r="L1660" t="s">
        <v>66</v>
      </c>
      <c r="M1660" t="s">
        <v>79</v>
      </c>
      <c r="N1660">
        <v>3279.51</v>
      </c>
    </row>
    <row r="1661" spans="1:14" x14ac:dyDescent="0.35">
      <c r="A1661" s="2">
        <v>45827</v>
      </c>
      <c r="B1661" t="s">
        <v>1057</v>
      </c>
      <c r="C1661" t="s">
        <v>89</v>
      </c>
      <c r="D1661" t="s">
        <v>52</v>
      </c>
      <c r="E1661" t="s">
        <v>23</v>
      </c>
      <c r="F1661">
        <v>1</v>
      </c>
      <c r="G1661">
        <v>44.62</v>
      </c>
      <c r="H1661" t="s">
        <v>44</v>
      </c>
      <c r="I1661" t="s">
        <v>2468</v>
      </c>
      <c r="J1661" t="s">
        <v>97</v>
      </c>
      <c r="K1661" t="s">
        <v>60</v>
      </c>
      <c r="L1661" t="s">
        <v>66</v>
      </c>
      <c r="M1661" t="s">
        <v>56</v>
      </c>
      <c r="N1661">
        <v>44.62</v>
      </c>
    </row>
    <row r="1662" spans="1:14" x14ac:dyDescent="0.35">
      <c r="A1662" s="2">
        <v>45587</v>
      </c>
      <c r="B1662" t="s">
        <v>648</v>
      </c>
      <c r="C1662" t="s">
        <v>86</v>
      </c>
      <c r="D1662" t="s">
        <v>22</v>
      </c>
      <c r="E1662" t="s">
        <v>63</v>
      </c>
      <c r="F1662">
        <v>7</v>
      </c>
      <c r="G1662">
        <v>122.95</v>
      </c>
      <c r="H1662" t="s">
        <v>64</v>
      </c>
      <c r="I1662" t="s">
        <v>2469</v>
      </c>
      <c r="J1662" t="s">
        <v>94</v>
      </c>
      <c r="K1662" t="s">
        <v>38</v>
      </c>
      <c r="L1662" t="s">
        <v>66</v>
      </c>
      <c r="M1662" t="s">
        <v>49</v>
      </c>
      <c r="N1662">
        <v>860.65</v>
      </c>
    </row>
    <row r="1663" spans="1:14" x14ac:dyDescent="0.35">
      <c r="A1663" s="2">
        <v>45778</v>
      </c>
      <c r="B1663" t="s">
        <v>104</v>
      </c>
      <c r="C1663" t="s">
        <v>74</v>
      </c>
      <c r="D1663" t="s">
        <v>22</v>
      </c>
      <c r="E1663" t="s">
        <v>53</v>
      </c>
      <c r="F1663">
        <v>2</v>
      </c>
      <c r="G1663">
        <v>275.20999999999998</v>
      </c>
      <c r="H1663" t="s">
        <v>58</v>
      </c>
      <c r="I1663" t="s">
        <v>2470</v>
      </c>
      <c r="J1663" t="s">
        <v>97</v>
      </c>
      <c r="K1663" t="s">
        <v>38</v>
      </c>
      <c r="L1663" t="s">
        <v>28</v>
      </c>
      <c r="M1663" t="s">
        <v>56</v>
      </c>
      <c r="N1663">
        <v>550.41999999999996</v>
      </c>
    </row>
    <row r="1664" spans="1:14" x14ac:dyDescent="0.35">
      <c r="A1664" s="2">
        <v>45799</v>
      </c>
      <c r="B1664" t="s">
        <v>1248</v>
      </c>
      <c r="C1664" t="s">
        <v>81</v>
      </c>
      <c r="D1664" t="s">
        <v>33</v>
      </c>
      <c r="E1664" t="s">
        <v>23</v>
      </c>
      <c r="F1664">
        <v>2</v>
      </c>
      <c r="G1664">
        <v>32.54</v>
      </c>
      <c r="H1664" t="s">
        <v>24</v>
      </c>
      <c r="I1664" t="s">
        <v>2471</v>
      </c>
      <c r="J1664" t="s">
        <v>37</v>
      </c>
      <c r="K1664" t="s">
        <v>27</v>
      </c>
      <c r="L1664" t="s">
        <v>28</v>
      </c>
      <c r="M1664" t="s">
        <v>56</v>
      </c>
      <c r="N1664">
        <v>65.08</v>
      </c>
    </row>
    <row r="1665" spans="1:14" x14ac:dyDescent="0.35">
      <c r="A1665" s="2">
        <v>45225</v>
      </c>
      <c r="B1665" t="s">
        <v>697</v>
      </c>
      <c r="C1665" t="s">
        <v>106</v>
      </c>
      <c r="D1665" t="s">
        <v>33</v>
      </c>
      <c r="E1665" t="s">
        <v>43</v>
      </c>
      <c r="F1665">
        <v>8</v>
      </c>
      <c r="G1665">
        <v>112.95</v>
      </c>
      <c r="H1665" t="s">
        <v>64</v>
      </c>
      <c r="I1665" t="s">
        <v>2472</v>
      </c>
      <c r="J1665" t="s">
        <v>26</v>
      </c>
      <c r="K1665" t="s">
        <v>38</v>
      </c>
      <c r="L1665" t="s">
        <v>66</v>
      </c>
      <c r="M1665" t="s">
        <v>56</v>
      </c>
      <c r="N1665">
        <v>903.6</v>
      </c>
    </row>
    <row r="1666" spans="1:14" x14ac:dyDescent="0.35">
      <c r="A1666" s="2">
        <v>45445</v>
      </c>
      <c r="B1666" t="s">
        <v>57</v>
      </c>
      <c r="C1666" t="s">
        <v>74</v>
      </c>
      <c r="D1666" t="s">
        <v>22</v>
      </c>
      <c r="E1666" t="s">
        <v>92</v>
      </c>
      <c r="F1666">
        <v>8</v>
      </c>
      <c r="G1666">
        <v>212.13</v>
      </c>
      <c r="H1666" t="s">
        <v>35</v>
      </c>
      <c r="I1666" t="s">
        <v>2473</v>
      </c>
      <c r="J1666" t="s">
        <v>37</v>
      </c>
      <c r="K1666" t="s">
        <v>60</v>
      </c>
      <c r="L1666" t="s">
        <v>28</v>
      </c>
      <c r="M1666" t="s">
        <v>101</v>
      </c>
      <c r="N1666">
        <v>1697.04</v>
      </c>
    </row>
    <row r="1667" spans="1:14" x14ac:dyDescent="0.35">
      <c r="A1667" s="2">
        <v>45608</v>
      </c>
      <c r="B1667" t="s">
        <v>1014</v>
      </c>
      <c r="C1667" t="s">
        <v>71</v>
      </c>
      <c r="D1667" t="s">
        <v>52</v>
      </c>
      <c r="E1667" t="s">
        <v>63</v>
      </c>
      <c r="F1667">
        <v>8</v>
      </c>
      <c r="G1667">
        <v>159.36000000000001</v>
      </c>
      <c r="H1667" t="s">
        <v>64</v>
      </c>
      <c r="I1667" t="s">
        <v>2474</v>
      </c>
      <c r="J1667" t="s">
        <v>26</v>
      </c>
      <c r="K1667" t="s">
        <v>78</v>
      </c>
      <c r="L1667" t="s">
        <v>28</v>
      </c>
      <c r="M1667" t="s">
        <v>49</v>
      </c>
      <c r="N1667">
        <v>1274.8800000000001</v>
      </c>
    </row>
    <row r="1668" spans="1:14" x14ac:dyDescent="0.35">
      <c r="A1668" s="2">
        <v>45228</v>
      </c>
      <c r="B1668" t="s">
        <v>564</v>
      </c>
      <c r="C1668" t="s">
        <v>89</v>
      </c>
      <c r="D1668" t="s">
        <v>33</v>
      </c>
      <c r="E1668" t="s">
        <v>83</v>
      </c>
      <c r="F1668">
        <v>6</v>
      </c>
      <c r="G1668">
        <v>131.09</v>
      </c>
      <c r="H1668" t="s">
        <v>35</v>
      </c>
      <c r="I1668" t="s">
        <v>2475</v>
      </c>
      <c r="J1668" t="s">
        <v>55</v>
      </c>
      <c r="K1668" t="s">
        <v>38</v>
      </c>
      <c r="L1668" t="s">
        <v>66</v>
      </c>
      <c r="M1668" t="s">
        <v>101</v>
      </c>
      <c r="N1668">
        <v>786.54</v>
      </c>
    </row>
    <row r="1669" spans="1:14" x14ac:dyDescent="0.35">
      <c r="A1669" s="2">
        <v>45107</v>
      </c>
      <c r="B1669" t="s">
        <v>2476</v>
      </c>
      <c r="C1669" t="s">
        <v>86</v>
      </c>
      <c r="D1669" t="s">
        <v>33</v>
      </c>
      <c r="E1669" t="s">
        <v>34</v>
      </c>
      <c r="F1669">
        <v>3</v>
      </c>
      <c r="G1669">
        <v>43.79</v>
      </c>
      <c r="H1669" t="s">
        <v>35</v>
      </c>
      <c r="I1669" t="s">
        <v>2477</v>
      </c>
      <c r="J1669" t="s">
        <v>94</v>
      </c>
      <c r="K1669" t="s">
        <v>38</v>
      </c>
      <c r="L1669" t="s">
        <v>39</v>
      </c>
      <c r="M1669" t="s">
        <v>61</v>
      </c>
      <c r="N1669">
        <v>131.37</v>
      </c>
    </row>
    <row r="1670" spans="1:14" x14ac:dyDescent="0.35">
      <c r="A1670" s="2">
        <v>45011</v>
      </c>
      <c r="B1670" t="s">
        <v>204</v>
      </c>
      <c r="C1670" t="s">
        <v>51</v>
      </c>
      <c r="D1670" t="s">
        <v>33</v>
      </c>
      <c r="E1670" t="s">
        <v>34</v>
      </c>
      <c r="F1670">
        <v>9</v>
      </c>
      <c r="G1670">
        <v>386.54</v>
      </c>
      <c r="H1670" t="s">
        <v>35</v>
      </c>
      <c r="I1670" t="s">
        <v>2478</v>
      </c>
      <c r="J1670" t="s">
        <v>26</v>
      </c>
      <c r="K1670" t="s">
        <v>60</v>
      </c>
      <c r="L1670" t="s">
        <v>39</v>
      </c>
      <c r="M1670" t="s">
        <v>101</v>
      </c>
      <c r="N1670">
        <v>3478.86</v>
      </c>
    </row>
    <row r="1671" spans="1:14" x14ac:dyDescent="0.35">
      <c r="A1671" s="2">
        <v>45794</v>
      </c>
      <c r="B1671" t="s">
        <v>1699</v>
      </c>
      <c r="C1671" t="s">
        <v>89</v>
      </c>
      <c r="D1671" t="s">
        <v>33</v>
      </c>
      <c r="E1671" t="s">
        <v>53</v>
      </c>
      <c r="F1671">
        <v>6</v>
      </c>
      <c r="G1671">
        <v>159.03</v>
      </c>
      <c r="H1671" t="s">
        <v>44</v>
      </c>
      <c r="I1671" t="s">
        <v>2479</v>
      </c>
      <c r="J1671" t="s">
        <v>97</v>
      </c>
      <c r="K1671" t="s">
        <v>78</v>
      </c>
      <c r="L1671" t="s">
        <v>39</v>
      </c>
      <c r="M1671" t="s">
        <v>79</v>
      </c>
      <c r="N1671">
        <v>954.18000000000006</v>
      </c>
    </row>
    <row r="1672" spans="1:14" x14ac:dyDescent="0.35">
      <c r="A1672" s="2">
        <v>45797</v>
      </c>
      <c r="B1672" t="s">
        <v>486</v>
      </c>
      <c r="C1672" t="s">
        <v>86</v>
      </c>
      <c r="D1672" t="s">
        <v>52</v>
      </c>
      <c r="E1672" t="s">
        <v>34</v>
      </c>
      <c r="F1672">
        <v>7</v>
      </c>
      <c r="G1672">
        <v>346.39</v>
      </c>
      <c r="H1672" t="s">
        <v>44</v>
      </c>
      <c r="I1672" t="s">
        <v>2480</v>
      </c>
      <c r="J1672" t="s">
        <v>26</v>
      </c>
      <c r="K1672" t="s">
        <v>38</v>
      </c>
      <c r="L1672" t="s">
        <v>66</v>
      </c>
      <c r="M1672" t="s">
        <v>49</v>
      </c>
      <c r="N1672">
        <v>2424.73</v>
      </c>
    </row>
    <row r="1673" spans="1:14" x14ac:dyDescent="0.35">
      <c r="A1673" s="2">
        <v>45608</v>
      </c>
      <c r="B1673" t="s">
        <v>1307</v>
      </c>
      <c r="C1673" t="s">
        <v>106</v>
      </c>
      <c r="D1673" t="s">
        <v>22</v>
      </c>
      <c r="E1673" t="s">
        <v>63</v>
      </c>
      <c r="F1673">
        <v>7</v>
      </c>
      <c r="G1673">
        <v>381.19</v>
      </c>
      <c r="H1673" t="s">
        <v>58</v>
      </c>
      <c r="I1673" t="s">
        <v>2481</v>
      </c>
      <c r="J1673" t="s">
        <v>55</v>
      </c>
      <c r="K1673" t="s">
        <v>78</v>
      </c>
      <c r="L1673" t="s">
        <v>28</v>
      </c>
      <c r="M1673" t="s">
        <v>49</v>
      </c>
      <c r="N1673">
        <v>2668.33</v>
      </c>
    </row>
    <row r="1674" spans="1:14" x14ac:dyDescent="0.35">
      <c r="A1674" s="2">
        <v>45576</v>
      </c>
      <c r="B1674" t="s">
        <v>1554</v>
      </c>
      <c r="C1674" t="s">
        <v>47</v>
      </c>
      <c r="D1674" t="s">
        <v>33</v>
      </c>
      <c r="E1674" t="s">
        <v>53</v>
      </c>
      <c r="F1674">
        <v>4</v>
      </c>
      <c r="G1674">
        <v>268.92</v>
      </c>
      <c r="H1674" t="s">
        <v>44</v>
      </c>
      <c r="I1674" t="s">
        <v>2482</v>
      </c>
      <c r="J1674" t="s">
        <v>94</v>
      </c>
      <c r="K1674" t="s">
        <v>38</v>
      </c>
      <c r="L1674" t="s">
        <v>39</v>
      </c>
      <c r="M1674" t="s">
        <v>61</v>
      </c>
      <c r="N1674">
        <v>1075.68</v>
      </c>
    </row>
    <row r="1675" spans="1:14" x14ac:dyDescent="0.35">
      <c r="A1675" s="2">
        <v>45662</v>
      </c>
      <c r="B1675" t="s">
        <v>250</v>
      </c>
      <c r="C1675" t="s">
        <v>89</v>
      </c>
      <c r="D1675" t="s">
        <v>42</v>
      </c>
      <c r="E1675" t="s">
        <v>92</v>
      </c>
      <c r="F1675">
        <v>7</v>
      </c>
      <c r="G1675">
        <v>33.799999999999997</v>
      </c>
      <c r="H1675" t="s">
        <v>35</v>
      </c>
      <c r="I1675" t="s">
        <v>2483</v>
      </c>
      <c r="J1675" t="s">
        <v>94</v>
      </c>
      <c r="K1675" t="s">
        <v>38</v>
      </c>
      <c r="L1675" t="s">
        <v>66</v>
      </c>
      <c r="M1675" t="s">
        <v>101</v>
      </c>
      <c r="N1675">
        <v>236.6</v>
      </c>
    </row>
    <row r="1676" spans="1:14" x14ac:dyDescent="0.35">
      <c r="A1676" s="2">
        <v>45178</v>
      </c>
      <c r="B1676" t="s">
        <v>1674</v>
      </c>
      <c r="C1676" t="s">
        <v>89</v>
      </c>
      <c r="D1676" t="s">
        <v>22</v>
      </c>
      <c r="E1676" t="s">
        <v>83</v>
      </c>
      <c r="F1676">
        <v>9</v>
      </c>
      <c r="G1676">
        <v>112.07</v>
      </c>
      <c r="H1676" t="s">
        <v>58</v>
      </c>
      <c r="I1676" t="s">
        <v>2484</v>
      </c>
      <c r="J1676" t="s">
        <v>26</v>
      </c>
      <c r="K1676" t="s">
        <v>38</v>
      </c>
      <c r="L1676" t="s">
        <v>39</v>
      </c>
      <c r="M1676" t="s">
        <v>79</v>
      </c>
      <c r="N1676">
        <v>1008.63</v>
      </c>
    </row>
    <row r="1677" spans="1:14" x14ac:dyDescent="0.35">
      <c r="A1677" s="2">
        <v>45064</v>
      </c>
      <c r="B1677" t="s">
        <v>145</v>
      </c>
      <c r="C1677" t="s">
        <v>71</v>
      </c>
      <c r="D1677" t="s">
        <v>22</v>
      </c>
      <c r="E1677" t="s">
        <v>53</v>
      </c>
      <c r="F1677">
        <v>9</v>
      </c>
      <c r="G1677">
        <v>29.42</v>
      </c>
      <c r="H1677" t="s">
        <v>58</v>
      </c>
      <c r="I1677" t="s">
        <v>2485</v>
      </c>
      <c r="J1677" t="s">
        <v>94</v>
      </c>
      <c r="K1677" t="s">
        <v>27</v>
      </c>
      <c r="L1677" t="s">
        <v>28</v>
      </c>
      <c r="M1677" t="s">
        <v>56</v>
      </c>
      <c r="N1677">
        <v>264.77999999999997</v>
      </c>
    </row>
    <row r="1678" spans="1:14" x14ac:dyDescent="0.35">
      <c r="A1678" s="2">
        <v>44972</v>
      </c>
      <c r="B1678" t="s">
        <v>490</v>
      </c>
      <c r="C1678" t="s">
        <v>74</v>
      </c>
      <c r="D1678" t="s">
        <v>22</v>
      </c>
      <c r="E1678" t="s">
        <v>43</v>
      </c>
      <c r="F1678">
        <v>4</v>
      </c>
      <c r="G1678">
        <v>93.92</v>
      </c>
      <c r="H1678" t="s">
        <v>58</v>
      </c>
      <c r="I1678" t="s">
        <v>2486</v>
      </c>
      <c r="J1678" t="s">
        <v>97</v>
      </c>
      <c r="K1678" t="s">
        <v>60</v>
      </c>
      <c r="L1678" t="s">
        <v>66</v>
      </c>
      <c r="M1678" t="s">
        <v>67</v>
      </c>
      <c r="N1678">
        <v>375.68</v>
      </c>
    </row>
    <row r="1679" spans="1:14" x14ac:dyDescent="0.35">
      <c r="A1679" s="2">
        <v>45624</v>
      </c>
      <c r="B1679" t="s">
        <v>174</v>
      </c>
      <c r="C1679" t="s">
        <v>74</v>
      </c>
      <c r="D1679" t="s">
        <v>42</v>
      </c>
      <c r="E1679" t="s">
        <v>53</v>
      </c>
      <c r="F1679">
        <v>2</v>
      </c>
      <c r="G1679">
        <v>328.66</v>
      </c>
      <c r="H1679" t="s">
        <v>64</v>
      </c>
      <c r="I1679" t="s">
        <v>2487</v>
      </c>
      <c r="J1679" t="s">
        <v>26</v>
      </c>
      <c r="K1679" t="s">
        <v>60</v>
      </c>
      <c r="L1679" t="s">
        <v>28</v>
      </c>
      <c r="M1679" t="s">
        <v>56</v>
      </c>
      <c r="N1679">
        <v>657.32</v>
      </c>
    </row>
    <row r="1680" spans="1:14" x14ac:dyDescent="0.35">
      <c r="A1680" s="2">
        <v>45081</v>
      </c>
      <c r="B1680" t="s">
        <v>511</v>
      </c>
      <c r="C1680" t="s">
        <v>51</v>
      </c>
      <c r="D1680" t="s">
        <v>42</v>
      </c>
      <c r="E1680" t="s">
        <v>53</v>
      </c>
      <c r="F1680">
        <v>3</v>
      </c>
      <c r="G1680">
        <v>60.13</v>
      </c>
      <c r="H1680" t="s">
        <v>24</v>
      </c>
      <c r="I1680" t="s">
        <v>2488</v>
      </c>
      <c r="J1680" t="s">
        <v>97</v>
      </c>
      <c r="K1680" t="s">
        <v>78</v>
      </c>
      <c r="L1680" t="s">
        <v>39</v>
      </c>
      <c r="M1680" t="s">
        <v>101</v>
      </c>
      <c r="N1680">
        <v>180.39</v>
      </c>
    </row>
    <row r="1681" spans="1:14" x14ac:dyDescent="0.35">
      <c r="A1681" s="2">
        <v>45234</v>
      </c>
      <c r="B1681" t="s">
        <v>1419</v>
      </c>
      <c r="C1681" t="s">
        <v>81</v>
      </c>
      <c r="D1681" t="s">
        <v>42</v>
      </c>
      <c r="E1681" t="s">
        <v>63</v>
      </c>
      <c r="F1681">
        <v>2</v>
      </c>
      <c r="G1681">
        <v>139.88999999999999</v>
      </c>
      <c r="H1681" t="s">
        <v>64</v>
      </c>
      <c r="I1681" t="s">
        <v>2489</v>
      </c>
      <c r="J1681" t="s">
        <v>37</v>
      </c>
      <c r="K1681" t="s">
        <v>60</v>
      </c>
      <c r="L1681" t="s">
        <v>66</v>
      </c>
      <c r="M1681" t="s">
        <v>79</v>
      </c>
      <c r="N1681">
        <v>279.77999999999997</v>
      </c>
    </row>
    <row r="1682" spans="1:14" x14ac:dyDescent="0.35">
      <c r="A1682" s="2">
        <v>45809</v>
      </c>
      <c r="B1682" t="s">
        <v>775</v>
      </c>
      <c r="C1682" t="s">
        <v>74</v>
      </c>
      <c r="D1682" t="s">
        <v>22</v>
      </c>
      <c r="E1682" t="s">
        <v>34</v>
      </c>
      <c r="F1682">
        <v>10</v>
      </c>
      <c r="G1682">
        <v>258.14</v>
      </c>
      <c r="H1682" t="s">
        <v>35</v>
      </c>
      <c r="I1682" t="s">
        <v>2490</v>
      </c>
      <c r="J1682" t="s">
        <v>37</v>
      </c>
      <c r="K1682" t="s">
        <v>27</v>
      </c>
      <c r="L1682" t="s">
        <v>39</v>
      </c>
      <c r="M1682" t="s">
        <v>101</v>
      </c>
      <c r="N1682">
        <v>2581.4</v>
      </c>
    </row>
    <row r="1683" spans="1:14" x14ac:dyDescent="0.35">
      <c r="A1683" s="2">
        <v>44939</v>
      </c>
      <c r="B1683" t="s">
        <v>2491</v>
      </c>
      <c r="C1683" t="s">
        <v>106</v>
      </c>
      <c r="D1683" t="s">
        <v>22</v>
      </c>
      <c r="E1683" t="s">
        <v>43</v>
      </c>
      <c r="F1683">
        <v>8</v>
      </c>
      <c r="G1683">
        <v>236.42</v>
      </c>
      <c r="H1683" t="s">
        <v>44</v>
      </c>
      <c r="I1683" t="s">
        <v>2492</v>
      </c>
      <c r="J1683" t="s">
        <v>55</v>
      </c>
      <c r="K1683" t="s">
        <v>38</v>
      </c>
      <c r="L1683" t="s">
        <v>28</v>
      </c>
      <c r="M1683" t="s">
        <v>61</v>
      </c>
      <c r="N1683">
        <v>1891.36</v>
      </c>
    </row>
    <row r="1684" spans="1:14" x14ac:dyDescent="0.35">
      <c r="A1684" s="2">
        <v>45453</v>
      </c>
      <c r="B1684" t="s">
        <v>311</v>
      </c>
      <c r="C1684" t="s">
        <v>86</v>
      </c>
      <c r="D1684" t="s">
        <v>52</v>
      </c>
      <c r="E1684" t="s">
        <v>92</v>
      </c>
      <c r="F1684">
        <v>1</v>
      </c>
      <c r="G1684">
        <v>309.89</v>
      </c>
      <c r="H1684" t="s">
        <v>35</v>
      </c>
      <c r="I1684" t="s">
        <v>2493</v>
      </c>
      <c r="J1684" t="s">
        <v>26</v>
      </c>
      <c r="K1684" t="s">
        <v>78</v>
      </c>
      <c r="L1684" t="s">
        <v>39</v>
      </c>
      <c r="M1684" t="s">
        <v>29</v>
      </c>
      <c r="N1684">
        <v>309.89</v>
      </c>
    </row>
    <row r="1685" spans="1:14" x14ac:dyDescent="0.35">
      <c r="A1685" s="2">
        <v>45433</v>
      </c>
      <c r="B1685" t="s">
        <v>935</v>
      </c>
      <c r="C1685" t="s">
        <v>51</v>
      </c>
      <c r="D1685" t="s">
        <v>42</v>
      </c>
      <c r="E1685" t="s">
        <v>83</v>
      </c>
      <c r="F1685">
        <v>7</v>
      </c>
      <c r="G1685">
        <v>291.64</v>
      </c>
      <c r="H1685" t="s">
        <v>58</v>
      </c>
      <c r="I1685" t="s">
        <v>2494</v>
      </c>
      <c r="J1685" t="s">
        <v>37</v>
      </c>
      <c r="K1685" t="s">
        <v>27</v>
      </c>
      <c r="L1685" t="s">
        <v>39</v>
      </c>
      <c r="M1685" t="s">
        <v>49</v>
      </c>
      <c r="N1685">
        <v>2041.48</v>
      </c>
    </row>
    <row r="1686" spans="1:14" x14ac:dyDescent="0.35">
      <c r="A1686" s="2">
        <v>45785</v>
      </c>
      <c r="B1686" t="s">
        <v>1510</v>
      </c>
      <c r="C1686" t="s">
        <v>21</v>
      </c>
      <c r="D1686" t="s">
        <v>52</v>
      </c>
      <c r="E1686" t="s">
        <v>83</v>
      </c>
      <c r="F1686">
        <v>10</v>
      </c>
      <c r="G1686">
        <v>84.01</v>
      </c>
      <c r="H1686" t="s">
        <v>64</v>
      </c>
      <c r="I1686" t="s">
        <v>2495</v>
      </c>
      <c r="J1686" t="s">
        <v>26</v>
      </c>
      <c r="K1686" t="s">
        <v>60</v>
      </c>
      <c r="L1686" t="s">
        <v>66</v>
      </c>
      <c r="M1686" t="s">
        <v>56</v>
      </c>
      <c r="N1686">
        <v>840.1</v>
      </c>
    </row>
    <row r="1687" spans="1:14" x14ac:dyDescent="0.35">
      <c r="A1687" s="2">
        <v>45194</v>
      </c>
      <c r="B1687" t="s">
        <v>248</v>
      </c>
      <c r="C1687" t="s">
        <v>81</v>
      </c>
      <c r="D1687" t="s">
        <v>42</v>
      </c>
      <c r="E1687" t="s">
        <v>23</v>
      </c>
      <c r="F1687">
        <v>3</v>
      </c>
      <c r="G1687">
        <v>60.66</v>
      </c>
      <c r="H1687" t="s">
        <v>64</v>
      </c>
      <c r="I1687" t="s">
        <v>2496</v>
      </c>
      <c r="J1687" t="s">
        <v>94</v>
      </c>
      <c r="K1687" t="s">
        <v>78</v>
      </c>
      <c r="L1687" t="s">
        <v>66</v>
      </c>
      <c r="M1687" t="s">
        <v>29</v>
      </c>
      <c r="N1687">
        <v>181.98</v>
      </c>
    </row>
    <row r="1688" spans="1:14" x14ac:dyDescent="0.35">
      <c r="A1688" s="2">
        <v>45702</v>
      </c>
      <c r="B1688" t="s">
        <v>569</v>
      </c>
      <c r="C1688" t="s">
        <v>71</v>
      </c>
      <c r="D1688" t="s">
        <v>42</v>
      </c>
      <c r="E1688" t="s">
        <v>34</v>
      </c>
      <c r="F1688">
        <v>5</v>
      </c>
      <c r="G1688">
        <v>364.23</v>
      </c>
      <c r="H1688" t="s">
        <v>58</v>
      </c>
      <c r="I1688" t="s">
        <v>2497</v>
      </c>
      <c r="J1688" t="s">
        <v>55</v>
      </c>
      <c r="K1688" t="s">
        <v>60</v>
      </c>
      <c r="L1688" t="s">
        <v>39</v>
      </c>
      <c r="M1688" t="s">
        <v>61</v>
      </c>
      <c r="N1688">
        <v>1821.15</v>
      </c>
    </row>
    <row r="1689" spans="1:14" x14ac:dyDescent="0.35">
      <c r="A1689" s="2">
        <v>45159</v>
      </c>
      <c r="B1689" t="s">
        <v>1049</v>
      </c>
      <c r="C1689" t="s">
        <v>86</v>
      </c>
      <c r="D1689" t="s">
        <v>42</v>
      </c>
      <c r="E1689" t="s">
        <v>83</v>
      </c>
      <c r="F1689">
        <v>7</v>
      </c>
      <c r="G1689">
        <v>55.08</v>
      </c>
      <c r="H1689" t="s">
        <v>35</v>
      </c>
      <c r="I1689" t="s">
        <v>2498</v>
      </c>
      <c r="J1689" t="s">
        <v>94</v>
      </c>
      <c r="K1689" t="s">
        <v>78</v>
      </c>
      <c r="L1689" t="s">
        <v>66</v>
      </c>
      <c r="M1689" t="s">
        <v>29</v>
      </c>
      <c r="N1689">
        <v>385.56</v>
      </c>
    </row>
    <row r="1690" spans="1:14" x14ac:dyDescent="0.35">
      <c r="A1690" s="2">
        <v>45399</v>
      </c>
      <c r="B1690" t="s">
        <v>2090</v>
      </c>
      <c r="C1690" t="s">
        <v>74</v>
      </c>
      <c r="D1690" t="s">
        <v>33</v>
      </c>
      <c r="E1690" t="s">
        <v>53</v>
      </c>
      <c r="F1690">
        <v>2</v>
      </c>
      <c r="G1690">
        <v>235.68</v>
      </c>
      <c r="H1690" t="s">
        <v>35</v>
      </c>
      <c r="I1690" t="s">
        <v>2499</v>
      </c>
      <c r="J1690" t="s">
        <v>37</v>
      </c>
      <c r="K1690" t="s">
        <v>78</v>
      </c>
      <c r="L1690" t="s">
        <v>39</v>
      </c>
      <c r="M1690" t="s">
        <v>67</v>
      </c>
      <c r="N1690">
        <v>471.36</v>
      </c>
    </row>
    <row r="1691" spans="1:14" x14ac:dyDescent="0.35">
      <c r="A1691" s="2">
        <v>45304</v>
      </c>
      <c r="B1691" t="s">
        <v>2324</v>
      </c>
      <c r="C1691" t="s">
        <v>106</v>
      </c>
      <c r="D1691" t="s">
        <v>33</v>
      </c>
      <c r="E1691" t="s">
        <v>23</v>
      </c>
      <c r="F1691">
        <v>10</v>
      </c>
      <c r="G1691">
        <v>278.33</v>
      </c>
      <c r="H1691" t="s">
        <v>35</v>
      </c>
      <c r="I1691" t="s">
        <v>2500</v>
      </c>
      <c r="J1691" t="s">
        <v>26</v>
      </c>
      <c r="K1691" t="s">
        <v>38</v>
      </c>
      <c r="L1691" t="s">
        <v>39</v>
      </c>
      <c r="M1691" t="s">
        <v>79</v>
      </c>
      <c r="N1691">
        <v>2783.3</v>
      </c>
    </row>
    <row r="1692" spans="1:14" x14ac:dyDescent="0.35">
      <c r="A1692" s="2">
        <v>45685</v>
      </c>
      <c r="B1692" t="s">
        <v>390</v>
      </c>
      <c r="C1692" t="s">
        <v>74</v>
      </c>
      <c r="D1692" t="s">
        <v>33</v>
      </c>
      <c r="E1692" t="s">
        <v>34</v>
      </c>
      <c r="F1692">
        <v>7</v>
      </c>
      <c r="G1692">
        <v>334.22</v>
      </c>
      <c r="H1692" t="s">
        <v>58</v>
      </c>
      <c r="I1692" t="s">
        <v>2501</v>
      </c>
      <c r="J1692" t="s">
        <v>55</v>
      </c>
      <c r="K1692" t="s">
        <v>78</v>
      </c>
      <c r="L1692" t="s">
        <v>28</v>
      </c>
      <c r="M1692" t="s">
        <v>49</v>
      </c>
      <c r="N1692">
        <v>2339.54</v>
      </c>
    </row>
    <row r="1693" spans="1:14" x14ac:dyDescent="0.35">
      <c r="A1693" s="2">
        <v>45097</v>
      </c>
      <c r="B1693" t="s">
        <v>222</v>
      </c>
      <c r="C1693" t="s">
        <v>86</v>
      </c>
      <c r="D1693" t="s">
        <v>33</v>
      </c>
      <c r="E1693" t="s">
        <v>43</v>
      </c>
      <c r="F1693">
        <v>9</v>
      </c>
      <c r="G1693">
        <v>316.2</v>
      </c>
      <c r="H1693" t="s">
        <v>58</v>
      </c>
      <c r="I1693" t="s">
        <v>2502</v>
      </c>
      <c r="J1693" t="s">
        <v>26</v>
      </c>
      <c r="K1693" t="s">
        <v>60</v>
      </c>
      <c r="L1693" t="s">
        <v>28</v>
      </c>
      <c r="M1693" t="s">
        <v>49</v>
      </c>
      <c r="N1693">
        <v>2845.8</v>
      </c>
    </row>
    <row r="1694" spans="1:14" x14ac:dyDescent="0.35">
      <c r="A1694" s="2">
        <v>45567</v>
      </c>
      <c r="B1694" t="s">
        <v>1611</v>
      </c>
      <c r="C1694" t="s">
        <v>71</v>
      </c>
      <c r="D1694" t="s">
        <v>22</v>
      </c>
      <c r="E1694" t="s">
        <v>53</v>
      </c>
      <c r="F1694">
        <v>9</v>
      </c>
      <c r="G1694">
        <v>261.12</v>
      </c>
      <c r="H1694" t="s">
        <v>44</v>
      </c>
      <c r="I1694" t="s">
        <v>2503</v>
      </c>
      <c r="J1694" t="s">
        <v>55</v>
      </c>
      <c r="K1694" t="s">
        <v>78</v>
      </c>
      <c r="L1694" t="s">
        <v>39</v>
      </c>
      <c r="M1694" t="s">
        <v>67</v>
      </c>
      <c r="N1694">
        <v>2350.08</v>
      </c>
    </row>
    <row r="1695" spans="1:14" x14ac:dyDescent="0.35">
      <c r="A1695" s="2">
        <v>45234</v>
      </c>
      <c r="B1695" t="s">
        <v>2504</v>
      </c>
      <c r="C1695" t="s">
        <v>74</v>
      </c>
      <c r="D1695" t="s">
        <v>22</v>
      </c>
      <c r="E1695" t="s">
        <v>63</v>
      </c>
      <c r="F1695">
        <v>5</v>
      </c>
      <c r="G1695">
        <v>152.94999999999999</v>
      </c>
      <c r="H1695" t="s">
        <v>64</v>
      </c>
      <c r="I1695" t="s">
        <v>2505</v>
      </c>
      <c r="J1695" t="s">
        <v>55</v>
      </c>
      <c r="K1695" t="s">
        <v>38</v>
      </c>
      <c r="L1695" t="s">
        <v>39</v>
      </c>
      <c r="M1695" t="s">
        <v>79</v>
      </c>
      <c r="N1695">
        <v>764.75</v>
      </c>
    </row>
    <row r="1696" spans="1:14" x14ac:dyDescent="0.35">
      <c r="A1696" s="2">
        <v>45496</v>
      </c>
      <c r="B1696" t="s">
        <v>1861</v>
      </c>
      <c r="C1696" t="s">
        <v>47</v>
      </c>
      <c r="D1696" t="s">
        <v>42</v>
      </c>
      <c r="E1696" t="s">
        <v>53</v>
      </c>
      <c r="F1696">
        <v>1</v>
      </c>
      <c r="G1696">
        <v>273.63</v>
      </c>
      <c r="H1696" t="s">
        <v>44</v>
      </c>
      <c r="I1696" t="s">
        <v>2506</v>
      </c>
      <c r="J1696" t="s">
        <v>37</v>
      </c>
      <c r="K1696" t="s">
        <v>27</v>
      </c>
      <c r="L1696" t="s">
        <v>28</v>
      </c>
      <c r="M1696" t="s">
        <v>49</v>
      </c>
      <c r="N1696">
        <v>273.63</v>
      </c>
    </row>
    <row r="1697" spans="1:14" x14ac:dyDescent="0.35">
      <c r="A1697" s="2">
        <v>45288</v>
      </c>
      <c r="B1697" t="s">
        <v>425</v>
      </c>
      <c r="C1697" t="s">
        <v>47</v>
      </c>
      <c r="D1697" t="s">
        <v>52</v>
      </c>
      <c r="E1697" t="s">
        <v>63</v>
      </c>
      <c r="F1697">
        <v>2</v>
      </c>
      <c r="G1697">
        <v>100.43</v>
      </c>
      <c r="H1697" t="s">
        <v>44</v>
      </c>
      <c r="I1697" t="s">
        <v>2507</v>
      </c>
      <c r="J1697" t="s">
        <v>97</v>
      </c>
      <c r="K1697" t="s">
        <v>78</v>
      </c>
      <c r="L1697" t="s">
        <v>66</v>
      </c>
      <c r="M1697" t="s">
        <v>56</v>
      </c>
      <c r="N1697">
        <v>200.86</v>
      </c>
    </row>
    <row r="1698" spans="1:14" x14ac:dyDescent="0.35">
      <c r="A1698" s="2">
        <v>45023</v>
      </c>
      <c r="B1698" t="s">
        <v>1351</v>
      </c>
      <c r="C1698" t="s">
        <v>89</v>
      </c>
      <c r="D1698" t="s">
        <v>22</v>
      </c>
      <c r="E1698" t="s">
        <v>63</v>
      </c>
      <c r="F1698">
        <v>4</v>
      </c>
      <c r="G1698">
        <v>129.51</v>
      </c>
      <c r="H1698" t="s">
        <v>44</v>
      </c>
      <c r="I1698" t="s">
        <v>2508</v>
      </c>
      <c r="J1698" t="s">
        <v>97</v>
      </c>
      <c r="K1698" t="s">
        <v>38</v>
      </c>
      <c r="L1698" t="s">
        <v>28</v>
      </c>
      <c r="M1698" t="s">
        <v>61</v>
      </c>
      <c r="N1698">
        <v>518.04</v>
      </c>
    </row>
    <row r="1699" spans="1:14" x14ac:dyDescent="0.35">
      <c r="A1699" s="2">
        <v>44974</v>
      </c>
      <c r="B1699" t="s">
        <v>2509</v>
      </c>
      <c r="C1699" t="s">
        <v>51</v>
      </c>
      <c r="D1699" t="s">
        <v>22</v>
      </c>
      <c r="E1699" t="s">
        <v>83</v>
      </c>
      <c r="F1699">
        <v>1</v>
      </c>
      <c r="G1699">
        <v>196.22</v>
      </c>
      <c r="H1699" t="s">
        <v>58</v>
      </c>
      <c r="I1699" t="s">
        <v>2510</v>
      </c>
      <c r="J1699" t="s">
        <v>97</v>
      </c>
      <c r="K1699" t="s">
        <v>60</v>
      </c>
      <c r="L1699" t="s">
        <v>28</v>
      </c>
      <c r="M1699" t="s">
        <v>61</v>
      </c>
      <c r="N1699">
        <v>196.22</v>
      </c>
    </row>
    <row r="1700" spans="1:14" x14ac:dyDescent="0.35">
      <c r="A1700" s="2">
        <v>45740</v>
      </c>
      <c r="B1700" t="s">
        <v>629</v>
      </c>
      <c r="C1700" t="s">
        <v>47</v>
      </c>
      <c r="D1700" t="s">
        <v>22</v>
      </c>
      <c r="E1700" t="s">
        <v>63</v>
      </c>
      <c r="F1700">
        <v>9</v>
      </c>
      <c r="G1700">
        <v>341.6</v>
      </c>
      <c r="H1700" t="s">
        <v>44</v>
      </c>
      <c r="I1700" t="s">
        <v>2511</v>
      </c>
      <c r="J1700" t="s">
        <v>37</v>
      </c>
      <c r="K1700" t="s">
        <v>38</v>
      </c>
      <c r="L1700" t="s">
        <v>28</v>
      </c>
      <c r="M1700" t="s">
        <v>29</v>
      </c>
      <c r="N1700">
        <v>3074.4</v>
      </c>
    </row>
    <row r="1701" spans="1:14" x14ac:dyDescent="0.35">
      <c r="A1701" s="2">
        <v>45152</v>
      </c>
      <c r="B1701" t="s">
        <v>1255</v>
      </c>
      <c r="C1701" t="s">
        <v>71</v>
      </c>
      <c r="D1701" t="s">
        <v>22</v>
      </c>
      <c r="E1701" t="s">
        <v>92</v>
      </c>
      <c r="F1701">
        <v>1</v>
      </c>
      <c r="G1701">
        <v>371.27</v>
      </c>
      <c r="H1701" t="s">
        <v>58</v>
      </c>
      <c r="I1701" t="s">
        <v>2512</v>
      </c>
      <c r="J1701" t="s">
        <v>97</v>
      </c>
      <c r="K1701" t="s">
        <v>78</v>
      </c>
      <c r="L1701" t="s">
        <v>39</v>
      </c>
      <c r="M1701" t="s">
        <v>29</v>
      </c>
      <c r="N1701">
        <v>371.27</v>
      </c>
    </row>
    <row r="1702" spans="1:14" x14ac:dyDescent="0.35">
      <c r="A1702" s="2">
        <v>45487</v>
      </c>
      <c r="B1702" t="s">
        <v>174</v>
      </c>
      <c r="C1702" t="s">
        <v>74</v>
      </c>
      <c r="D1702" t="s">
        <v>52</v>
      </c>
      <c r="E1702" t="s">
        <v>83</v>
      </c>
      <c r="F1702">
        <v>5</v>
      </c>
      <c r="G1702">
        <v>132.68</v>
      </c>
      <c r="H1702" t="s">
        <v>44</v>
      </c>
      <c r="I1702" t="s">
        <v>2513</v>
      </c>
      <c r="J1702" t="s">
        <v>37</v>
      </c>
      <c r="K1702" t="s">
        <v>60</v>
      </c>
      <c r="L1702" t="s">
        <v>28</v>
      </c>
      <c r="M1702" t="s">
        <v>101</v>
      </c>
      <c r="N1702">
        <v>663.40000000000009</v>
      </c>
    </row>
    <row r="1703" spans="1:14" x14ac:dyDescent="0.35">
      <c r="A1703" s="2">
        <v>45763</v>
      </c>
      <c r="B1703" t="s">
        <v>982</v>
      </c>
      <c r="C1703" t="s">
        <v>74</v>
      </c>
      <c r="D1703" t="s">
        <v>33</v>
      </c>
      <c r="E1703" t="s">
        <v>23</v>
      </c>
      <c r="F1703">
        <v>3</v>
      </c>
      <c r="G1703">
        <v>21.15</v>
      </c>
      <c r="H1703" t="s">
        <v>44</v>
      </c>
      <c r="I1703" t="s">
        <v>2514</v>
      </c>
      <c r="J1703" t="s">
        <v>55</v>
      </c>
      <c r="K1703" t="s">
        <v>78</v>
      </c>
      <c r="L1703" t="s">
        <v>28</v>
      </c>
      <c r="M1703" t="s">
        <v>67</v>
      </c>
      <c r="N1703">
        <v>63.45</v>
      </c>
    </row>
    <row r="1704" spans="1:14" x14ac:dyDescent="0.35">
      <c r="A1704" s="2">
        <v>45049</v>
      </c>
      <c r="B1704" t="s">
        <v>1213</v>
      </c>
      <c r="C1704" t="s">
        <v>106</v>
      </c>
      <c r="D1704" t="s">
        <v>42</v>
      </c>
      <c r="E1704" t="s">
        <v>53</v>
      </c>
      <c r="F1704">
        <v>7</v>
      </c>
      <c r="G1704">
        <v>262.11</v>
      </c>
      <c r="H1704" t="s">
        <v>35</v>
      </c>
      <c r="I1704" t="s">
        <v>2515</v>
      </c>
      <c r="J1704" t="s">
        <v>37</v>
      </c>
      <c r="K1704" t="s">
        <v>78</v>
      </c>
      <c r="L1704" t="s">
        <v>39</v>
      </c>
      <c r="M1704" t="s">
        <v>67</v>
      </c>
      <c r="N1704">
        <v>1834.77</v>
      </c>
    </row>
    <row r="1705" spans="1:14" x14ac:dyDescent="0.35">
      <c r="A1705" s="2">
        <v>45351</v>
      </c>
      <c r="B1705" t="s">
        <v>897</v>
      </c>
      <c r="C1705" t="s">
        <v>81</v>
      </c>
      <c r="D1705" t="s">
        <v>33</v>
      </c>
      <c r="E1705" t="s">
        <v>83</v>
      </c>
      <c r="F1705">
        <v>4</v>
      </c>
      <c r="G1705">
        <v>20.86</v>
      </c>
      <c r="H1705" t="s">
        <v>35</v>
      </c>
      <c r="I1705" t="s">
        <v>2516</v>
      </c>
      <c r="J1705" t="s">
        <v>55</v>
      </c>
      <c r="K1705" t="s">
        <v>27</v>
      </c>
      <c r="L1705" t="s">
        <v>39</v>
      </c>
      <c r="M1705" t="s">
        <v>56</v>
      </c>
      <c r="N1705">
        <v>83.44</v>
      </c>
    </row>
    <row r="1706" spans="1:14" x14ac:dyDescent="0.35">
      <c r="A1706" s="2">
        <v>45834</v>
      </c>
      <c r="B1706" t="s">
        <v>1198</v>
      </c>
      <c r="C1706" t="s">
        <v>21</v>
      </c>
      <c r="D1706" t="s">
        <v>22</v>
      </c>
      <c r="E1706" t="s">
        <v>53</v>
      </c>
      <c r="F1706">
        <v>5</v>
      </c>
      <c r="G1706">
        <v>350.15</v>
      </c>
      <c r="H1706" t="s">
        <v>58</v>
      </c>
      <c r="I1706" t="s">
        <v>2517</v>
      </c>
      <c r="J1706" t="s">
        <v>94</v>
      </c>
      <c r="K1706" t="s">
        <v>78</v>
      </c>
      <c r="L1706" t="s">
        <v>28</v>
      </c>
      <c r="M1706" t="s">
        <v>56</v>
      </c>
      <c r="N1706">
        <v>1750.75</v>
      </c>
    </row>
    <row r="1707" spans="1:14" x14ac:dyDescent="0.35">
      <c r="A1707" s="2">
        <v>45773</v>
      </c>
      <c r="B1707" t="s">
        <v>2518</v>
      </c>
      <c r="C1707" t="s">
        <v>74</v>
      </c>
      <c r="D1707" t="s">
        <v>33</v>
      </c>
      <c r="E1707" t="s">
        <v>23</v>
      </c>
      <c r="F1707">
        <v>2</v>
      </c>
      <c r="G1707">
        <v>302.49</v>
      </c>
      <c r="H1707" t="s">
        <v>64</v>
      </c>
      <c r="I1707" t="s">
        <v>2519</v>
      </c>
      <c r="J1707" t="s">
        <v>55</v>
      </c>
      <c r="K1707" t="s">
        <v>27</v>
      </c>
      <c r="L1707" t="s">
        <v>66</v>
      </c>
      <c r="M1707" t="s">
        <v>79</v>
      </c>
      <c r="N1707">
        <v>604.98</v>
      </c>
    </row>
    <row r="1708" spans="1:14" x14ac:dyDescent="0.35">
      <c r="A1708" s="2">
        <v>44998</v>
      </c>
      <c r="B1708" t="s">
        <v>1221</v>
      </c>
      <c r="C1708" t="s">
        <v>106</v>
      </c>
      <c r="D1708" t="s">
        <v>52</v>
      </c>
      <c r="E1708" t="s">
        <v>83</v>
      </c>
      <c r="F1708">
        <v>1</v>
      </c>
      <c r="G1708">
        <v>42.78</v>
      </c>
      <c r="H1708" t="s">
        <v>24</v>
      </c>
      <c r="I1708" t="s">
        <v>2520</v>
      </c>
      <c r="J1708" t="s">
        <v>37</v>
      </c>
      <c r="K1708" t="s">
        <v>60</v>
      </c>
      <c r="L1708" t="s">
        <v>66</v>
      </c>
      <c r="M1708" t="s">
        <v>29</v>
      </c>
      <c r="N1708">
        <v>42.78</v>
      </c>
    </row>
    <row r="1709" spans="1:14" x14ac:dyDescent="0.35">
      <c r="A1709" s="2">
        <v>45071</v>
      </c>
      <c r="B1709" t="s">
        <v>1244</v>
      </c>
      <c r="C1709" t="s">
        <v>21</v>
      </c>
      <c r="D1709" t="s">
        <v>42</v>
      </c>
      <c r="E1709" t="s">
        <v>34</v>
      </c>
      <c r="F1709">
        <v>2</v>
      </c>
      <c r="G1709">
        <v>126.37</v>
      </c>
      <c r="H1709" t="s">
        <v>44</v>
      </c>
      <c r="I1709" t="s">
        <v>2521</v>
      </c>
      <c r="J1709" t="s">
        <v>55</v>
      </c>
      <c r="K1709" t="s">
        <v>78</v>
      </c>
      <c r="L1709" t="s">
        <v>28</v>
      </c>
      <c r="M1709" t="s">
        <v>56</v>
      </c>
      <c r="N1709">
        <v>252.74</v>
      </c>
    </row>
    <row r="1710" spans="1:14" x14ac:dyDescent="0.35">
      <c r="A1710" s="2">
        <v>45359</v>
      </c>
      <c r="B1710" t="s">
        <v>287</v>
      </c>
      <c r="C1710" t="s">
        <v>81</v>
      </c>
      <c r="D1710" t="s">
        <v>33</v>
      </c>
      <c r="E1710" t="s">
        <v>63</v>
      </c>
      <c r="F1710">
        <v>2</v>
      </c>
      <c r="G1710">
        <v>151.88999999999999</v>
      </c>
      <c r="H1710" t="s">
        <v>24</v>
      </c>
      <c r="I1710" t="s">
        <v>2522</v>
      </c>
      <c r="J1710" t="s">
        <v>97</v>
      </c>
      <c r="K1710" t="s">
        <v>38</v>
      </c>
      <c r="L1710" t="s">
        <v>39</v>
      </c>
      <c r="M1710" t="s">
        <v>61</v>
      </c>
      <c r="N1710">
        <v>303.77999999999997</v>
      </c>
    </row>
    <row r="1711" spans="1:14" x14ac:dyDescent="0.35">
      <c r="A1711" s="2">
        <v>44956</v>
      </c>
      <c r="B1711" t="s">
        <v>1154</v>
      </c>
      <c r="C1711" t="s">
        <v>74</v>
      </c>
      <c r="D1711" t="s">
        <v>52</v>
      </c>
      <c r="E1711" t="s">
        <v>92</v>
      </c>
      <c r="F1711">
        <v>7</v>
      </c>
      <c r="G1711">
        <v>29.59</v>
      </c>
      <c r="H1711" t="s">
        <v>44</v>
      </c>
      <c r="I1711" t="s">
        <v>2523</v>
      </c>
      <c r="J1711" t="s">
        <v>94</v>
      </c>
      <c r="K1711" t="s">
        <v>78</v>
      </c>
      <c r="L1711" t="s">
        <v>39</v>
      </c>
      <c r="M1711" t="s">
        <v>29</v>
      </c>
      <c r="N1711">
        <v>207.13</v>
      </c>
    </row>
    <row r="1712" spans="1:14" x14ac:dyDescent="0.35">
      <c r="A1712" s="2">
        <v>45439</v>
      </c>
      <c r="B1712" t="s">
        <v>1107</v>
      </c>
      <c r="C1712" t="s">
        <v>21</v>
      </c>
      <c r="D1712" t="s">
        <v>42</v>
      </c>
      <c r="E1712" t="s">
        <v>43</v>
      </c>
      <c r="F1712">
        <v>2</v>
      </c>
      <c r="G1712">
        <v>322.73</v>
      </c>
      <c r="H1712" t="s">
        <v>64</v>
      </c>
      <c r="I1712" t="s">
        <v>2524</v>
      </c>
      <c r="J1712" t="s">
        <v>94</v>
      </c>
      <c r="K1712" t="s">
        <v>38</v>
      </c>
      <c r="L1712" t="s">
        <v>39</v>
      </c>
      <c r="M1712" t="s">
        <v>29</v>
      </c>
      <c r="N1712">
        <v>645.46</v>
      </c>
    </row>
    <row r="1713" spans="1:14" x14ac:dyDescent="0.35">
      <c r="A1713" s="2">
        <v>45566</v>
      </c>
      <c r="B1713" t="s">
        <v>499</v>
      </c>
      <c r="C1713" t="s">
        <v>51</v>
      </c>
      <c r="D1713" t="s">
        <v>33</v>
      </c>
      <c r="E1713" t="s">
        <v>83</v>
      </c>
      <c r="F1713">
        <v>9</v>
      </c>
      <c r="G1713">
        <v>184.8</v>
      </c>
      <c r="H1713" t="s">
        <v>35</v>
      </c>
      <c r="I1713" t="s">
        <v>2525</v>
      </c>
      <c r="J1713" t="s">
        <v>94</v>
      </c>
      <c r="K1713" t="s">
        <v>60</v>
      </c>
      <c r="L1713" t="s">
        <v>66</v>
      </c>
      <c r="M1713" t="s">
        <v>49</v>
      </c>
      <c r="N1713">
        <v>1663.2</v>
      </c>
    </row>
    <row r="1714" spans="1:14" x14ac:dyDescent="0.35">
      <c r="A1714" s="2">
        <v>45733</v>
      </c>
      <c r="B1714" t="s">
        <v>669</v>
      </c>
      <c r="C1714" t="s">
        <v>106</v>
      </c>
      <c r="D1714" t="s">
        <v>33</v>
      </c>
      <c r="E1714" t="s">
        <v>43</v>
      </c>
      <c r="F1714">
        <v>5</v>
      </c>
      <c r="G1714">
        <v>106.95</v>
      </c>
      <c r="H1714" t="s">
        <v>58</v>
      </c>
      <c r="I1714" t="s">
        <v>2526</v>
      </c>
      <c r="J1714" t="s">
        <v>26</v>
      </c>
      <c r="K1714" t="s">
        <v>38</v>
      </c>
      <c r="L1714" t="s">
        <v>39</v>
      </c>
      <c r="M1714" t="s">
        <v>29</v>
      </c>
      <c r="N1714">
        <v>534.75</v>
      </c>
    </row>
    <row r="1715" spans="1:14" x14ac:dyDescent="0.35">
      <c r="A1715" s="2">
        <v>45068</v>
      </c>
      <c r="B1715" t="s">
        <v>1696</v>
      </c>
      <c r="C1715" t="s">
        <v>47</v>
      </c>
      <c r="D1715" t="s">
        <v>22</v>
      </c>
      <c r="E1715" t="s">
        <v>23</v>
      </c>
      <c r="F1715">
        <v>1</v>
      </c>
      <c r="G1715">
        <v>257.74</v>
      </c>
      <c r="H1715" t="s">
        <v>44</v>
      </c>
      <c r="I1715" t="s">
        <v>2527</v>
      </c>
      <c r="J1715" t="s">
        <v>55</v>
      </c>
      <c r="K1715" t="s">
        <v>38</v>
      </c>
      <c r="L1715" t="s">
        <v>39</v>
      </c>
      <c r="M1715" t="s">
        <v>29</v>
      </c>
      <c r="N1715">
        <v>257.74</v>
      </c>
    </row>
    <row r="1716" spans="1:14" x14ac:dyDescent="0.35">
      <c r="A1716" s="2">
        <v>44969</v>
      </c>
      <c r="B1716" t="s">
        <v>1317</v>
      </c>
      <c r="C1716" t="s">
        <v>86</v>
      </c>
      <c r="D1716" t="s">
        <v>22</v>
      </c>
      <c r="E1716" t="s">
        <v>34</v>
      </c>
      <c r="F1716">
        <v>9</v>
      </c>
      <c r="G1716">
        <v>117.58</v>
      </c>
      <c r="H1716" t="s">
        <v>44</v>
      </c>
      <c r="I1716" t="s">
        <v>2528</v>
      </c>
      <c r="J1716" t="s">
        <v>97</v>
      </c>
      <c r="K1716" t="s">
        <v>60</v>
      </c>
      <c r="L1716" t="s">
        <v>39</v>
      </c>
      <c r="M1716" t="s">
        <v>101</v>
      </c>
      <c r="N1716">
        <v>1058.22</v>
      </c>
    </row>
    <row r="1717" spans="1:14" x14ac:dyDescent="0.35">
      <c r="A1717" s="2">
        <v>45454</v>
      </c>
      <c r="B1717" t="s">
        <v>2529</v>
      </c>
      <c r="C1717" t="s">
        <v>21</v>
      </c>
      <c r="D1717" t="s">
        <v>33</v>
      </c>
      <c r="E1717" t="s">
        <v>53</v>
      </c>
      <c r="F1717">
        <v>1</v>
      </c>
      <c r="G1717">
        <v>16.02</v>
      </c>
      <c r="H1717" t="s">
        <v>44</v>
      </c>
      <c r="I1717" t="s">
        <v>2530</v>
      </c>
      <c r="J1717" t="s">
        <v>97</v>
      </c>
      <c r="K1717" t="s">
        <v>78</v>
      </c>
      <c r="L1717" t="s">
        <v>39</v>
      </c>
      <c r="M1717" t="s">
        <v>49</v>
      </c>
      <c r="N1717">
        <v>16.02</v>
      </c>
    </row>
    <row r="1718" spans="1:14" x14ac:dyDescent="0.35">
      <c r="A1718" s="2">
        <v>45497</v>
      </c>
      <c r="B1718" t="s">
        <v>358</v>
      </c>
      <c r="C1718" t="s">
        <v>51</v>
      </c>
      <c r="D1718" t="s">
        <v>33</v>
      </c>
      <c r="E1718" t="s">
        <v>63</v>
      </c>
      <c r="F1718">
        <v>7</v>
      </c>
      <c r="G1718">
        <v>108.08</v>
      </c>
      <c r="H1718" t="s">
        <v>58</v>
      </c>
      <c r="I1718" t="s">
        <v>2531</v>
      </c>
      <c r="J1718" t="s">
        <v>94</v>
      </c>
      <c r="K1718" t="s">
        <v>27</v>
      </c>
      <c r="L1718" t="s">
        <v>28</v>
      </c>
      <c r="M1718" t="s">
        <v>67</v>
      </c>
      <c r="N1718">
        <v>756.56</v>
      </c>
    </row>
    <row r="1719" spans="1:14" x14ac:dyDescent="0.35">
      <c r="A1719" s="2">
        <v>45242</v>
      </c>
      <c r="B1719" t="s">
        <v>187</v>
      </c>
      <c r="C1719" t="s">
        <v>89</v>
      </c>
      <c r="D1719" t="s">
        <v>52</v>
      </c>
      <c r="E1719" t="s">
        <v>63</v>
      </c>
      <c r="F1719">
        <v>9</v>
      </c>
      <c r="G1719">
        <v>137.26</v>
      </c>
      <c r="H1719" t="s">
        <v>44</v>
      </c>
      <c r="I1719" t="s">
        <v>2532</v>
      </c>
      <c r="J1719" t="s">
        <v>55</v>
      </c>
      <c r="K1719" t="s">
        <v>38</v>
      </c>
      <c r="L1719" t="s">
        <v>28</v>
      </c>
      <c r="M1719" t="s">
        <v>101</v>
      </c>
      <c r="N1719">
        <v>1235.3399999999999</v>
      </c>
    </row>
    <row r="1720" spans="1:14" x14ac:dyDescent="0.35">
      <c r="A1720" s="2">
        <v>45469</v>
      </c>
      <c r="B1720" t="s">
        <v>1163</v>
      </c>
      <c r="C1720" t="s">
        <v>81</v>
      </c>
      <c r="D1720" t="s">
        <v>22</v>
      </c>
      <c r="E1720" t="s">
        <v>53</v>
      </c>
      <c r="F1720">
        <v>5</v>
      </c>
      <c r="G1720">
        <v>206.39</v>
      </c>
      <c r="H1720" t="s">
        <v>58</v>
      </c>
      <c r="I1720" t="s">
        <v>2533</v>
      </c>
      <c r="J1720" t="s">
        <v>55</v>
      </c>
      <c r="K1720" t="s">
        <v>78</v>
      </c>
      <c r="L1720" t="s">
        <v>39</v>
      </c>
      <c r="M1720" t="s">
        <v>67</v>
      </c>
      <c r="N1720">
        <v>1031.95</v>
      </c>
    </row>
    <row r="1721" spans="1:14" x14ac:dyDescent="0.35">
      <c r="A1721" s="2">
        <v>45715</v>
      </c>
      <c r="B1721" t="s">
        <v>1819</v>
      </c>
      <c r="C1721" t="s">
        <v>21</v>
      </c>
      <c r="D1721" t="s">
        <v>42</v>
      </c>
      <c r="E1721" t="s">
        <v>92</v>
      </c>
      <c r="F1721">
        <v>3</v>
      </c>
      <c r="G1721">
        <v>375.7</v>
      </c>
      <c r="H1721" t="s">
        <v>35</v>
      </c>
      <c r="I1721" t="s">
        <v>2534</v>
      </c>
      <c r="J1721" t="s">
        <v>55</v>
      </c>
      <c r="K1721" t="s">
        <v>60</v>
      </c>
      <c r="L1721" t="s">
        <v>39</v>
      </c>
      <c r="M1721" t="s">
        <v>56</v>
      </c>
      <c r="N1721">
        <v>1127.0999999999999</v>
      </c>
    </row>
    <row r="1722" spans="1:14" x14ac:dyDescent="0.35">
      <c r="A1722" s="2">
        <v>45441</v>
      </c>
      <c r="B1722" t="s">
        <v>527</v>
      </c>
      <c r="C1722" t="s">
        <v>21</v>
      </c>
      <c r="D1722" t="s">
        <v>22</v>
      </c>
      <c r="E1722" t="s">
        <v>53</v>
      </c>
      <c r="F1722">
        <v>2</v>
      </c>
      <c r="G1722">
        <v>257.27</v>
      </c>
      <c r="H1722" t="s">
        <v>44</v>
      </c>
      <c r="I1722" t="s">
        <v>2535</v>
      </c>
      <c r="J1722" t="s">
        <v>37</v>
      </c>
      <c r="K1722" t="s">
        <v>38</v>
      </c>
      <c r="L1722" t="s">
        <v>66</v>
      </c>
      <c r="M1722" t="s">
        <v>67</v>
      </c>
      <c r="N1722">
        <v>514.54</v>
      </c>
    </row>
    <row r="1723" spans="1:14" x14ac:dyDescent="0.35">
      <c r="A1723" s="2">
        <v>45697</v>
      </c>
      <c r="B1723" t="s">
        <v>210</v>
      </c>
      <c r="C1723" t="s">
        <v>74</v>
      </c>
      <c r="D1723" t="s">
        <v>33</v>
      </c>
      <c r="E1723" t="s">
        <v>53</v>
      </c>
      <c r="F1723">
        <v>7</v>
      </c>
      <c r="G1723">
        <v>44.59</v>
      </c>
      <c r="H1723" t="s">
        <v>58</v>
      </c>
      <c r="I1723" t="s">
        <v>2536</v>
      </c>
      <c r="J1723" t="s">
        <v>97</v>
      </c>
      <c r="K1723" t="s">
        <v>38</v>
      </c>
      <c r="L1723" t="s">
        <v>66</v>
      </c>
      <c r="M1723" t="s">
        <v>101</v>
      </c>
      <c r="N1723">
        <v>312.13</v>
      </c>
    </row>
    <row r="1724" spans="1:14" x14ac:dyDescent="0.35">
      <c r="A1724" s="2">
        <v>45439</v>
      </c>
      <c r="B1724" t="s">
        <v>62</v>
      </c>
      <c r="C1724" t="s">
        <v>71</v>
      </c>
      <c r="D1724" t="s">
        <v>33</v>
      </c>
      <c r="E1724" t="s">
        <v>34</v>
      </c>
      <c r="F1724">
        <v>9</v>
      </c>
      <c r="G1724">
        <v>309.23</v>
      </c>
      <c r="H1724" t="s">
        <v>58</v>
      </c>
      <c r="I1724" t="s">
        <v>2537</v>
      </c>
      <c r="J1724" t="s">
        <v>26</v>
      </c>
      <c r="K1724" t="s">
        <v>60</v>
      </c>
      <c r="L1724" t="s">
        <v>66</v>
      </c>
      <c r="M1724" t="s">
        <v>29</v>
      </c>
      <c r="N1724">
        <v>2783.07</v>
      </c>
    </row>
    <row r="1725" spans="1:14" x14ac:dyDescent="0.35">
      <c r="A1725" s="2">
        <v>45082</v>
      </c>
      <c r="B1725" t="s">
        <v>795</v>
      </c>
      <c r="C1725" t="s">
        <v>89</v>
      </c>
      <c r="D1725" t="s">
        <v>52</v>
      </c>
      <c r="E1725" t="s">
        <v>53</v>
      </c>
      <c r="F1725">
        <v>6</v>
      </c>
      <c r="G1725">
        <v>133.94</v>
      </c>
      <c r="H1725" t="s">
        <v>35</v>
      </c>
      <c r="I1725" t="s">
        <v>2538</v>
      </c>
      <c r="J1725" t="s">
        <v>55</v>
      </c>
      <c r="K1725" t="s">
        <v>27</v>
      </c>
      <c r="L1725" t="s">
        <v>28</v>
      </c>
      <c r="M1725" t="s">
        <v>29</v>
      </c>
      <c r="N1725">
        <v>803.64</v>
      </c>
    </row>
    <row r="1726" spans="1:14" x14ac:dyDescent="0.35">
      <c r="A1726" s="2">
        <v>45162</v>
      </c>
      <c r="B1726" t="s">
        <v>2539</v>
      </c>
      <c r="C1726" t="s">
        <v>74</v>
      </c>
      <c r="D1726" t="s">
        <v>42</v>
      </c>
      <c r="E1726" t="s">
        <v>53</v>
      </c>
      <c r="F1726">
        <v>3</v>
      </c>
      <c r="G1726">
        <v>268.52</v>
      </c>
      <c r="H1726" t="s">
        <v>44</v>
      </c>
      <c r="I1726" t="s">
        <v>2540</v>
      </c>
      <c r="J1726" t="s">
        <v>55</v>
      </c>
      <c r="K1726" t="s">
        <v>78</v>
      </c>
      <c r="L1726" t="s">
        <v>28</v>
      </c>
      <c r="M1726" t="s">
        <v>56</v>
      </c>
      <c r="N1726">
        <v>805.56</v>
      </c>
    </row>
    <row r="1727" spans="1:14" x14ac:dyDescent="0.35">
      <c r="A1727" s="2">
        <v>45299</v>
      </c>
      <c r="B1727" t="s">
        <v>974</v>
      </c>
      <c r="C1727" t="s">
        <v>47</v>
      </c>
      <c r="D1727" t="s">
        <v>52</v>
      </c>
      <c r="E1727" t="s">
        <v>43</v>
      </c>
      <c r="F1727">
        <v>6</v>
      </c>
      <c r="G1727">
        <v>181.74</v>
      </c>
      <c r="H1727" t="s">
        <v>44</v>
      </c>
      <c r="I1727" t="s">
        <v>2541</v>
      </c>
      <c r="J1727" t="s">
        <v>94</v>
      </c>
      <c r="K1727" t="s">
        <v>38</v>
      </c>
      <c r="L1727" t="s">
        <v>39</v>
      </c>
      <c r="M1727" t="s">
        <v>29</v>
      </c>
      <c r="N1727">
        <v>1090.44</v>
      </c>
    </row>
    <row r="1728" spans="1:14" x14ac:dyDescent="0.35">
      <c r="A1728" s="2">
        <v>45510</v>
      </c>
      <c r="B1728" t="s">
        <v>1946</v>
      </c>
      <c r="C1728" t="s">
        <v>51</v>
      </c>
      <c r="D1728" t="s">
        <v>22</v>
      </c>
      <c r="E1728" t="s">
        <v>23</v>
      </c>
      <c r="F1728">
        <v>3</v>
      </c>
      <c r="G1728">
        <v>356.32</v>
      </c>
      <c r="H1728" t="s">
        <v>24</v>
      </c>
      <c r="I1728" t="s">
        <v>2542</v>
      </c>
      <c r="J1728" t="s">
        <v>55</v>
      </c>
      <c r="K1728" t="s">
        <v>38</v>
      </c>
      <c r="L1728" t="s">
        <v>28</v>
      </c>
      <c r="M1728" t="s">
        <v>49</v>
      </c>
      <c r="N1728">
        <v>1068.96</v>
      </c>
    </row>
    <row r="1729" spans="1:14" x14ac:dyDescent="0.35">
      <c r="A1729" s="2">
        <v>44996</v>
      </c>
      <c r="B1729" t="s">
        <v>210</v>
      </c>
      <c r="C1729" t="s">
        <v>21</v>
      </c>
      <c r="D1729" t="s">
        <v>22</v>
      </c>
      <c r="E1729" t="s">
        <v>34</v>
      </c>
      <c r="F1729">
        <v>10</v>
      </c>
      <c r="G1729">
        <v>273.17</v>
      </c>
      <c r="H1729" t="s">
        <v>58</v>
      </c>
      <c r="I1729" t="s">
        <v>2543</v>
      </c>
      <c r="J1729" t="s">
        <v>97</v>
      </c>
      <c r="K1729" t="s">
        <v>38</v>
      </c>
      <c r="L1729" t="s">
        <v>66</v>
      </c>
      <c r="M1729" t="s">
        <v>79</v>
      </c>
      <c r="N1729">
        <v>2731.7</v>
      </c>
    </row>
    <row r="1730" spans="1:14" x14ac:dyDescent="0.35">
      <c r="A1730" s="2">
        <v>45505</v>
      </c>
      <c r="B1730" t="s">
        <v>1374</v>
      </c>
      <c r="C1730" t="s">
        <v>81</v>
      </c>
      <c r="D1730" t="s">
        <v>52</v>
      </c>
      <c r="E1730" t="s">
        <v>43</v>
      </c>
      <c r="F1730">
        <v>5</v>
      </c>
      <c r="G1730">
        <v>386.61</v>
      </c>
      <c r="H1730" t="s">
        <v>58</v>
      </c>
      <c r="I1730" t="s">
        <v>2544</v>
      </c>
      <c r="J1730" t="s">
        <v>37</v>
      </c>
      <c r="K1730" t="s">
        <v>27</v>
      </c>
      <c r="L1730" t="s">
        <v>39</v>
      </c>
      <c r="M1730" t="s">
        <v>56</v>
      </c>
      <c r="N1730">
        <v>1933.05</v>
      </c>
    </row>
    <row r="1731" spans="1:14" x14ac:dyDescent="0.35">
      <c r="A1731" s="2">
        <v>45251</v>
      </c>
      <c r="B1731" t="s">
        <v>1928</v>
      </c>
      <c r="C1731" t="s">
        <v>81</v>
      </c>
      <c r="D1731" t="s">
        <v>33</v>
      </c>
      <c r="E1731" t="s">
        <v>23</v>
      </c>
      <c r="F1731">
        <v>5</v>
      </c>
      <c r="G1731">
        <v>69.55</v>
      </c>
      <c r="H1731" t="s">
        <v>44</v>
      </c>
      <c r="I1731" t="s">
        <v>2545</v>
      </c>
      <c r="J1731" t="s">
        <v>26</v>
      </c>
      <c r="K1731" t="s">
        <v>78</v>
      </c>
      <c r="L1731" t="s">
        <v>39</v>
      </c>
      <c r="M1731" t="s">
        <v>49</v>
      </c>
      <c r="N1731">
        <v>347.75</v>
      </c>
    </row>
    <row r="1732" spans="1:14" x14ac:dyDescent="0.35">
      <c r="A1732" s="2">
        <v>45020</v>
      </c>
      <c r="B1732" t="s">
        <v>1266</v>
      </c>
      <c r="C1732" t="s">
        <v>51</v>
      </c>
      <c r="D1732" t="s">
        <v>52</v>
      </c>
      <c r="E1732" t="s">
        <v>43</v>
      </c>
      <c r="F1732">
        <v>4</v>
      </c>
      <c r="G1732">
        <v>374.3</v>
      </c>
      <c r="H1732" t="s">
        <v>58</v>
      </c>
      <c r="I1732" t="s">
        <v>2546</v>
      </c>
      <c r="J1732" t="s">
        <v>94</v>
      </c>
      <c r="K1732" t="s">
        <v>27</v>
      </c>
      <c r="L1732" t="s">
        <v>66</v>
      </c>
      <c r="M1732" t="s">
        <v>49</v>
      </c>
      <c r="N1732">
        <v>1497.2</v>
      </c>
    </row>
    <row r="1733" spans="1:14" x14ac:dyDescent="0.35">
      <c r="A1733" s="2">
        <v>45632</v>
      </c>
      <c r="B1733" t="s">
        <v>1502</v>
      </c>
      <c r="C1733" t="s">
        <v>86</v>
      </c>
      <c r="D1733" t="s">
        <v>22</v>
      </c>
      <c r="E1733" t="s">
        <v>34</v>
      </c>
      <c r="F1733">
        <v>2</v>
      </c>
      <c r="G1733">
        <v>34.03</v>
      </c>
      <c r="H1733" t="s">
        <v>44</v>
      </c>
      <c r="I1733" t="s">
        <v>2547</v>
      </c>
      <c r="J1733" t="s">
        <v>97</v>
      </c>
      <c r="K1733" t="s">
        <v>78</v>
      </c>
      <c r="L1733" t="s">
        <v>66</v>
      </c>
      <c r="M1733" t="s">
        <v>61</v>
      </c>
      <c r="N1733">
        <v>68.06</v>
      </c>
    </row>
    <row r="1734" spans="1:14" x14ac:dyDescent="0.35">
      <c r="A1734" s="2">
        <v>45295</v>
      </c>
      <c r="B1734" t="s">
        <v>1257</v>
      </c>
      <c r="C1734" t="s">
        <v>21</v>
      </c>
      <c r="D1734" t="s">
        <v>52</v>
      </c>
      <c r="E1734" t="s">
        <v>34</v>
      </c>
      <c r="F1734">
        <v>8</v>
      </c>
      <c r="G1734">
        <v>21.25</v>
      </c>
      <c r="H1734" t="s">
        <v>64</v>
      </c>
      <c r="I1734" t="s">
        <v>2548</v>
      </c>
      <c r="J1734" t="s">
        <v>97</v>
      </c>
      <c r="K1734" t="s">
        <v>38</v>
      </c>
      <c r="L1734" t="s">
        <v>39</v>
      </c>
      <c r="M1734" t="s">
        <v>56</v>
      </c>
      <c r="N1734">
        <v>170</v>
      </c>
    </row>
    <row r="1735" spans="1:14" x14ac:dyDescent="0.35">
      <c r="A1735" s="2">
        <v>45124</v>
      </c>
      <c r="B1735" t="s">
        <v>989</v>
      </c>
      <c r="C1735" t="s">
        <v>47</v>
      </c>
      <c r="D1735" t="s">
        <v>52</v>
      </c>
      <c r="E1735" t="s">
        <v>53</v>
      </c>
      <c r="F1735">
        <v>9</v>
      </c>
      <c r="G1735">
        <v>126.15</v>
      </c>
      <c r="H1735" t="s">
        <v>58</v>
      </c>
      <c r="I1735" t="s">
        <v>2549</v>
      </c>
      <c r="J1735" t="s">
        <v>37</v>
      </c>
      <c r="K1735" t="s">
        <v>78</v>
      </c>
      <c r="L1735" t="s">
        <v>66</v>
      </c>
      <c r="M1735" t="s">
        <v>29</v>
      </c>
      <c r="N1735">
        <v>1135.3499999999999</v>
      </c>
    </row>
    <row r="1736" spans="1:14" x14ac:dyDescent="0.35">
      <c r="A1736" s="2">
        <v>45718</v>
      </c>
      <c r="B1736" t="s">
        <v>928</v>
      </c>
      <c r="C1736" t="s">
        <v>74</v>
      </c>
      <c r="D1736" t="s">
        <v>33</v>
      </c>
      <c r="E1736" t="s">
        <v>83</v>
      </c>
      <c r="F1736">
        <v>9</v>
      </c>
      <c r="G1736">
        <v>204.16</v>
      </c>
      <c r="H1736" t="s">
        <v>44</v>
      </c>
      <c r="I1736" t="s">
        <v>2550</v>
      </c>
      <c r="J1736" t="s">
        <v>97</v>
      </c>
      <c r="K1736" t="s">
        <v>78</v>
      </c>
      <c r="L1736" t="s">
        <v>39</v>
      </c>
      <c r="M1736" t="s">
        <v>101</v>
      </c>
      <c r="N1736">
        <v>1837.44</v>
      </c>
    </row>
    <row r="1737" spans="1:14" x14ac:dyDescent="0.35">
      <c r="A1737" s="2">
        <v>45696</v>
      </c>
      <c r="B1737" t="s">
        <v>2504</v>
      </c>
      <c r="C1737" t="s">
        <v>74</v>
      </c>
      <c r="D1737" t="s">
        <v>52</v>
      </c>
      <c r="E1737" t="s">
        <v>83</v>
      </c>
      <c r="F1737">
        <v>2</v>
      </c>
      <c r="G1737">
        <v>260.92</v>
      </c>
      <c r="H1737" t="s">
        <v>64</v>
      </c>
      <c r="I1737" t="s">
        <v>2551</v>
      </c>
      <c r="J1737" t="s">
        <v>37</v>
      </c>
      <c r="K1737" t="s">
        <v>38</v>
      </c>
      <c r="L1737" t="s">
        <v>39</v>
      </c>
      <c r="M1737" t="s">
        <v>79</v>
      </c>
      <c r="N1737">
        <v>521.84</v>
      </c>
    </row>
    <row r="1738" spans="1:14" x14ac:dyDescent="0.35">
      <c r="A1738" s="2">
        <v>45510</v>
      </c>
      <c r="B1738" t="s">
        <v>538</v>
      </c>
      <c r="C1738" t="s">
        <v>47</v>
      </c>
      <c r="D1738" t="s">
        <v>22</v>
      </c>
      <c r="E1738" t="s">
        <v>92</v>
      </c>
      <c r="F1738">
        <v>2</v>
      </c>
      <c r="G1738">
        <v>133.31</v>
      </c>
      <c r="H1738" t="s">
        <v>24</v>
      </c>
      <c r="I1738" t="s">
        <v>2552</v>
      </c>
      <c r="J1738" t="s">
        <v>55</v>
      </c>
      <c r="K1738" t="s">
        <v>27</v>
      </c>
      <c r="L1738" t="s">
        <v>28</v>
      </c>
      <c r="M1738" t="s">
        <v>49</v>
      </c>
      <c r="N1738">
        <v>266.62</v>
      </c>
    </row>
    <row r="1739" spans="1:14" x14ac:dyDescent="0.35">
      <c r="A1739" s="2">
        <v>45081</v>
      </c>
      <c r="B1739" t="s">
        <v>1560</v>
      </c>
      <c r="C1739" t="s">
        <v>47</v>
      </c>
      <c r="D1739" t="s">
        <v>42</v>
      </c>
      <c r="E1739" t="s">
        <v>92</v>
      </c>
      <c r="F1739">
        <v>9</v>
      </c>
      <c r="G1739">
        <v>281.94</v>
      </c>
      <c r="H1739" t="s">
        <v>35</v>
      </c>
      <c r="I1739" t="s">
        <v>2553</v>
      </c>
      <c r="J1739" t="s">
        <v>94</v>
      </c>
      <c r="K1739" t="s">
        <v>27</v>
      </c>
      <c r="L1739" t="s">
        <v>66</v>
      </c>
      <c r="M1739" t="s">
        <v>101</v>
      </c>
      <c r="N1739">
        <v>2537.46</v>
      </c>
    </row>
    <row r="1740" spans="1:14" x14ac:dyDescent="0.35">
      <c r="A1740" s="2">
        <v>45637</v>
      </c>
      <c r="B1740" t="s">
        <v>1693</v>
      </c>
      <c r="C1740" t="s">
        <v>47</v>
      </c>
      <c r="D1740" t="s">
        <v>52</v>
      </c>
      <c r="E1740" t="s">
        <v>53</v>
      </c>
      <c r="F1740">
        <v>5</v>
      </c>
      <c r="G1740">
        <v>280.52999999999997</v>
      </c>
      <c r="H1740" t="s">
        <v>58</v>
      </c>
      <c r="I1740" t="s">
        <v>2554</v>
      </c>
      <c r="J1740" t="s">
        <v>55</v>
      </c>
      <c r="K1740" t="s">
        <v>27</v>
      </c>
      <c r="L1740" t="s">
        <v>39</v>
      </c>
      <c r="M1740" t="s">
        <v>67</v>
      </c>
      <c r="N1740">
        <v>1402.65</v>
      </c>
    </row>
    <row r="1741" spans="1:14" x14ac:dyDescent="0.35">
      <c r="A1741" s="2">
        <v>45768</v>
      </c>
      <c r="B1741" t="s">
        <v>1160</v>
      </c>
      <c r="C1741" t="s">
        <v>86</v>
      </c>
      <c r="D1741" t="s">
        <v>33</v>
      </c>
      <c r="E1741" t="s">
        <v>53</v>
      </c>
      <c r="F1741">
        <v>3</v>
      </c>
      <c r="G1741">
        <v>200.9</v>
      </c>
      <c r="H1741" t="s">
        <v>58</v>
      </c>
      <c r="I1741" t="s">
        <v>2555</v>
      </c>
      <c r="J1741" t="s">
        <v>55</v>
      </c>
      <c r="K1741" t="s">
        <v>60</v>
      </c>
      <c r="L1741" t="s">
        <v>28</v>
      </c>
      <c r="M1741" t="s">
        <v>29</v>
      </c>
      <c r="N1741">
        <v>602.70000000000005</v>
      </c>
    </row>
    <row r="1742" spans="1:14" x14ac:dyDescent="0.35">
      <c r="A1742" s="2">
        <v>45159</v>
      </c>
      <c r="B1742" t="s">
        <v>85</v>
      </c>
      <c r="C1742" t="s">
        <v>71</v>
      </c>
      <c r="D1742" t="s">
        <v>42</v>
      </c>
      <c r="E1742" t="s">
        <v>83</v>
      </c>
      <c r="F1742">
        <v>1</v>
      </c>
      <c r="G1742">
        <v>96.6</v>
      </c>
      <c r="H1742" t="s">
        <v>64</v>
      </c>
      <c r="I1742" t="s">
        <v>2556</v>
      </c>
      <c r="J1742" t="s">
        <v>97</v>
      </c>
      <c r="K1742" t="s">
        <v>60</v>
      </c>
      <c r="L1742" t="s">
        <v>39</v>
      </c>
      <c r="M1742" t="s">
        <v>29</v>
      </c>
      <c r="N1742">
        <v>96.6</v>
      </c>
    </row>
    <row r="1743" spans="1:14" x14ac:dyDescent="0.35">
      <c r="A1743" s="2">
        <v>45410</v>
      </c>
      <c r="B1743" t="s">
        <v>976</v>
      </c>
      <c r="C1743" t="s">
        <v>71</v>
      </c>
      <c r="D1743" t="s">
        <v>22</v>
      </c>
      <c r="E1743" t="s">
        <v>92</v>
      </c>
      <c r="F1743">
        <v>8</v>
      </c>
      <c r="G1743">
        <v>76.790000000000006</v>
      </c>
      <c r="H1743" t="s">
        <v>24</v>
      </c>
      <c r="I1743" t="s">
        <v>2557</v>
      </c>
      <c r="J1743" t="s">
        <v>97</v>
      </c>
      <c r="K1743" t="s">
        <v>78</v>
      </c>
      <c r="L1743" t="s">
        <v>66</v>
      </c>
      <c r="M1743" t="s">
        <v>101</v>
      </c>
      <c r="N1743">
        <v>614.32000000000005</v>
      </c>
    </row>
    <row r="1744" spans="1:14" x14ac:dyDescent="0.35">
      <c r="A1744" s="2">
        <v>45418</v>
      </c>
      <c r="B1744" t="s">
        <v>421</v>
      </c>
      <c r="C1744" t="s">
        <v>51</v>
      </c>
      <c r="D1744" t="s">
        <v>52</v>
      </c>
      <c r="E1744" t="s">
        <v>43</v>
      </c>
      <c r="F1744">
        <v>1</v>
      </c>
      <c r="G1744">
        <v>156.76</v>
      </c>
      <c r="H1744" t="s">
        <v>35</v>
      </c>
      <c r="I1744" t="s">
        <v>2558</v>
      </c>
      <c r="J1744" t="s">
        <v>37</v>
      </c>
      <c r="K1744" t="s">
        <v>27</v>
      </c>
      <c r="L1744" t="s">
        <v>39</v>
      </c>
      <c r="M1744" t="s">
        <v>29</v>
      </c>
      <c r="N1744">
        <v>156.76</v>
      </c>
    </row>
    <row r="1745" spans="1:14" x14ac:dyDescent="0.35">
      <c r="A1745" s="2">
        <v>45184</v>
      </c>
      <c r="B1745" t="s">
        <v>2464</v>
      </c>
      <c r="C1745" t="s">
        <v>41</v>
      </c>
      <c r="D1745" t="s">
        <v>42</v>
      </c>
      <c r="E1745" t="s">
        <v>63</v>
      </c>
      <c r="F1745">
        <v>5</v>
      </c>
      <c r="G1745">
        <v>180.96</v>
      </c>
      <c r="H1745" t="s">
        <v>64</v>
      </c>
      <c r="I1745" t="s">
        <v>2559</v>
      </c>
      <c r="J1745" t="s">
        <v>26</v>
      </c>
      <c r="K1745" t="s">
        <v>38</v>
      </c>
      <c r="L1745" t="s">
        <v>39</v>
      </c>
      <c r="M1745" t="s">
        <v>61</v>
      </c>
      <c r="N1745">
        <v>904.80000000000007</v>
      </c>
    </row>
    <row r="1746" spans="1:14" x14ac:dyDescent="0.35">
      <c r="A1746" s="2">
        <v>45437</v>
      </c>
      <c r="B1746" t="s">
        <v>2560</v>
      </c>
      <c r="C1746" t="s">
        <v>106</v>
      </c>
      <c r="D1746" t="s">
        <v>52</v>
      </c>
      <c r="E1746" t="s">
        <v>92</v>
      </c>
      <c r="F1746">
        <v>7</v>
      </c>
      <c r="G1746">
        <v>83.2</v>
      </c>
      <c r="H1746" t="s">
        <v>64</v>
      </c>
      <c r="I1746" t="s">
        <v>2561</v>
      </c>
      <c r="J1746" t="s">
        <v>94</v>
      </c>
      <c r="K1746" t="s">
        <v>38</v>
      </c>
      <c r="L1746" t="s">
        <v>39</v>
      </c>
      <c r="M1746" t="s">
        <v>79</v>
      </c>
      <c r="N1746">
        <v>582.4</v>
      </c>
    </row>
    <row r="1747" spans="1:14" x14ac:dyDescent="0.35">
      <c r="A1747" s="2">
        <v>45203</v>
      </c>
      <c r="B1747" t="s">
        <v>372</v>
      </c>
      <c r="C1747" t="s">
        <v>51</v>
      </c>
      <c r="D1747" t="s">
        <v>22</v>
      </c>
      <c r="E1747" t="s">
        <v>53</v>
      </c>
      <c r="F1747">
        <v>4</v>
      </c>
      <c r="G1747">
        <v>30.7</v>
      </c>
      <c r="H1747" t="s">
        <v>35</v>
      </c>
      <c r="I1747" t="s">
        <v>2562</v>
      </c>
      <c r="J1747" t="s">
        <v>26</v>
      </c>
      <c r="K1747" t="s">
        <v>60</v>
      </c>
      <c r="L1747" t="s">
        <v>28</v>
      </c>
      <c r="M1747" t="s">
        <v>67</v>
      </c>
      <c r="N1747">
        <v>122.8</v>
      </c>
    </row>
    <row r="1748" spans="1:14" x14ac:dyDescent="0.35">
      <c r="A1748" s="2">
        <v>45648</v>
      </c>
      <c r="B1748" t="s">
        <v>921</v>
      </c>
      <c r="C1748" t="s">
        <v>71</v>
      </c>
      <c r="D1748" t="s">
        <v>33</v>
      </c>
      <c r="E1748" t="s">
        <v>53</v>
      </c>
      <c r="F1748">
        <v>4</v>
      </c>
      <c r="G1748">
        <v>17.38</v>
      </c>
      <c r="H1748" t="s">
        <v>58</v>
      </c>
      <c r="I1748" t="s">
        <v>2563</v>
      </c>
      <c r="J1748" t="s">
        <v>37</v>
      </c>
      <c r="K1748" t="s">
        <v>60</v>
      </c>
      <c r="L1748" t="s">
        <v>39</v>
      </c>
      <c r="M1748" t="s">
        <v>101</v>
      </c>
      <c r="N1748">
        <v>69.52</v>
      </c>
    </row>
    <row r="1749" spans="1:14" x14ac:dyDescent="0.35">
      <c r="A1749" s="2">
        <v>45724</v>
      </c>
      <c r="B1749" t="s">
        <v>1344</v>
      </c>
      <c r="C1749" t="s">
        <v>51</v>
      </c>
      <c r="D1749" t="s">
        <v>33</v>
      </c>
      <c r="E1749" t="s">
        <v>63</v>
      </c>
      <c r="F1749">
        <v>10</v>
      </c>
      <c r="G1749">
        <v>146.81</v>
      </c>
      <c r="H1749" t="s">
        <v>58</v>
      </c>
      <c r="I1749" t="s">
        <v>2564</v>
      </c>
      <c r="J1749" t="s">
        <v>94</v>
      </c>
      <c r="K1749" t="s">
        <v>27</v>
      </c>
      <c r="L1749" t="s">
        <v>66</v>
      </c>
      <c r="M1749" t="s">
        <v>79</v>
      </c>
      <c r="N1749">
        <v>1468.1</v>
      </c>
    </row>
    <row r="1750" spans="1:14" x14ac:dyDescent="0.35">
      <c r="A1750" s="2">
        <v>45701</v>
      </c>
      <c r="B1750" t="s">
        <v>433</v>
      </c>
      <c r="C1750" t="s">
        <v>81</v>
      </c>
      <c r="D1750" t="s">
        <v>22</v>
      </c>
      <c r="E1750" t="s">
        <v>53</v>
      </c>
      <c r="F1750">
        <v>9</v>
      </c>
      <c r="G1750">
        <v>258.06</v>
      </c>
      <c r="H1750" t="s">
        <v>58</v>
      </c>
      <c r="I1750" t="s">
        <v>2565</v>
      </c>
      <c r="J1750" t="s">
        <v>26</v>
      </c>
      <c r="K1750" t="s">
        <v>60</v>
      </c>
      <c r="L1750" t="s">
        <v>66</v>
      </c>
      <c r="M1750" t="s">
        <v>56</v>
      </c>
      <c r="N1750">
        <v>2322.54</v>
      </c>
    </row>
    <row r="1751" spans="1:14" x14ac:dyDescent="0.35">
      <c r="A1751" s="2">
        <v>45418</v>
      </c>
      <c r="B1751" t="s">
        <v>780</v>
      </c>
      <c r="C1751" t="s">
        <v>89</v>
      </c>
      <c r="D1751" t="s">
        <v>22</v>
      </c>
      <c r="E1751" t="s">
        <v>83</v>
      </c>
      <c r="F1751">
        <v>4</v>
      </c>
      <c r="G1751">
        <v>263.54000000000002</v>
      </c>
      <c r="H1751" t="s">
        <v>24</v>
      </c>
      <c r="I1751" t="s">
        <v>2566</v>
      </c>
      <c r="J1751" t="s">
        <v>55</v>
      </c>
      <c r="K1751" t="s">
        <v>60</v>
      </c>
      <c r="L1751" t="s">
        <v>39</v>
      </c>
      <c r="M1751" t="s">
        <v>29</v>
      </c>
      <c r="N1751">
        <v>1054.1600000000001</v>
      </c>
    </row>
    <row r="1752" spans="1:14" x14ac:dyDescent="0.35">
      <c r="A1752" s="2">
        <v>45044</v>
      </c>
      <c r="B1752" t="s">
        <v>1667</v>
      </c>
      <c r="C1752" t="s">
        <v>41</v>
      </c>
      <c r="D1752" t="s">
        <v>52</v>
      </c>
      <c r="E1752" t="s">
        <v>92</v>
      </c>
      <c r="F1752">
        <v>1</v>
      </c>
      <c r="G1752">
        <v>258.83</v>
      </c>
      <c r="H1752" t="s">
        <v>35</v>
      </c>
      <c r="I1752" t="s">
        <v>2567</v>
      </c>
      <c r="J1752" t="s">
        <v>97</v>
      </c>
      <c r="K1752" t="s">
        <v>78</v>
      </c>
      <c r="L1752" t="s">
        <v>39</v>
      </c>
      <c r="M1752" t="s">
        <v>61</v>
      </c>
      <c r="N1752">
        <v>258.83</v>
      </c>
    </row>
    <row r="1753" spans="1:14" x14ac:dyDescent="0.35">
      <c r="A1753" s="2">
        <v>45127</v>
      </c>
      <c r="B1753" t="s">
        <v>2568</v>
      </c>
      <c r="C1753" t="s">
        <v>21</v>
      </c>
      <c r="D1753" t="s">
        <v>52</v>
      </c>
      <c r="E1753" t="s">
        <v>63</v>
      </c>
      <c r="F1753">
        <v>6</v>
      </c>
      <c r="G1753">
        <v>320.45999999999998</v>
      </c>
      <c r="H1753" t="s">
        <v>44</v>
      </c>
      <c r="I1753" t="s">
        <v>2569</v>
      </c>
      <c r="J1753" t="s">
        <v>37</v>
      </c>
      <c r="K1753" t="s">
        <v>78</v>
      </c>
      <c r="L1753" t="s">
        <v>39</v>
      </c>
      <c r="M1753" t="s">
        <v>56</v>
      </c>
      <c r="N1753">
        <v>1922.76</v>
      </c>
    </row>
    <row r="1754" spans="1:14" x14ac:dyDescent="0.35">
      <c r="A1754" s="2">
        <v>45557</v>
      </c>
      <c r="B1754" t="s">
        <v>423</v>
      </c>
      <c r="C1754" t="s">
        <v>21</v>
      </c>
      <c r="D1754" t="s">
        <v>52</v>
      </c>
      <c r="E1754" t="s">
        <v>92</v>
      </c>
      <c r="F1754">
        <v>9</v>
      </c>
      <c r="G1754">
        <v>331.31</v>
      </c>
      <c r="H1754" t="s">
        <v>35</v>
      </c>
      <c r="I1754" t="s">
        <v>2570</v>
      </c>
      <c r="J1754" t="s">
        <v>97</v>
      </c>
      <c r="K1754" t="s">
        <v>60</v>
      </c>
      <c r="L1754" t="s">
        <v>28</v>
      </c>
      <c r="M1754" t="s">
        <v>101</v>
      </c>
      <c r="N1754">
        <v>2981.79</v>
      </c>
    </row>
    <row r="1755" spans="1:14" x14ac:dyDescent="0.35">
      <c r="A1755" s="2">
        <v>45246</v>
      </c>
      <c r="B1755" t="s">
        <v>2571</v>
      </c>
      <c r="C1755" t="s">
        <v>71</v>
      </c>
      <c r="D1755" t="s">
        <v>22</v>
      </c>
      <c r="E1755" t="s">
        <v>53</v>
      </c>
      <c r="F1755">
        <v>10</v>
      </c>
      <c r="G1755">
        <v>193.2</v>
      </c>
      <c r="H1755" t="s">
        <v>64</v>
      </c>
      <c r="I1755" t="s">
        <v>2572</v>
      </c>
      <c r="J1755" t="s">
        <v>94</v>
      </c>
      <c r="K1755" t="s">
        <v>60</v>
      </c>
      <c r="L1755" t="s">
        <v>28</v>
      </c>
      <c r="M1755" t="s">
        <v>56</v>
      </c>
      <c r="N1755">
        <v>1932</v>
      </c>
    </row>
    <row r="1756" spans="1:14" x14ac:dyDescent="0.35">
      <c r="A1756" s="2">
        <v>45368</v>
      </c>
      <c r="B1756" t="s">
        <v>514</v>
      </c>
      <c r="C1756" t="s">
        <v>106</v>
      </c>
      <c r="D1756" t="s">
        <v>22</v>
      </c>
      <c r="E1756" t="s">
        <v>23</v>
      </c>
      <c r="F1756">
        <v>3</v>
      </c>
      <c r="G1756">
        <v>202.34</v>
      </c>
      <c r="H1756" t="s">
        <v>24</v>
      </c>
      <c r="I1756" t="s">
        <v>2573</v>
      </c>
      <c r="J1756" t="s">
        <v>26</v>
      </c>
      <c r="K1756" t="s">
        <v>60</v>
      </c>
      <c r="L1756" t="s">
        <v>28</v>
      </c>
      <c r="M1756" t="s">
        <v>101</v>
      </c>
      <c r="N1756">
        <v>607.02</v>
      </c>
    </row>
    <row r="1757" spans="1:14" x14ac:dyDescent="0.35">
      <c r="A1757" s="2">
        <v>45699</v>
      </c>
      <c r="B1757" t="s">
        <v>322</v>
      </c>
      <c r="C1757" t="s">
        <v>74</v>
      </c>
      <c r="D1757" t="s">
        <v>42</v>
      </c>
      <c r="E1757" t="s">
        <v>63</v>
      </c>
      <c r="F1757">
        <v>1</v>
      </c>
      <c r="G1757">
        <v>94.87</v>
      </c>
      <c r="H1757" t="s">
        <v>58</v>
      </c>
      <c r="I1757" t="s">
        <v>2574</v>
      </c>
      <c r="J1757" t="s">
        <v>94</v>
      </c>
      <c r="K1757" t="s">
        <v>78</v>
      </c>
      <c r="L1757" t="s">
        <v>28</v>
      </c>
      <c r="M1757" t="s">
        <v>49</v>
      </c>
      <c r="N1757">
        <v>94.87</v>
      </c>
    </row>
    <row r="1758" spans="1:14" x14ac:dyDescent="0.35">
      <c r="A1758" s="2">
        <v>45422</v>
      </c>
      <c r="B1758" t="s">
        <v>151</v>
      </c>
      <c r="C1758" t="s">
        <v>71</v>
      </c>
      <c r="D1758" t="s">
        <v>42</v>
      </c>
      <c r="E1758" t="s">
        <v>63</v>
      </c>
      <c r="F1758">
        <v>2</v>
      </c>
      <c r="G1758">
        <v>294.98</v>
      </c>
      <c r="H1758" t="s">
        <v>44</v>
      </c>
      <c r="I1758" t="s">
        <v>2575</v>
      </c>
      <c r="J1758" t="s">
        <v>55</v>
      </c>
      <c r="K1758" t="s">
        <v>78</v>
      </c>
      <c r="L1758" t="s">
        <v>39</v>
      </c>
      <c r="M1758" t="s">
        <v>61</v>
      </c>
      <c r="N1758">
        <v>589.96</v>
      </c>
    </row>
    <row r="1759" spans="1:14" x14ac:dyDescent="0.35">
      <c r="A1759" s="2">
        <v>45763</v>
      </c>
      <c r="B1759" t="s">
        <v>753</v>
      </c>
      <c r="C1759" t="s">
        <v>51</v>
      </c>
      <c r="D1759" t="s">
        <v>22</v>
      </c>
      <c r="E1759" t="s">
        <v>43</v>
      </c>
      <c r="F1759">
        <v>8</v>
      </c>
      <c r="G1759">
        <v>249.03</v>
      </c>
      <c r="H1759" t="s">
        <v>64</v>
      </c>
      <c r="I1759" t="s">
        <v>2576</v>
      </c>
      <c r="J1759" t="s">
        <v>55</v>
      </c>
      <c r="K1759" t="s">
        <v>27</v>
      </c>
      <c r="L1759" t="s">
        <v>39</v>
      </c>
      <c r="M1759" t="s">
        <v>67</v>
      </c>
      <c r="N1759">
        <v>1992.24</v>
      </c>
    </row>
    <row r="1760" spans="1:14" x14ac:dyDescent="0.35">
      <c r="A1760" s="2">
        <v>45191</v>
      </c>
      <c r="B1760" t="s">
        <v>1514</v>
      </c>
      <c r="C1760" t="s">
        <v>41</v>
      </c>
      <c r="D1760" t="s">
        <v>42</v>
      </c>
      <c r="E1760" t="s">
        <v>43</v>
      </c>
      <c r="F1760">
        <v>6</v>
      </c>
      <c r="G1760">
        <v>264.35000000000002</v>
      </c>
      <c r="H1760" t="s">
        <v>44</v>
      </c>
      <c r="I1760" t="s">
        <v>2577</v>
      </c>
      <c r="J1760" t="s">
        <v>55</v>
      </c>
      <c r="K1760" t="s">
        <v>38</v>
      </c>
      <c r="L1760" t="s">
        <v>66</v>
      </c>
      <c r="M1760" t="s">
        <v>61</v>
      </c>
      <c r="N1760">
        <v>1586.1</v>
      </c>
    </row>
    <row r="1761" spans="1:14" x14ac:dyDescent="0.35">
      <c r="A1761" s="2">
        <v>45185</v>
      </c>
      <c r="B1761" t="s">
        <v>141</v>
      </c>
      <c r="C1761" t="s">
        <v>106</v>
      </c>
      <c r="D1761" t="s">
        <v>22</v>
      </c>
      <c r="E1761" t="s">
        <v>63</v>
      </c>
      <c r="F1761">
        <v>6</v>
      </c>
      <c r="G1761">
        <v>63.86</v>
      </c>
      <c r="H1761" t="s">
        <v>24</v>
      </c>
      <c r="I1761" t="s">
        <v>2578</v>
      </c>
      <c r="J1761" t="s">
        <v>26</v>
      </c>
      <c r="K1761" t="s">
        <v>60</v>
      </c>
      <c r="L1761" t="s">
        <v>28</v>
      </c>
      <c r="M1761" t="s">
        <v>79</v>
      </c>
      <c r="N1761">
        <v>383.16</v>
      </c>
    </row>
    <row r="1762" spans="1:14" x14ac:dyDescent="0.35">
      <c r="A1762" s="2">
        <v>45815</v>
      </c>
      <c r="B1762" t="s">
        <v>246</v>
      </c>
      <c r="C1762" t="s">
        <v>86</v>
      </c>
      <c r="D1762" t="s">
        <v>42</v>
      </c>
      <c r="E1762" t="s">
        <v>92</v>
      </c>
      <c r="F1762">
        <v>9</v>
      </c>
      <c r="G1762">
        <v>170.79</v>
      </c>
      <c r="H1762" t="s">
        <v>58</v>
      </c>
      <c r="I1762" t="s">
        <v>2579</v>
      </c>
      <c r="J1762" t="s">
        <v>97</v>
      </c>
      <c r="K1762" t="s">
        <v>60</v>
      </c>
      <c r="L1762" t="s">
        <v>39</v>
      </c>
      <c r="M1762" t="s">
        <v>79</v>
      </c>
      <c r="N1762">
        <v>1537.11</v>
      </c>
    </row>
    <row r="1763" spans="1:14" x14ac:dyDescent="0.35">
      <c r="A1763" s="2">
        <v>45597</v>
      </c>
      <c r="B1763" t="s">
        <v>675</v>
      </c>
      <c r="C1763" t="s">
        <v>21</v>
      </c>
      <c r="D1763" t="s">
        <v>42</v>
      </c>
      <c r="E1763" t="s">
        <v>92</v>
      </c>
      <c r="F1763">
        <v>4</v>
      </c>
      <c r="G1763">
        <v>149.36000000000001</v>
      </c>
      <c r="H1763" t="s">
        <v>58</v>
      </c>
      <c r="I1763" t="s">
        <v>2580</v>
      </c>
      <c r="J1763" t="s">
        <v>55</v>
      </c>
      <c r="K1763" t="s">
        <v>60</v>
      </c>
      <c r="L1763" t="s">
        <v>66</v>
      </c>
      <c r="M1763" t="s">
        <v>61</v>
      </c>
      <c r="N1763">
        <v>597.44000000000005</v>
      </c>
    </row>
    <row r="1764" spans="1:14" x14ac:dyDescent="0.35">
      <c r="A1764" s="2">
        <v>45654</v>
      </c>
      <c r="B1764" t="s">
        <v>847</v>
      </c>
      <c r="C1764" t="s">
        <v>74</v>
      </c>
      <c r="D1764" t="s">
        <v>33</v>
      </c>
      <c r="E1764" t="s">
        <v>43</v>
      </c>
      <c r="F1764">
        <v>1</v>
      </c>
      <c r="G1764">
        <v>170.62</v>
      </c>
      <c r="H1764" t="s">
        <v>58</v>
      </c>
      <c r="I1764" t="s">
        <v>2581</v>
      </c>
      <c r="J1764" t="s">
        <v>94</v>
      </c>
      <c r="K1764" t="s">
        <v>78</v>
      </c>
      <c r="L1764" t="s">
        <v>66</v>
      </c>
      <c r="M1764" t="s">
        <v>79</v>
      </c>
      <c r="N1764">
        <v>170.62</v>
      </c>
    </row>
    <row r="1765" spans="1:14" x14ac:dyDescent="0.35">
      <c r="A1765" s="2">
        <v>45245</v>
      </c>
      <c r="B1765" t="s">
        <v>1246</v>
      </c>
      <c r="C1765" t="s">
        <v>86</v>
      </c>
      <c r="D1765" t="s">
        <v>52</v>
      </c>
      <c r="E1765" t="s">
        <v>63</v>
      </c>
      <c r="F1765">
        <v>10</v>
      </c>
      <c r="G1765">
        <v>99.73</v>
      </c>
      <c r="H1765" t="s">
        <v>35</v>
      </c>
      <c r="I1765" t="s">
        <v>2582</v>
      </c>
      <c r="J1765" t="s">
        <v>97</v>
      </c>
      <c r="K1765" t="s">
        <v>78</v>
      </c>
      <c r="L1765" t="s">
        <v>66</v>
      </c>
      <c r="M1765" t="s">
        <v>67</v>
      </c>
      <c r="N1765">
        <v>997.30000000000007</v>
      </c>
    </row>
    <row r="1766" spans="1:14" x14ac:dyDescent="0.35">
      <c r="A1766" s="2">
        <v>45081</v>
      </c>
      <c r="B1766" t="s">
        <v>1180</v>
      </c>
      <c r="C1766" t="s">
        <v>74</v>
      </c>
      <c r="D1766" t="s">
        <v>33</v>
      </c>
      <c r="E1766" t="s">
        <v>53</v>
      </c>
      <c r="F1766">
        <v>6</v>
      </c>
      <c r="G1766">
        <v>123.3</v>
      </c>
      <c r="H1766" t="s">
        <v>44</v>
      </c>
      <c r="I1766" t="s">
        <v>2583</v>
      </c>
      <c r="J1766" t="s">
        <v>97</v>
      </c>
      <c r="K1766" t="s">
        <v>38</v>
      </c>
      <c r="L1766" t="s">
        <v>39</v>
      </c>
      <c r="M1766" t="s">
        <v>101</v>
      </c>
      <c r="N1766">
        <v>739.8</v>
      </c>
    </row>
    <row r="1767" spans="1:14" x14ac:dyDescent="0.35">
      <c r="A1767" s="2">
        <v>45352</v>
      </c>
      <c r="B1767" t="s">
        <v>1988</v>
      </c>
      <c r="C1767" t="s">
        <v>89</v>
      </c>
      <c r="D1767" t="s">
        <v>22</v>
      </c>
      <c r="E1767" t="s">
        <v>53</v>
      </c>
      <c r="F1767">
        <v>7</v>
      </c>
      <c r="G1767">
        <v>154.19</v>
      </c>
      <c r="H1767" t="s">
        <v>64</v>
      </c>
      <c r="I1767" t="s">
        <v>2584</v>
      </c>
      <c r="J1767" t="s">
        <v>26</v>
      </c>
      <c r="K1767" t="s">
        <v>60</v>
      </c>
      <c r="L1767" t="s">
        <v>28</v>
      </c>
      <c r="M1767" t="s">
        <v>61</v>
      </c>
      <c r="N1767">
        <v>1079.33</v>
      </c>
    </row>
    <row r="1768" spans="1:14" x14ac:dyDescent="0.35">
      <c r="A1768" s="2">
        <v>45080</v>
      </c>
      <c r="B1768" t="s">
        <v>908</v>
      </c>
      <c r="C1768" t="s">
        <v>71</v>
      </c>
      <c r="D1768" t="s">
        <v>22</v>
      </c>
      <c r="E1768" t="s">
        <v>23</v>
      </c>
      <c r="F1768">
        <v>1</v>
      </c>
      <c r="G1768">
        <v>310.64999999999998</v>
      </c>
      <c r="H1768" t="s">
        <v>64</v>
      </c>
      <c r="I1768" t="s">
        <v>2585</v>
      </c>
      <c r="J1768" t="s">
        <v>26</v>
      </c>
      <c r="K1768" t="s">
        <v>27</v>
      </c>
      <c r="L1768" t="s">
        <v>28</v>
      </c>
      <c r="M1768" t="s">
        <v>79</v>
      </c>
      <c r="N1768">
        <v>310.64999999999998</v>
      </c>
    </row>
    <row r="1769" spans="1:14" x14ac:dyDescent="0.35">
      <c r="A1769" s="2">
        <v>45526</v>
      </c>
      <c r="B1769" t="s">
        <v>1031</v>
      </c>
      <c r="C1769" t="s">
        <v>74</v>
      </c>
      <c r="D1769" t="s">
        <v>33</v>
      </c>
      <c r="E1769" t="s">
        <v>34</v>
      </c>
      <c r="F1769">
        <v>9</v>
      </c>
      <c r="G1769">
        <v>120.28</v>
      </c>
      <c r="H1769" t="s">
        <v>64</v>
      </c>
      <c r="I1769" t="s">
        <v>2586</v>
      </c>
      <c r="J1769" t="s">
        <v>55</v>
      </c>
      <c r="K1769" t="s">
        <v>60</v>
      </c>
      <c r="L1769" t="s">
        <v>66</v>
      </c>
      <c r="M1769" t="s">
        <v>56</v>
      </c>
      <c r="N1769">
        <v>1082.52</v>
      </c>
    </row>
    <row r="1770" spans="1:14" x14ac:dyDescent="0.35">
      <c r="A1770" s="2">
        <v>45595</v>
      </c>
      <c r="B1770" t="s">
        <v>656</v>
      </c>
      <c r="C1770" t="s">
        <v>71</v>
      </c>
      <c r="D1770" t="s">
        <v>52</v>
      </c>
      <c r="E1770" t="s">
        <v>92</v>
      </c>
      <c r="F1770">
        <v>3</v>
      </c>
      <c r="G1770">
        <v>337.89</v>
      </c>
      <c r="H1770" t="s">
        <v>64</v>
      </c>
      <c r="I1770" t="s">
        <v>2587</v>
      </c>
      <c r="J1770" t="s">
        <v>94</v>
      </c>
      <c r="K1770" t="s">
        <v>78</v>
      </c>
      <c r="L1770" t="s">
        <v>39</v>
      </c>
      <c r="M1770" t="s">
        <v>67</v>
      </c>
      <c r="N1770">
        <v>1013.67</v>
      </c>
    </row>
    <row r="1771" spans="1:14" x14ac:dyDescent="0.35">
      <c r="A1771" s="2">
        <v>45006</v>
      </c>
      <c r="B1771" t="s">
        <v>727</v>
      </c>
      <c r="C1771" t="s">
        <v>81</v>
      </c>
      <c r="D1771" t="s">
        <v>22</v>
      </c>
      <c r="E1771" t="s">
        <v>23</v>
      </c>
      <c r="F1771">
        <v>7</v>
      </c>
      <c r="G1771">
        <v>66.760000000000005</v>
      </c>
      <c r="H1771" t="s">
        <v>64</v>
      </c>
      <c r="I1771" t="s">
        <v>2588</v>
      </c>
      <c r="J1771" t="s">
        <v>55</v>
      </c>
      <c r="K1771" t="s">
        <v>60</v>
      </c>
      <c r="L1771" t="s">
        <v>28</v>
      </c>
      <c r="M1771" t="s">
        <v>49</v>
      </c>
      <c r="N1771">
        <v>467.32000000000011</v>
      </c>
    </row>
    <row r="1772" spans="1:14" x14ac:dyDescent="0.35">
      <c r="A1772" s="2">
        <v>45782</v>
      </c>
      <c r="B1772" t="s">
        <v>2589</v>
      </c>
      <c r="C1772" t="s">
        <v>41</v>
      </c>
      <c r="D1772" t="s">
        <v>22</v>
      </c>
      <c r="E1772" t="s">
        <v>53</v>
      </c>
      <c r="F1772">
        <v>3</v>
      </c>
      <c r="G1772">
        <v>370.92</v>
      </c>
      <c r="H1772" t="s">
        <v>64</v>
      </c>
      <c r="I1772" t="s">
        <v>2590</v>
      </c>
      <c r="J1772" t="s">
        <v>55</v>
      </c>
      <c r="K1772" t="s">
        <v>38</v>
      </c>
      <c r="L1772" t="s">
        <v>39</v>
      </c>
      <c r="M1772" t="s">
        <v>29</v>
      </c>
      <c r="N1772">
        <v>1112.76</v>
      </c>
    </row>
    <row r="1773" spans="1:14" x14ac:dyDescent="0.35">
      <c r="A1773" s="2">
        <v>45256</v>
      </c>
      <c r="B1773" t="s">
        <v>603</v>
      </c>
      <c r="C1773" t="s">
        <v>51</v>
      </c>
      <c r="D1773" t="s">
        <v>33</v>
      </c>
      <c r="E1773" t="s">
        <v>43</v>
      </c>
      <c r="F1773">
        <v>3</v>
      </c>
      <c r="G1773">
        <v>203.32</v>
      </c>
      <c r="H1773" t="s">
        <v>64</v>
      </c>
      <c r="I1773" t="s">
        <v>2591</v>
      </c>
      <c r="J1773" t="s">
        <v>26</v>
      </c>
      <c r="K1773" t="s">
        <v>60</v>
      </c>
      <c r="L1773" t="s">
        <v>66</v>
      </c>
      <c r="M1773" t="s">
        <v>101</v>
      </c>
      <c r="N1773">
        <v>609.96</v>
      </c>
    </row>
    <row r="1774" spans="1:14" x14ac:dyDescent="0.35">
      <c r="A1774" s="2">
        <v>45341</v>
      </c>
      <c r="B1774" t="s">
        <v>328</v>
      </c>
      <c r="C1774" t="s">
        <v>86</v>
      </c>
      <c r="D1774" t="s">
        <v>52</v>
      </c>
      <c r="E1774" t="s">
        <v>83</v>
      </c>
      <c r="F1774">
        <v>9</v>
      </c>
      <c r="G1774">
        <v>136.79</v>
      </c>
      <c r="H1774" t="s">
        <v>58</v>
      </c>
      <c r="I1774" t="s">
        <v>2592</v>
      </c>
      <c r="J1774" t="s">
        <v>97</v>
      </c>
      <c r="K1774" t="s">
        <v>38</v>
      </c>
      <c r="L1774" t="s">
        <v>39</v>
      </c>
      <c r="M1774" t="s">
        <v>29</v>
      </c>
      <c r="N1774">
        <v>1231.1099999999999</v>
      </c>
    </row>
    <row r="1775" spans="1:14" x14ac:dyDescent="0.35">
      <c r="A1775" s="2">
        <v>45320</v>
      </c>
      <c r="B1775" t="s">
        <v>1623</v>
      </c>
      <c r="C1775" t="s">
        <v>74</v>
      </c>
      <c r="D1775" t="s">
        <v>33</v>
      </c>
      <c r="E1775" t="s">
        <v>63</v>
      </c>
      <c r="F1775">
        <v>5</v>
      </c>
      <c r="G1775">
        <v>130.1</v>
      </c>
      <c r="H1775" t="s">
        <v>24</v>
      </c>
      <c r="I1775" t="s">
        <v>2593</v>
      </c>
      <c r="J1775" t="s">
        <v>37</v>
      </c>
      <c r="K1775" t="s">
        <v>78</v>
      </c>
      <c r="L1775" t="s">
        <v>28</v>
      </c>
      <c r="M1775" t="s">
        <v>29</v>
      </c>
      <c r="N1775">
        <v>650.5</v>
      </c>
    </row>
    <row r="1776" spans="1:14" x14ac:dyDescent="0.35">
      <c r="A1776" s="2">
        <v>45733</v>
      </c>
      <c r="B1776" t="s">
        <v>102</v>
      </c>
      <c r="C1776" t="s">
        <v>41</v>
      </c>
      <c r="D1776" t="s">
        <v>42</v>
      </c>
      <c r="E1776" t="s">
        <v>53</v>
      </c>
      <c r="F1776">
        <v>10</v>
      </c>
      <c r="G1776">
        <v>60.34</v>
      </c>
      <c r="H1776" t="s">
        <v>58</v>
      </c>
      <c r="I1776" t="s">
        <v>2594</v>
      </c>
      <c r="J1776" t="s">
        <v>97</v>
      </c>
      <c r="K1776" t="s">
        <v>38</v>
      </c>
      <c r="L1776" t="s">
        <v>39</v>
      </c>
      <c r="M1776" t="s">
        <v>29</v>
      </c>
      <c r="N1776">
        <v>603.40000000000009</v>
      </c>
    </row>
    <row r="1777" spans="1:14" x14ac:dyDescent="0.35">
      <c r="A1777" s="2">
        <v>45478</v>
      </c>
      <c r="B1777" t="s">
        <v>2007</v>
      </c>
      <c r="C1777" t="s">
        <v>51</v>
      </c>
      <c r="D1777" t="s">
        <v>42</v>
      </c>
      <c r="E1777" t="s">
        <v>83</v>
      </c>
      <c r="F1777">
        <v>8</v>
      </c>
      <c r="G1777">
        <v>13.17</v>
      </c>
      <c r="H1777" t="s">
        <v>35</v>
      </c>
      <c r="I1777" t="s">
        <v>2595</v>
      </c>
      <c r="J1777" t="s">
        <v>55</v>
      </c>
      <c r="K1777" t="s">
        <v>78</v>
      </c>
      <c r="L1777" t="s">
        <v>39</v>
      </c>
      <c r="M1777" t="s">
        <v>61</v>
      </c>
      <c r="N1777">
        <v>105.36</v>
      </c>
    </row>
    <row r="1778" spans="1:14" x14ac:dyDescent="0.35">
      <c r="A1778" s="2">
        <v>45259</v>
      </c>
      <c r="B1778" t="s">
        <v>731</v>
      </c>
      <c r="C1778" t="s">
        <v>71</v>
      </c>
      <c r="D1778" t="s">
        <v>42</v>
      </c>
      <c r="E1778" t="s">
        <v>92</v>
      </c>
      <c r="F1778">
        <v>5</v>
      </c>
      <c r="G1778">
        <v>160.54</v>
      </c>
      <c r="H1778" t="s">
        <v>58</v>
      </c>
      <c r="I1778" t="s">
        <v>2596</v>
      </c>
      <c r="J1778" t="s">
        <v>97</v>
      </c>
      <c r="K1778" t="s">
        <v>38</v>
      </c>
      <c r="L1778" t="s">
        <v>66</v>
      </c>
      <c r="M1778" t="s">
        <v>67</v>
      </c>
      <c r="N1778">
        <v>802.69999999999993</v>
      </c>
    </row>
    <row r="1779" spans="1:14" x14ac:dyDescent="0.35">
      <c r="A1779" s="2">
        <v>45811</v>
      </c>
      <c r="B1779" t="s">
        <v>1844</v>
      </c>
      <c r="C1779" t="s">
        <v>71</v>
      </c>
      <c r="D1779" t="s">
        <v>22</v>
      </c>
      <c r="E1779" t="s">
        <v>23</v>
      </c>
      <c r="F1779">
        <v>7</v>
      </c>
      <c r="G1779">
        <v>255.98</v>
      </c>
      <c r="H1779" t="s">
        <v>64</v>
      </c>
      <c r="I1779" t="s">
        <v>2597</v>
      </c>
      <c r="J1779" t="s">
        <v>37</v>
      </c>
      <c r="K1779" t="s">
        <v>78</v>
      </c>
      <c r="L1779" t="s">
        <v>28</v>
      </c>
      <c r="M1779" t="s">
        <v>49</v>
      </c>
      <c r="N1779">
        <v>1791.86</v>
      </c>
    </row>
    <row r="1780" spans="1:14" x14ac:dyDescent="0.35">
      <c r="A1780" s="2">
        <v>45610</v>
      </c>
      <c r="B1780" t="s">
        <v>558</v>
      </c>
      <c r="C1780" t="s">
        <v>71</v>
      </c>
      <c r="D1780" t="s">
        <v>33</v>
      </c>
      <c r="E1780" t="s">
        <v>83</v>
      </c>
      <c r="F1780">
        <v>7</v>
      </c>
      <c r="G1780">
        <v>161.94999999999999</v>
      </c>
      <c r="H1780" t="s">
        <v>64</v>
      </c>
      <c r="I1780" t="s">
        <v>2598</v>
      </c>
      <c r="J1780" t="s">
        <v>94</v>
      </c>
      <c r="K1780" t="s">
        <v>38</v>
      </c>
      <c r="L1780" t="s">
        <v>39</v>
      </c>
      <c r="M1780" t="s">
        <v>56</v>
      </c>
      <c r="N1780">
        <v>1133.6500000000001</v>
      </c>
    </row>
    <row r="1781" spans="1:14" x14ac:dyDescent="0.35">
      <c r="A1781" s="2">
        <v>45756</v>
      </c>
      <c r="B1781" t="s">
        <v>761</v>
      </c>
      <c r="C1781" t="s">
        <v>74</v>
      </c>
      <c r="D1781" t="s">
        <v>33</v>
      </c>
      <c r="E1781" t="s">
        <v>63</v>
      </c>
      <c r="F1781">
        <v>3</v>
      </c>
      <c r="G1781">
        <v>288.88</v>
      </c>
      <c r="H1781" t="s">
        <v>35</v>
      </c>
      <c r="I1781" t="s">
        <v>2599</v>
      </c>
      <c r="J1781" t="s">
        <v>97</v>
      </c>
      <c r="K1781" t="s">
        <v>60</v>
      </c>
      <c r="L1781" t="s">
        <v>66</v>
      </c>
      <c r="M1781" t="s">
        <v>67</v>
      </c>
      <c r="N1781">
        <v>866.64</v>
      </c>
    </row>
    <row r="1782" spans="1:14" x14ac:dyDescent="0.35">
      <c r="A1782" s="2">
        <v>45668</v>
      </c>
      <c r="B1782" t="s">
        <v>495</v>
      </c>
      <c r="C1782" t="s">
        <v>47</v>
      </c>
      <c r="D1782" t="s">
        <v>33</v>
      </c>
      <c r="E1782" t="s">
        <v>92</v>
      </c>
      <c r="F1782">
        <v>6</v>
      </c>
      <c r="G1782">
        <v>151.75</v>
      </c>
      <c r="H1782" t="s">
        <v>44</v>
      </c>
      <c r="I1782" t="s">
        <v>2600</v>
      </c>
      <c r="J1782" t="s">
        <v>37</v>
      </c>
      <c r="K1782" t="s">
        <v>38</v>
      </c>
      <c r="L1782" t="s">
        <v>28</v>
      </c>
      <c r="M1782" t="s">
        <v>79</v>
      </c>
      <c r="N1782">
        <v>910.5</v>
      </c>
    </row>
    <row r="1783" spans="1:14" x14ac:dyDescent="0.35">
      <c r="A1783" s="2">
        <v>45483</v>
      </c>
      <c r="B1783" t="s">
        <v>556</v>
      </c>
      <c r="C1783" t="s">
        <v>106</v>
      </c>
      <c r="D1783" t="s">
        <v>42</v>
      </c>
      <c r="E1783" t="s">
        <v>23</v>
      </c>
      <c r="F1783">
        <v>4</v>
      </c>
      <c r="G1783">
        <v>205.78</v>
      </c>
      <c r="H1783" t="s">
        <v>44</v>
      </c>
      <c r="I1783" t="s">
        <v>2601</v>
      </c>
      <c r="J1783" t="s">
        <v>55</v>
      </c>
      <c r="K1783" t="s">
        <v>27</v>
      </c>
      <c r="L1783" t="s">
        <v>28</v>
      </c>
      <c r="M1783" t="s">
        <v>67</v>
      </c>
      <c r="N1783">
        <v>823.12</v>
      </c>
    </row>
    <row r="1784" spans="1:14" x14ac:dyDescent="0.35">
      <c r="A1784" s="2">
        <v>45184</v>
      </c>
      <c r="B1784" t="s">
        <v>259</v>
      </c>
      <c r="C1784" t="s">
        <v>89</v>
      </c>
      <c r="D1784" t="s">
        <v>33</v>
      </c>
      <c r="E1784" t="s">
        <v>83</v>
      </c>
      <c r="F1784">
        <v>2</v>
      </c>
      <c r="G1784">
        <v>12.5</v>
      </c>
      <c r="H1784" t="s">
        <v>64</v>
      </c>
      <c r="I1784" t="s">
        <v>2602</v>
      </c>
      <c r="J1784" t="s">
        <v>55</v>
      </c>
      <c r="K1784" t="s">
        <v>38</v>
      </c>
      <c r="L1784" t="s">
        <v>28</v>
      </c>
      <c r="M1784" t="s">
        <v>61</v>
      </c>
      <c r="N1784">
        <v>25</v>
      </c>
    </row>
    <row r="1785" spans="1:14" x14ac:dyDescent="0.35">
      <c r="A1785" s="2">
        <v>45750</v>
      </c>
      <c r="B1785" t="s">
        <v>1261</v>
      </c>
      <c r="C1785" t="s">
        <v>51</v>
      </c>
      <c r="D1785" t="s">
        <v>52</v>
      </c>
      <c r="E1785" t="s">
        <v>34</v>
      </c>
      <c r="F1785">
        <v>7</v>
      </c>
      <c r="G1785">
        <v>19.100000000000001</v>
      </c>
      <c r="H1785" t="s">
        <v>58</v>
      </c>
      <c r="I1785" t="s">
        <v>2603</v>
      </c>
      <c r="J1785" t="s">
        <v>55</v>
      </c>
      <c r="K1785" t="s">
        <v>38</v>
      </c>
      <c r="L1785" t="s">
        <v>39</v>
      </c>
      <c r="M1785" t="s">
        <v>56</v>
      </c>
      <c r="N1785">
        <v>133.69999999999999</v>
      </c>
    </row>
    <row r="1786" spans="1:14" x14ac:dyDescent="0.35">
      <c r="A1786" s="2">
        <v>45160</v>
      </c>
      <c r="B1786" t="s">
        <v>139</v>
      </c>
      <c r="C1786" t="s">
        <v>89</v>
      </c>
      <c r="D1786" t="s">
        <v>33</v>
      </c>
      <c r="E1786" t="s">
        <v>83</v>
      </c>
      <c r="F1786">
        <v>7</v>
      </c>
      <c r="G1786">
        <v>342.43</v>
      </c>
      <c r="H1786" t="s">
        <v>35</v>
      </c>
      <c r="I1786" t="s">
        <v>2604</v>
      </c>
      <c r="J1786" t="s">
        <v>94</v>
      </c>
      <c r="K1786" t="s">
        <v>38</v>
      </c>
      <c r="L1786" t="s">
        <v>66</v>
      </c>
      <c r="M1786" t="s">
        <v>49</v>
      </c>
      <c r="N1786">
        <v>2397.0100000000002</v>
      </c>
    </row>
    <row r="1787" spans="1:14" x14ac:dyDescent="0.35">
      <c r="A1787" s="2">
        <v>45769</v>
      </c>
      <c r="B1787" t="s">
        <v>2605</v>
      </c>
      <c r="C1787" t="s">
        <v>81</v>
      </c>
      <c r="D1787" t="s">
        <v>52</v>
      </c>
      <c r="E1787" t="s">
        <v>23</v>
      </c>
      <c r="F1787">
        <v>6</v>
      </c>
      <c r="G1787">
        <v>84.35</v>
      </c>
      <c r="H1787" t="s">
        <v>64</v>
      </c>
      <c r="I1787" t="s">
        <v>2606</v>
      </c>
      <c r="J1787" t="s">
        <v>37</v>
      </c>
      <c r="K1787" t="s">
        <v>38</v>
      </c>
      <c r="L1787" t="s">
        <v>39</v>
      </c>
      <c r="M1787" t="s">
        <v>49</v>
      </c>
      <c r="N1787">
        <v>506.1</v>
      </c>
    </row>
    <row r="1788" spans="1:14" x14ac:dyDescent="0.35">
      <c r="A1788" s="2">
        <v>45812</v>
      </c>
      <c r="B1788" t="s">
        <v>1326</v>
      </c>
      <c r="C1788" t="s">
        <v>47</v>
      </c>
      <c r="D1788" t="s">
        <v>52</v>
      </c>
      <c r="E1788" t="s">
        <v>92</v>
      </c>
      <c r="F1788">
        <v>9</v>
      </c>
      <c r="G1788">
        <v>120.3</v>
      </c>
      <c r="H1788" t="s">
        <v>44</v>
      </c>
      <c r="I1788" t="s">
        <v>2607</v>
      </c>
      <c r="J1788" t="s">
        <v>55</v>
      </c>
      <c r="K1788" t="s">
        <v>78</v>
      </c>
      <c r="L1788" t="s">
        <v>39</v>
      </c>
      <c r="M1788" t="s">
        <v>67</v>
      </c>
      <c r="N1788">
        <v>1082.7</v>
      </c>
    </row>
    <row r="1789" spans="1:14" x14ac:dyDescent="0.35">
      <c r="A1789" s="2">
        <v>45111</v>
      </c>
      <c r="B1789" t="s">
        <v>1810</v>
      </c>
      <c r="C1789" t="s">
        <v>21</v>
      </c>
      <c r="D1789" t="s">
        <v>42</v>
      </c>
      <c r="E1789" t="s">
        <v>43</v>
      </c>
      <c r="F1789">
        <v>7</v>
      </c>
      <c r="G1789">
        <v>150.54</v>
      </c>
      <c r="H1789" t="s">
        <v>58</v>
      </c>
      <c r="I1789" t="s">
        <v>2608</v>
      </c>
      <c r="J1789" t="s">
        <v>94</v>
      </c>
      <c r="K1789" t="s">
        <v>27</v>
      </c>
      <c r="L1789" t="s">
        <v>39</v>
      </c>
      <c r="M1789" t="s">
        <v>49</v>
      </c>
      <c r="N1789">
        <v>1053.78</v>
      </c>
    </row>
    <row r="1790" spans="1:14" x14ac:dyDescent="0.35">
      <c r="A1790" s="2">
        <v>45391</v>
      </c>
      <c r="B1790" t="s">
        <v>2609</v>
      </c>
      <c r="C1790" t="s">
        <v>106</v>
      </c>
      <c r="D1790" t="s">
        <v>42</v>
      </c>
      <c r="E1790" t="s">
        <v>53</v>
      </c>
      <c r="F1790">
        <v>9</v>
      </c>
      <c r="G1790">
        <v>154.54</v>
      </c>
      <c r="H1790" t="s">
        <v>44</v>
      </c>
      <c r="I1790" t="s">
        <v>2610</v>
      </c>
      <c r="J1790" t="s">
        <v>55</v>
      </c>
      <c r="K1790" t="s">
        <v>78</v>
      </c>
      <c r="L1790" t="s">
        <v>28</v>
      </c>
      <c r="M1790" t="s">
        <v>49</v>
      </c>
      <c r="N1790">
        <v>1390.86</v>
      </c>
    </row>
    <row r="1791" spans="1:14" x14ac:dyDescent="0.35">
      <c r="A1791" s="2">
        <v>44949</v>
      </c>
      <c r="B1791" t="s">
        <v>2609</v>
      </c>
      <c r="C1791" t="s">
        <v>106</v>
      </c>
      <c r="D1791" t="s">
        <v>22</v>
      </c>
      <c r="E1791" t="s">
        <v>92</v>
      </c>
      <c r="F1791">
        <v>4</v>
      </c>
      <c r="G1791">
        <v>169.72</v>
      </c>
      <c r="H1791" t="s">
        <v>64</v>
      </c>
      <c r="I1791" t="s">
        <v>2611</v>
      </c>
      <c r="J1791" t="s">
        <v>94</v>
      </c>
      <c r="K1791" t="s">
        <v>38</v>
      </c>
      <c r="L1791" t="s">
        <v>28</v>
      </c>
      <c r="M1791" t="s">
        <v>29</v>
      </c>
      <c r="N1791">
        <v>678.88</v>
      </c>
    </row>
    <row r="1792" spans="1:14" x14ac:dyDescent="0.35">
      <c r="A1792" s="2">
        <v>45775</v>
      </c>
      <c r="B1792" t="s">
        <v>2242</v>
      </c>
      <c r="C1792" t="s">
        <v>47</v>
      </c>
      <c r="D1792" t="s">
        <v>52</v>
      </c>
      <c r="E1792" t="s">
        <v>53</v>
      </c>
      <c r="F1792">
        <v>5</v>
      </c>
      <c r="G1792">
        <v>135.86000000000001</v>
      </c>
      <c r="H1792" t="s">
        <v>58</v>
      </c>
      <c r="I1792" t="s">
        <v>2612</v>
      </c>
      <c r="J1792" t="s">
        <v>55</v>
      </c>
      <c r="K1792" t="s">
        <v>38</v>
      </c>
      <c r="L1792" t="s">
        <v>28</v>
      </c>
      <c r="M1792" t="s">
        <v>29</v>
      </c>
      <c r="N1792">
        <v>679.30000000000007</v>
      </c>
    </row>
    <row r="1793" spans="1:14" x14ac:dyDescent="0.35">
      <c r="A1793" s="2">
        <v>45744</v>
      </c>
      <c r="B1793" t="s">
        <v>123</v>
      </c>
      <c r="C1793" t="s">
        <v>106</v>
      </c>
      <c r="D1793" t="s">
        <v>33</v>
      </c>
      <c r="E1793" t="s">
        <v>43</v>
      </c>
      <c r="F1793">
        <v>9</v>
      </c>
      <c r="G1793">
        <v>141.4</v>
      </c>
      <c r="H1793" t="s">
        <v>58</v>
      </c>
      <c r="I1793" t="s">
        <v>2613</v>
      </c>
      <c r="J1793" t="s">
        <v>55</v>
      </c>
      <c r="K1793" t="s">
        <v>78</v>
      </c>
      <c r="L1793" t="s">
        <v>66</v>
      </c>
      <c r="M1793" t="s">
        <v>61</v>
      </c>
      <c r="N1793">
        <v>1272.5999999999999</v>
      </c>
    </row>
    <row r="1794" spans="1:14" x14ac:dyDescent="0.35">
      <c r="A1794" s="2">
        <v>45734</v>
      </c>
      <c r="B1794" t="s">
        <v>427</v>
      </c>
      <c r="C1794" t="s">
        <v>71</v>
      </c>
      <c r="D1794" t="s">
        <v>52</v>
      </c>
      <c r="E1794" t="s">
        <v>92</v>
      </c>
      <c r="F1794">
        <v>3</v>
      </c>
      <c r="G1794">
        <v>177.64</v>
      </c>
      <c r="H1794" t="s">
        <v>24</v>
      </c>
      <c r="I1794" t="s">
        <v>2614</v>
      </c>
      <c r="J1794" t="s">
        <v>94</v>
      </c>
      <c r="K1794" t="s">
        <v>38</v>
      </c>
      <c r="L1794" t="s">
        <v>28</v>
      </c>
      <c r="M1794" t="s">
        <v>49</v>
      </c>
      <c r="N1794">
        <v>532.91999999999996</v>
      </c>
    </row>
    <row r="1795" spans="1:14" x14ac:dyDescent="0.35">
      <c r="A1795" s="2">
        <v>45098</v>
      </c>
      <c r="B1795" t="s">
        <v>289</v>
      </c>
      <c r="C1795" t="s">
        <v>86</v>
      </c>
      <c r="D1795" t="s">
        <v>33</v>
      </c>
      <c r="E1795" t="s">
        <v>63</v>
      </c>
      <c r="F1795">
        <v>9</v>
      </c>
      <c r="G1795">
        <v>120.79</v>
      </c>
      <c r="H1795" t="s">
        <v>44</v>
      </c>
      <c r="I1795" t="s">
        <v>2615</v>
      </c>
      <c r="J1795" t="s">
        <v>26</v>
      </c>
      <c r="K1795" t="s">
        <v>27</v>
      </c>
      <c r="L1795" t="s">
        <v>28</v>
      </c>
      <c r="M1795" t="s">
        <v>67</v>
      </c>
      <c r="N1795">
        <v>1087.1099999999999</v>
      </c>
    </row>
    <row r="1796" spans="1:14" x14ac:dyDescent="0.35">
      <c r="A1796" s="2">
        <v>45116</v>
      </c>
      <c r="B1796" t="s">
        <v>780</v>
      </c>
      <c r="C1796" t="s">
        <v>41</v>
      </c>
      <c r="D1796" t="s">
        <v>22</v>
      </c>
      <c r="E1796" t="s">
        <v>34</v>
      </c>
      <c r="F1796">
        <v>1</v>
      </c>
      <c r="G1796">
        <v>154.19</v>
      </c>
      <c r="H1796" t="s">
        <v>24</v>
      </c>
      <c r="I1796" t="s">
        <v>2616</v>
      </c>
      <c r="J1796" t="s">
        <v>37</v>
      </c>
      <c r="K1796" t="s">
        <v>78</v>
      </c>
      <c r="L1796" t="s">
        <v>39</v>
      </c>
      <c r="M1796" t="s">
        <v>101</v>
      </c>
      <c r="N1796">
        <v>154.19</v>
      </c>
    </row>
    <row r="1797" spans="1:14" x14ac:dyDescent="0.35">
      <c r="A1797" s="2">
        <v>45202</v>
      </c>
      <c r="B1797" t="s">
        <v>1738</v>
      </c>
      <c r="C1797" t="s">
        <v>81</v>
      </c>
      <c r="D1797" t="s">
        <v>42</v>
      </c>
      <c r="E1797" t="s">
        <v>92</v>
      </c>
      <c r="F1797">
        <v>9</v>
      </c>
      <c r="G1797">
        <v>195.15</v>
      </c>
      <c r="H1797" t="s">
        <v>24</v>
      </c>
      <c r="I1797" t="s">
        <v>2617</v>
      </c>
      <c r="J1797" t="s">
        <v>97</v>
      </c>
      <c r="K1797" t="s">
        <v>38</v>
      </c>
      <c r="L1797" t="s">
        <v>28</v>
      </c>
      <c r="M1797" t="s">
        <v>49</v>
      </c>
      <c r="N1797">
        <v>1756.35</v>
      </c>
    </row>
    <row r="1798" spans="1:14" x14ac:dyDescent="0.35">
      <c r="A1798" s="2">
        <v>45175</v>
      </c>
      <c r="B1798" t="s">
        <v>1875</v>
      </c>
      <c r="C1798" t="s">
        <v>89</v>
      </c>
      <c r="D1798" t="s">
        <v>22</v>
      </c>
      <c r="E1798" t="s">
        <v>83</v>
      </c>
      <c r="F1798">
        <v>8</v>
      </c>
      <c r="G1798">
        <v>212.14</v>
      </c>
      <c r="H1798" t="s">
        <v>35</v>
      </c>
      <c r="I1798" t="s">
        <v>2618</v>
      </c>
      <c r="J1798" t="s">
        <v>94</v>
      </c>
      <c r="K1798" t="s">
        <v>27</v>
      </c>
      <c r="L1798" t="s">
        <v>28</v>
      </c>
      <c r="M1798" t="s">
        <v>67</v>
      </c>
      <c r="N1798">
        <v>1697.12</v>
      </c>
    </row>
    <row r="1799" spans="1:14" x14ac:dyDescent="0.35">
      <c r="A1799" s="2">
        <v>45346</v>
      </c>
      <c r="B1799" t="s">
        <v>1759</v>
      </c>
      <c r="C1799" t="s">
        <v>74</v>
      </c>
      <c r="D1799" t="s">
        <v>42</v>
      </c>
      <c r="E1799" t="s">
        <v>63</v>
      </c>
      <c r="F1799">
        <v>10</v>
      </c>
      <c r="G1799">
        <v>81.290000000000006</v>
      </c>
      <c r="H1799" t="s">
        <v>35</v>
      </c>
      <c r="I1799" t="s">
        <v>2619</v>
      </c>
      <c r="J1799" t="s">
        <v>55</v>
      </c>
      <c r="K1799" t="s">
        <v>38</v>
      </c>
      <c r="L1799" t="s">
        <v>28</v>
      </c>
      <c r="M1799" t="s">
        <v>79</v>
      </c>
      <c r="N1799">
        <v>812.90000000000009</v>
      </c>
    </row>
    <row r="1800" spans="1:14" x14ac:dyDescent="0.35">
      <c r="A1800" s="2">
        <v>44934</v>
      </c>
      <c r="B1800" t="s">
        <v>1277</v>
      </c>
      <c r="C1800" t="s">
        <v>51</v>
      </c>
      <c r="D1800" t="s">
        <v>22</v>
      </c>
      <c r="E1800" t="s">
        <v>53</v>
      </c>
      <c r="F1800">
        <v>3</v>
      </c>
      <c r="G1800">
        <v>64.42</v>
      </c>
      <c r="H1800" t="s">
        <v>35</v>
      </c>
      <c r="I1800" t="s">
        <v>2620</v>
      </c>
      <c r="J1800" t="s">
        <v>55</v>
      </c>
      <c r="K1800" t="s">
        <v>78</v>
      </c>
      <c r="L1800" t="s">
        <v>66</v>
      </c>
      <c r="M1800" t="s">
        <v>101</v>
      </c>
      <c r="N1800">
        <v>193.26</v>
      </c>
    </row>
    <row r="1801" spans="1:14" x14ac:dyDescent="0.35">
      <c r="A1801" s="2">
        <v>44945</v>
      </c>
      <c r="B1801" t="s">
        <v>507</v>
      </c>
      <c r="C1801" t="s">
        <v>86</v>
      </c>
      <c r="D1801" t="s">
        <v>33</v>
      </c>
      <c r="E1801" t="s">
        <v>83</v>
      </c>
      <c r="F1801">
        <v>4</v>
      </c>
      <c r="G1801">
        <v>230.15</v>
      </c>
      <c r="H1801" t="s">
        <v>24</v>
      </c>
      <c r="I1801" t="s">
        <v>2621</v>
      </c>
      <c r="J1801" t="s">
        <v>55</v>
      </c>
      <c r="K1801" t="s">
        <v>60</v>
      </c>
      <c r="L1801" t="s">
        <v>39</v>
      </c>
      <c r="M1801" t="s">
        <v>56</v>
      </c>
      <c r="N1801">
        <v>920.6</v>
      </c>
    </row>
    <row r="1802" spans="1:14" x14ac:dyDescent="0.35">
      <c r="A1802" s="2">
        <v>45504</v>
      </c>
      <c r="B1802" t="s">
        <v>1435</v>
      </c>
      <c r="C1802" t="s">
        <v>21</v>
      </c>
      <c r="D1802" t="s">
        <v>42</v>
      </c>
      <c r="E1802" t="s">
        <v>34</v>
      </c>
      <c r="F1802">
        <v>7</v>
      </c>
      <c r="G1802">
        <v>143.31</v>
      </c>
      <c r="H1802" t="s">
        <v>44</v>
      </c>
      <c r="I1802" t="s">
        <v>2622</v>
      </c>
      <c r="J1802" t="s">
        <v>94</v>
      </c>
      <c r="K1802" t="s">
        <v>60</v>
      </c>
      <c r="L1802" t="s">
        <v>28</v>
      </c>
      <c r="M1802" t="s">
        <v>67</v>
      </c>
      <c r="N1802">
        <v>1003.17</v>
      </c>
    </row>
    <row r="1803" spans="1:14" x14ac:dyDescent="0.35">
      <c r="A1803" s="2">
        <v>45653</v>
      </c>
      <c r="B1803" t="s">
        <v>360</v>
      </c>
      <c r="C1803" t="s">
        <v>51</v>
      </c>
      <c r="D1803" t="s">
        <v>42</v>
      </c>
      <c r="E1803" t="s">
        <v>34</v>
      </c>
      <c r="F1803">
        <v>3</v>
      </c>
      <c r="G1803">
        <v>95.88</v>
      </c>
      <c r="H1803" t="s">
        <v>35</v>
      </c>
      <c r="I1803" t="s">
        <v>2623</v>
      </c>
      <c r="J1803" t="s">
        <v>94</v>
      </c>
      <c r="K1803" t="s">
        <v>60</v>
      </c>
      <c r="L1803" t="s">
        <v>66</v>
      </c>
      <c r="M1803" t="s">
        <v>61</v>
      </c>
      <c r="N1803">
        <v>287.64</v>
      </c>
    </row>
    <row r="1804" spans="1:14" x14ac:dyDescent="0.35">
      <c r="A1804" s="2">
        <v>45789</v>
      </c>
      <c r="B1804" t="s">
        <v>910</v>
      </c>
      <c r="C1804" t="s">
        <v>47</v>
      </c>
      <c r="D1804" t="s">
        <v>33</v>
      </c>
      <c r="E1804" t="s">
        <v>63</v>
      </c>
      <c r="F1804">
        <v>7</v>
      </c>
      <c r="G1804">
        <v>6.09</v>
      </c>
      <c r="H1804" t="s">
        <v>24</v>
      </c>
      <c r="I1804" t="s">
        <v>2624</v>
      </c>
      <c r="J1804" t="s">
        <v>97</v>
      </c>
      <c r="K1804" t="s">
        <v>27</v>
      </c>
      <c r="L1804" t="s">
        <v>28</v>
      </c>
      <c r="M1804" t="s">
        <v>29</v>
      </c>
      <c r="N1804">
        <v>42.63</v>
      </c>
    </row>
    <row r="1805" spans="1:14" x14ac:dyDescent="0.35">
      <c r="A1805" s="2">
        <v>45591</v>
      </c>
      <c r="B1805" t="s">
        <v>627</v>
      </c>
      <c r="C1805" t="s">
        <v>47</v>
      </c>
      <c r="D1805" t="s">
        <v>33</v>
      </c>
      <c r="E1805" t="s">
        <v>53</v>
      </c>
      <c r="F1805">
        <v>5</v>
      </c>
      <c r="G1805">
        <v>55.87</v>
      </c>
      <c r="H1805" t="s">
        <v>35</v>
      </c>
      <c r="I1805" t="s">
        <v>2625</v>
      </c>
      <c r="J1805" t="s">
        <v>55</v>
      </c>
      <c r="K1805" t="s">
        <v>38</v>
      </c>
      <c r="L1805" t="s">
        <v>39</v>
      </c>
      <c r="M1805" t="s">
        <v>79</v>
      </c>
      <c r="N1805">
        <v>279.35000000000002</v>
      </c>
    </row>
    <row r="1806" spans="1:14" x14ac:dyDescent="0.35">
      <c r="A1806" s="2">
        <v>45016</v>
      </c>
      <c r="B1806" t="s">
        <v>497</v>
      </c>
      <c r="C1806" t="s">
        <v>47</v>
      </c>
      <c r="D1806" t="s">
        <v>33</v>
      </c>
      <c r="E1806" t="s">
        <v>63</v>
      </c>
      <c r="F1806">
        <v>9</v>
      </c>
      <c r="G1806">
        <v>317.69</v>
      </c>
      <c r="H1806" t="s">
        <v>58</v>
      </c>
      <c r="I1806" t="s">
        <v>2626</v>
      </c>
      <c r="J1806" t="s">
        <v>97</v>
      </c>
      <c r="K1806" t="s">
        <v>60</v>
      </c>
      <c r="L1806" t="s">
        <v>28</v>
      </c>
      <c r="M1806" t="s">
        <v>61</v>
      </c>
      <c r="N1806">
        <v>2859.21</v>
      </c>
    </row>
    <row r="1807" spans="1:14" x14ac:dyDescent="0.35">
      <c r="A1807" s="2">
        <v>45213</v>
      </c>
      <c r="B1807" t="s">
        <v>356</v>
      </c>
      <c r="C1807" t="s">
        <v>21</v>
      </c>
      <c r="D1807" t="s">
        <v>52</v>
      </c>
      <c r="E1807" t="s">
        <v>83</v>
      </c>
      <c r="F1807">
        <v>3</v>
      </c>
      <c r="G1807">
        <v>22.13</v>
      </c>
      <c r="H1807" t="s">
        <v>58</v>
      </c>
      <c r="I1807" t="s">
        <v>2627</v>
      </c>
      <c r="J1807" t="s">
        <v>26</v>
      </c>
      <c r="K1807" t="s">
        <v>60</v>
      </c>
      <c r="L1807" t="s">
        <v>39</v>
      </c>
      <c r="M1807" t="s">
        <v>79</v>
      </c>
      <c r="N1807">
        <v>66.39</v>
      </c>
    </row>
    <row r="1808" spans="1:14" x14ac:dyDescent="0.35">
      <c r="A1808" s="2">
        <v>45327</v>
      </c>
      <c r="B1808" t="s">
        <v>1744</v>
      </c>
      <c r="C1808" t="s">
        <v>21</v>
      </c>
      <c r="D1808" t="s">
        <v>22</v>
      </c>
      <c r="E1808" t="s">
        <v>83</v>
      </c>
      <c r="F1808">
        <v>2</v>
      </c>
      <c r="G1808">
        <v>162.37</v>
      </c>
      <c r="H1808" t="s">
        <v>24</v>
      </c>
      <c r="I1808" t="s">
        <v>2628</v>
      </c>
      <c r="J1808" t="s">
        <v>55</v>
      </c>
      <c r="K1808" t="s">
        <v>27</v>
      </c>
      <c r="L1808" t="s">
        <v>28</v>
      </c>
      <c r="M1808" t="s">
        <v>29</v>
      </c>
      <c r="N1808">
        <v>324.74</v>
      </c>
    </row>
    <row r="1809" spans="1:14" x14ac:dyDescent="0.35">
      <c r="A1809" s="2">
        <v>45171</v>
      </c>
      <c r="B1809" t="s">
        <v>2320</v>
      </c>
      <c r="C1809" t="s">
        <v>47</v>
      </c>
      <c r="D1809" t="s">
        <v>42</v>
      </c>
      <c r="E1809" t="s">
        <v>83</v>
      </c>
      <c r="F1809">
        <v>5</v>
      </c>
      <c r="G1809">
        <v>327.60000000000002</v>
      </c>
      <c r="H1809" t="s">
        <v>24</v>
      </c>
      <c r="I1809" t="s">
        <v>2629</v>
      </c>
      <c r="J1809" t="s">
        <v>26</v>
      </c>
      <c r="K1809" t="s">
        <v>78</v>
      </c>
      <c r="L1809" t="s">
        <v>39</v>
      </c>
      <c r="M1809" t="s">
        <v>79</v>
      </c>
      <c r="N1809">
        <v>1638</v>
      </c>
    </row>
    <row r="1810" spans="1:14" x14ac:dyDescent="0.35">
      <c r="A1810" s="2">
        <v>45136</v>
      </c>
      <c r="B1810" t="s">
        <v>184</v>
      </c>
      <c r="C1810" t="s">
        <v>74</v>
      </c>
      <c r="D1810" t="s">
        <v>33</v>
      </c>
      <c r="E1810" t="s">
        <v>53</v>
      </c>
      <c r="F1810">
        <v>9</v>
      </c>
      <c r="G1810">
        <v>52.04</v>
      </c>
      <c r="H1810" t="s">
        <v>24</v>
      </c>
      <c r="I1810" t="s">
        <v>2630</v>
      </c>
      <c r="J1810" t="s">
        <v>94</v>
      </c>
      <c r="K1810" t="s">
        <v>78</v>
      </c>
      <c r="L1810" t="s">
        <v>39</v>
      </c>
      <c r="M1810" t="s">
        <v>79</v>
      </c>
      <c r="N1810">
        <v>468.36</v>
      </c>
    </row>
    <row r="1811" spans="1:14" x14ac:dyDescent="0.35">
      <c r="A1811" s="2">
        <v>45327</v>
      </c>
      <c r="B1811" t="s">
        <v>131</v>
      </c>
      <c r="C1811" t="s">
        <v>81</v>
      </c>
      <c r="D1811" t="s">
        <v>33</v>
      </c>
      <c r="E1811" t="s">
        <v>92</v>
      </c>
      <c r="F1811">
        <v>4</v>
      </c>
      <c r="G1811">
        <v>167.94</v>
      </c>
      <c r="H1811" t="s">
        <v>58</v>
      </c>
      <c r="I1811" t="s">
        <v>2631</v>
      </c>
      <c r="J1811" t="s">
        <v>97</v>
      </c>
      <c r="K1811" t="s">
        <v>27</v>
      </c>
      <c r="L1811" t="s">
        <v>66</v>
      </c>
      <c r="M1811" t="s">
        <v>29</v>
      </c>
      <c r="N1811">
        <v>671.76</v>
      </c>
    </row>
    <row r="1812" spans="1:14" x14ac:dyDescent="0.35">
      <c r="A1812" s="2">
        <v>45720</v>
      </c>
      <c r="B1812" t="s">
        <v>402</v>
      </c>
      <c r="C1812" t="s">
        <v>21</v>
      </c>
      <c r="D1812" t="s">
        <v>42</v>
      </c>
      <c r="E1812" t="s">
        <v>63</v>
      </c>
      <c r="F1812">
        <v>3</v>
      </c>
      <c r="G1812">
        <v>48.51</v>
      </c>
      <c r="H1812" t="s">
        <v>35</v>
      </c>
      <c r="I1812" t="s">
        <v>2632</v>
      </c>
      <c r="J1812" t="s">
        <v>37</v>
      </c>
      <c r="K1812" t="s">
        <v>38</v>
      </c>
      <c r="L1812" t="s">
        <v>39</v>
      </c>
      <c r="M1812" t="s">
        <v>49</v>
      </c>
      <c r="N1812">
        <v>145.53</v>
      </c>
    </row>
    <row r="1813" spans="1:14" x14ac:dyDescent="0.35">
      <c r="A1813" s="2">
        <v>45452</v>
      </c>
      <c r="B1813" t="s">
        <v>443</v>
      </c>
      <c r="C1813" t="s">
        <v>74</v>
      </c>
      <c r="D1813" t="s">
        <v>22</v>
      </c>
      <c r="E1813" t="s">
        <v>43</v>
      </c>
      <c r="F1813">
        <v>7</v>
      </c>
      <c r="G1813">
        <v>250.94</v>
      </c>
      <c r="H1813" t="s">
        <v>35</v>
      </c>
      <c r="I1813" t="s">
        <v>2633</v>
      </c>
      <c r="J1813" t="s">
        <v>97</v>
      </c>
      <c r="K1813" t="s">
        <v>27</v>
      </c>
      <c r="L1813" t="s">
        <v>39</v>
      </c>
      <c r="M1813" t="s">
        <v>101</v>
      </c>
      <c r="N1813">
        <v>1756.58</v>
      </c>
    </row>
    <row r="1814" spans="1:14" x14ac:dyDescent="0.35">
      <c r="A1814" s="2">
        <v>45014</v>
      </c>
      <c r="B1814" t="s">
        <v>182</v>
      </c>
      <c r="C1814" t="s">
        <v>51</v>
      </c>
      <c r="D1814" t="s">
        <v>33</v>
      </c>
      <c r="E1814" t="s">
        <v>43</v>
      </c>
      <c r="F1814">
        <v>10</v>
      </c>
      <c r="G1814">
        <v>72.599999999999994</v>
      </c>
      <c r="H1814" t="s">
        <v>64</v>
      </c>
      <c r="I1814" t="s">
        <v>2634</v>
      </c>
      <c r="J1814" t="s">
        <v>94</v>
      </c>
      <c r="K1814" t="s">
        <v>38</v>
      </c>
      <c r="L1814" t="s">
        <v>66</v>
      </c>
      <c r="M1814" t="s">
        <v>67</v>
      </c>
      <c r="N1814">
        <v>726</v>
      </c>
    </row>
    <row r="1815" spans="1:14" x14ac:dyDescent="0.35">
      <c r="A1815" s="2">
        <v>45730</v>
      </c>
      <c r="B1815" t="s">
        <v>558</v>
      </c>
      <c r="C1815" t="s">
        <v>81</v>
      </c>
      <c r="D1815" t="s">
        <v>22</v>
      </c>
      <c r="E1815" t="s">
        <v>53</v>
      </c>
      <c r="F1815">
        <v>2</v>
      </c>
      <c r="G1815">
        <v>229.46</v>
      </c>
      <c r="H1815" t="s">
        <v>64</v>
      </c>
      <c r="I1815" t="s">
        <v>2635</v>
      </c>
      <c r="J1815" t="s">
        <v>55</v>
      </c>
      <c r="K1815" t="s">
        <v>27</v>
      </c>
      <c r="L1815" t="s">
        <v>39</v>
      </c>
      <c r="M1815" t="s">
        <v>61</v>
      </c>
      <c r="N1815">
        <v>458.92</v>
      </c>
    </row>
    <row r="1816" spans="1:14" x14ac:dyDescent="0.35">
      <c r="A1816" s="2">
        <v>45317</v>
      </c>
      <c r="B1816" t="s">
        <v>2636</v>
      </c>
      <c r="C1816" t="s">
        <v>86</v>
      </c>
      <c r="D1816" t="s">
        <v>42</v>
      </c>
      <c r="E1816" t="s">
        <v>92</v>
      </c>
      <c r="F1816">
        <v>7</v>
      </c>
      <c r="G1816">
        <v>89.98</v>
      </c>
      <c r="H1816" t="s">
        <v>35</v>
      </c>
      <c r="I1816" t="s">
        <v>2637</v>
      </c>
      <c r="J1816" t="s">
        <v>55</v>
      </c>
      <c r="K1816" t="s">
        <v>27</v>
      </c>
      <c r="L1816" t="s">
        <v>28</v>
      </c>
      <c r="M1816" t="s">
        <v>61</v>
      </c>
      <c r="N1816">
        <v>629.86</v>
      </c>
    </row>
    <row r="1817" spans="1:14" x14ac:dyDescent="0.35">
      <c r="A1817" s="2">
        <v>45423</v>
      </c>
      <c r="B1817" t="s">
        <v>1771</v>
      </c>
      <c r="C1817" t="s">
        <v>106</v>
      </c>
      <c r="D1817" t="s">
        <v>22</v>
      </c>
      <c r="E1817" t="s">
        <v>53</v>
      </c>
      <c r="F1817">
        <v>10</v>
      </c>
      <c r="G1817">
        <v>299.33</v>
      </c>
      <c r="H1817" t="s">
        <v>58</v>
      </c>
      <c r="I1817" t="s">
        <v>2638</v>
      </c>
      <c r="J1817" t="s">
        <v>37</v>
      </c>
      <c r="K1817" t="s">
        <v>78</v>
      </c>
      <c r="L1817" t="s">
        <v>66</v>
      </c>
      <c r="M1817" t="s">
        <v>79</v>
      </c>
      <c r="N1817">
        <v>2993.3</v>
      </c>
    </row>
    <row r="1818" spans="1:14" x14ac:dyDescent="0.35">
      <c r="A1818" s="2">
        <v>45739</v>
      </c>
      <c r="B1818" t="s">
        <v>273</v>
      </c>
      <c r="C1818" t="s">
        <v>74</v>
      </c>
      <c r="D1818" t="s">
        <v>42</v>
      </c>
      <c r="E1818" t="s">
        <v>23</v>
      </c>
      <c r="F1818">
        <v>3</v>
      </c>
      <c r="G1818">
        <v>269.05</v>
      </c>
      <c r="H1818" t="s">
        <v>64</v>
      </c>
      <c r="I1818" t="s">
        <v>2639</v>
      </c>
      <c r="J1818" t="s">
        <v>97</v>
      </c>
      <c r="K1818" t="s">
        <v>78</v>
      </c>
      <c r="L1818" t="s">
        <v>39</v>
      </c>
      <c r="M1818" t="s">
        <v>101</v>
      </c>
      <c r="N1818">
        <v>807.15000000000009</v>
      </c>
    </row>
    <row r="1819" spans="1:14" x14ac:dyDescent="0.35">
      <c r="A1819" s="2">
        <v>45715</v>
      </c>
      <c r="B1819" t="s">
        <v>2640</v>
      </c>
      <c r="C1819" t="s">
        <v>51</v>
      </c>
      <c r="D1819" t="s">
        <v>42</v>
      </c>
      <c r="E1819" t="s">
        <v>92</v>
      </c>
      <c r="F1819">
        <v>5</v>
      </c>
      <c r="G1819">
        <v>254.98</v>
      </c>
      <c r="H1819" t="s">
        <v>24</v>
      </c>
      <c r="I1819" t="s">
        <v>2641</v>
      </c>
      <c r="J1819" t="s">
        <v>37</v>
      </c>
      <c r="K1819" t="s">
        <v>78</v>
      </c>
      <c r="L1819" t="s">
        <v>66</v>
      </c>
      <c r="M1819" t="s">
        <v>56</v>
      </c>
      <c r="N1819">
        <v>1274.9000000000001</v>
      </c>
    </row>
    <row r="1820" spans="1:14" x14ac:dyDescent="0.35">
      <c r="A1820" s="2">
        <v>45265</v>
      </c>
      <c r="B1820" t="s">
        <v>2642</v>
      </c>
      <c r="C1820" t="s">
        <v>21</v>
      </c>
      <c r="D1820" t="s">
        <v>42</v>
      </c>
      <c r="E1820" t="s">
        <v>34</v>
      </c>
      <c r="F1820">
        <v>6</v>
      </c>
      <c r="G1820">
        <v>196.33</v>
      </c>
      <c r="H1820" t="s">
        <v>58</v>
      </c>
      <c r="I1820" t="s">
        <v>2643</v>
      </c>
      <c r="J1820" t="s">
        <v>94</v>
      </c>
      <c r="K1820" t="s">
        <v>78</v>
      </c>
      <c r="L1820" t="s">
        <v>39</v>
      </c>
      <c r="M1820" t="s">
        <v>49</v>
      </c>
      <c r="N1820">
        <v>1177.98</v>
      </c>
    </row>
    <row r="1821" spans="1:14" x14ac:dyDescent="0.35">
      <c r="A1821" s="2">
        <v>45504</v>
      </c>
      <c r="B1821" t="s">
        <v>1898</v>
      </c>
      <c r="C1821" t="s">
        <v>71</v>
      </c>
      <c r="D1821" t="s">
        <v>52</v>
      </c>
      <c r="E1821" t="s">
        <v>92</v>
      </c>
      <c r="F1821">
        <v>8</v>
      </c>
      <c r="G1821">
        <v>265.63</v>
      </c>
      <c r="H1821" t="s">
        <v>44</v>
      </c>
      <c r="I1821" t="s">
        <v>2644</v>
      </c>
      <c r="J1821" t="s">
        <v>37</v>
      </c>
      <c r="K1821" t="s">
        <v>27</v>
      </c>
      <c r="L1821" t="s">
        <v>28</v>
      </c>
      <c r="M1821" t="s">
        <v>67</v>
      </c>
      <c r="N1821">
        <v>2125.04</v>
      </c>
    </row>
    <row r="1822" spans="1:14" x14ac:dyDescent="0.35">
      <c r="A1822" s="2">
        <v>45479</v>
      </c>
      <c r="B1822" t="s">
        <v>143</v>
      </c>
      <c r="C1822" t="s">
        <v>47</v>
      </c>
      <c r="D1822" t="s">
        <v>42</v>
      </c>
      <c r="E1822" t="s">
        <v>92</v>
      </c>
      <c r="F1822">
        <v>9</v>
      </c>
      <c r="G1822">
        <v>220.84</v>
      </c>
      <c r="H1822" t="s">
        <v>44</v>
      </c>
      <c r="I1822" t="s">
        <v>2645</v>
      </c>
      <c r="J1822" t="s">
        <v>26</v>
      </c>
      <c r="K1822" t="s">
        <v>38</v>
      </c>
      <c r="L1822" t="s">
        <v>39</v>
      </c>
      <c r="M1822" t="s">
        <v>79</v>
      </c>
      <c r="N1822">
        <v>1987.56</v>
      </c>
    </row>
    <row r="1823" spans="1:14" x14ac:dyDescent="0.35">
      <c r="A1823" s="2">
        <v>45200</v>
      </c>
      <c r="B1823" t="s">
        <v>2589</v>
      </c>
      <c r="C1823" t="s">
        <v>21</v>
      </c>
      <c r="D1823" t="s">
        <v>33</v>
      </c>
      <c r="E1823" t="s">
        <v>23</v>
      </c>
      <c r="F1823">
        <v>3</v>
      </c>
      <c r="G1823">
        <v>190.25</v>
      </c>
      <c r="H1823" t="s">
        <v>44</v>
      </c>
      <c r="I1823" t="s">
        <v>2646</v>
      </c>
      <c r="J1823" t="s">
        <v>37</v>
      </c>
      <c r="K1823" t="s">
        <v>78</v>
      </c>
      <c r="L1823" t="s">
        <v>39</v>
      </c>
      <c r="M1823" t="s">
        <v>101</v>
      </c>
      <c r="N1823">
        <v>570.75</v>
      </c>
    </row>
    <row r="1824" spans="1:14" x14ac:dyDescent="0.35">
      <c r="A1824" s="2">
        <v>45584</v>
      </c>
      <c r="B1824" t="s">
        <v>743</v>
      </c>
      <c r="C1824" t="s">
        <v>41</v>
      </c>
      <c r="D1824" t="s">
        <v>52</v>
      </c>
      <c r="E1824" t="s">
        <v>63</v>
      </c>
      <c r="F1824">
        <v>7</v>
      </c>
      <c r="G1824">
        <v>45.06</v>
      </c>
      <c r="H1824" t="s">
        <v>35</v>
      </c>
      <c r="I1824" t="s">
        <v>2647</v>
      </c>
      <c r="J1824" t="s">
        <v>55</v>
      </c>
      <c r="K1824" t="s">
        <v>78</v>
      </c>
      <c r="L1824" t="s">
        <v>39</v>
      </c>
      <c r="M1824" t="s">
        <v>79</v>
      </c>
      <c r="N1824">
        <v>315.42</v>
      </c>
    </row>
    <row r="1825" spans="1:14" x14ac:dyDescent="0.35">
      <c r="A1825" s="2">
        <v>45400</v>
      </c>
      <c r="B1825" t="s">
        <v>2648</v>
      </c>
      <c r="C1825" t="s">
        <v>89</v>
      </c>
      <c r="D1825" t="s">
        <v>42</v>
      </c>
      <c r="E1825" t="s">
        <v>92</v>
      </c>
      <c r="F1825">
        <v>8</v>
      </c>
      <c r="G1825">
        <v>243.8</v>
      </c>
      <c r="H1825" t="s">
        <v>24</v>
      </c>
      <c r="I1825" t="s">
        <v>2649</v>
      </c>
      <c r="J1825" t="s">
        <v>26</v>
      </c>
      <c r="K1825" t="s">
        <v>60</v>
      </c>
      <c r="L1825" t="s">
        <v>28</v>
      </c>
      <c r="M1825" t="s">
        <v>56</v>
      </c>
      <c r="N1825">
        <v>1950.4</v>
      </c>
    </row>
    <row r="1826" spans="1:14" x14ac:dyDescent="0.35">
      <c r="A1826" s="2">
        <v>45596</v>
      </c>
      <c r="B1826" t="s">
        <v>867</v>
      </c>
      <c r="C1826" t="s">
        <v>51</v>
      </c>
      <c r="D1826" t="s">
        <v>42</v>
      </c>
      <c r="E1826" t="s">
        <v>92</v>
      </c>
      <c r="F1826">
        <v>8</v>
      </c>
      <c r="G1826">
        <v>99.9</v>
      </c>
      <c r="H1826" t="s">
        <v>44</v>
      </c>
      <c r="I1826" t="s">
        <v>2650</v>
      </c>
      <c r="J1826" t="s">
        <v>55</v>
      </c>
      <c r="K1826" t="s">
        <v>78</v>
      </c>
      <c r="L1826" t="s">
        <v>28</v>
      </c>
      <c r="M1826" t="s">
        <v>56</v>
      </c>
      <c r="N1826">
        <v>799.2</v>
      </c>
    </row>
    <row r="1827" spans="1:14" x14ac:dyDescent="0.35">
      <c r="A1827" s="2">
        <v>44939</v>
      </c>
      <c r="B1827" t="s">
        <v>2381</v>
      </c>
      <c r="C1827" t="s">
        <v>47</v>
      </c>
      <c r="D1827" t="s">
        <v>42</v>
      </c>
      <c r="E1827" t="s">
        <v>53</v>
      </c>
      <c r="F1827">
        <v>5</v>
      </c>
      <c r="G1827">
        <v>106.33</v>
      </c>
      <c r="H1827" t="s">
        <v>35</v>
      </c>
      <c r="I1827" t="s">
        <v>2651</v>
      </c>
      <c r="J1827" t="s">
        <v>26</v>
      </c>
      <c r="K1827" t="s">
        <v>60</v>
      </c>
      <c r="L1827" t="s">
        <v>28</v>
      </c>
      <c r="M1827" t="s">
        <v>61</v>
      </c>
      <c r="N1827">
        <v>531.65</v>
      </c>
    </row>
    <row r="1828" spans="1:14" x14ac:dyDescent="0.35">
      <c r="A1828" s="2">
        <v>45776</v>
      </c>
      <c r="B1828" t="s">
        <v>1228</v>
      </c>
      <c r="C1828" t="s">
        <v>74</v>
      </c>
      <c r="D1828" t="s">
        <v>52</v>
      </c>
      <c r="E1828" t="s">
        <v>43</v>
      </c>
      <c r="F1828">
        <v>5</v>
      </c>
      <c r="G1828">
        <v>95.82</v>
      </c>
      <c r="H1828" t="s">
        <v>64</v>
      </c>
      <c r="I1828" t="s">
        <v>2652</v>
      </c>
      <c r="J1828" t="s">
        <v>55</v>
      </c>
      <c r="K1828" t="s">
        <v>27</v>
      </c>
      <c r="L1828" t="s">
        <v>39</v>
      </c>
      <c r="M1828" t="s">
        <v>49</v>
      </c>
      <c r="N1828">
        <v>479.1</v>
      </c>
    </row>
    <row r="1829" spans="1:14" x14ac:dyDescent="0.35">
      <c r="A1829" s="2">
        <v>45501</v>
      </c>
      <c r="B1829" t="s">
        <v>1080</v>
      </c>
      <c r="C1829" t="s">
        <v>47</v>
      </c>
      <c r="D1829" t="s">
        <v>22</v>
      </c>
      <c r="E1829" t="s">
        <v>83</v>
      </c>
      <c r="F1829">
        <v>6</v>
      </c>
      <c r="G1829">
        <v>165.69</v>
      </c>
      <c r="H1829" t="s">
        <v>58</v>
      </c>
      <c r="I1829" t="s">
        <v>2653</v>
      </c>
      <c r="J1829" t="s">
        <v>37</v>
      </c>
      <c r="K1829" t="s">
        <v>27</v>
      </c>
      <c r="L1829" t="s">
        <v>66</v>
      </c>
      <c r="M1829" t="s">
        <v>101</v>
      </c>
      <c r="N1829">
        <v>994.14</v>
      </c>
    </row>
    <row r="1830" spans="1:14" x14ac:dyDescent="0.35">
      <c r="A1830" s="2">
        <v>45299</v>
      </c>
      <c r="B1830" t="s">
        <v>1221</v>
      </c>
      <c r="C1830" t="s">
        <v>74</v>
      </c>
      <c r="D1830" t="s">
        <v>52</v>
      </c>
      <c r="E1830" t="s">
        <v>83</v>
      </c>
      <c r="F1830">
        <v>9</v>
      </c>
      <c r="G1830">
        <v>244.46</v>
      </c>
      <c r="H1830" t="s">
        <v>64</v>
      </c>
      <c r="I1830" t="s">
        <v>2654</v>
      </c>
      <c r="J1830" t="s">
        <v>94</v>
      </c>
      <c r="K1830" t="s">
        <v>60</v>
      </c>
      <c r="L1830" t="s">
        <v>66</v>
      </c>
      <c r="M1830" t="s">
        <v>29</v>
      </c>
      <c r="N1830">
        <v>2200.14</v>
      </c>
    </row>
    <row r="1831" spans="1:14" x14ac:dyDescent="0.35">
      <c r="A1831" s="2">
        <v>45198</v>
      </c>
      <c r="B1831" t="s">
        <v>2022</v>
      </c>
      <c r="C1831" t="s">
        <v>74</v>
      </c>
      <c r="D1831" t="s">
        <v>22</v>
      </c>
      <c r="E1831" t="s">
        <v>83</v>
      </c>
      <c r="F1831">
        <v>4</v>
      </c>
      <c r="G1831">
        <v>265.38</v>
      </c>
      <c r="H1831" t="s">
        <v>44</v>
      </c>
      <c r="I1831" t="s">
        <v>2655</v>
      </c>
      <c r="J1831" t="s">
        <v>97</v>
      </c>
      <c r="K1831" t="s">
        <v>27</v>
      </c>
      <c r="L1831" t="s">
        <v>39</v>
      </c>
      <c r="M1831" t="s">
        <v>61</v>
      </c>
      <c r="N1831">
        <v>1061.52</v>
      </c>
    </row>
    <row r="1832" spans="1:14" x14ac:dyDescent="0.35">
      <c r="A1832" s="2">
        <v>45319</v>
      </c>
      <c r="B1832" t="s">
        <v>1111</v>
      </c>
      <c r="C1832" t="s">
        <v>81</v>
      </c>
      <c r="D1832" t="s">
        <v>42</v>
      </c>
      <c r="E1832" t="s">
        <v>63</v>
      </c>
      <c r="F1832">
        <v>2</v>
      </c>
      <c r="G1832">
        <v>94.02</v>
      </c>
      <c r="H1832" t="s">
        <v>35</v>
      </c>
      <c r="I1832" t="s">
        <v>2656</v>
      </c>
      <c r="J1832" t="s">
        <v>55</v>
      </c>
      <c r="K1832" t="s">
        <v>38</v>
      </c>
      <c r="L1832" t="s">
        <v>66</v>
      </c>
      <c r="M1832" t="s">
        <v>101</v>
      </c>
      <c r="N1832">
        <v>188.04</v>
      </c>
    </row>
    <row r="1833" spans="1:14" x14ac:dyDescent="0.35">
      <c r="A1833" s="2">
        <v>45036</v>
      </c>
      <c r="B1833" t="s">
        <v>1090</v>
      </c>
      <c r="C1833" t="s">
        <v>71</v>
      </c>
      <c r="D1833" t="s">
        <v>22</v>
      </c>
      <c r="E1833" t="s">
        <v>34</v>
      </c>
      <c r="F1833">
        <v>4</v>
      </c>
      <c r="G1833">
        <v>188.71</v>
      </c>
      <c r="H1833" t="s">
        <v>44</v>
      </c>
      <c r="I1833" t="s">
        <v>2657</v>
      </c>
      <c r="J1833" t="s">
        <v>94</v>
      </c>
      <c r="K1833" t="s">
        <v>78</v>
      </c>
      <c r="L1833" t="s">
        <v>28</v>
      </c>
      <c r="M1833" t="s">
        <v>56</v>
      </c>
      <c r="N1833">
        <v>754.84</v>
      </c>
    </row>
    <row r="1834" spans="1:14" x14ac:dyDescent="0.35">
      <c r="A1834" s="2">
        <v>45195</v>
      </c>
      <c r="B1834" t="s">
        <v>315</v>
      </c>
      <c r="C1834" t="s">
        <v>47</v>
      </c>
      <c r="D1834" t="s">
        <v>52</v>
      </c>
      <c r="E1834" t="s">
        <v>63</v>
      </c>
      <c r="F1834">
        <v>8</v>
      </c>
      <c r="G1834">
        <v>161.61000000000001</v>
      </c>
      <c r="H1834" t="s">
        <v>24</v>
      </c>
      <c r="I1834" t="s">
        <v>2658</v>
      </c>
      <c r="J1834" t="s">
        <v>26</v>
      </c>
      <c r="K1834" t="s">
        <v>60</v>
      </c>
      <c r="L1834" t="s">
        <v>66</v>
      </c>
      <c r="M1834" t="s">
        <v>49</v>
      </c>
      <c r="N1834">
        <v>1292.8800000000001</v>
      </c>
    </row>
    <row r="1835" spans="1:14" x14ac:dyDescent="0.35">
      <c r="A1835" s="2">
        <v>45631</v>
      </c>
      <c r="B1835" t="s">
        <v>2005</v>
      </c>
      <c r="C1835" t="s">
        <v>47</v>
      </c>
      <c r="D1835" t="s">
        <v>22</v>
      </c>
      <c r="E1835" t="s">
        <v>34</v>
      </c>
      <c r="F1835">
        <v>7</v>
      </c>
      <c r="G1835">
        <v>52.07</v>
      </c>
      <c r="H1835" t="s">
        <v>24</v>
      </c>
      <c r="I1835" t="s">
        <v>2659</v>
      </c>
      <c r="J1835" t="s">
        <v>37</v>
      </c>
      <c r="K1835" t="s">
        <v>60</v>
      </c>
      <c r="L1835" t="s">
        <v>28</v>
      </c>
      <c r="M1835" t="s">
        <v>56</v>
      </c>
      <c r="N1835">
        <v>364.49</v>
      </c>
    </row>
    <row r="1836" spans="1:14" x14ac:dyDescent="0.35">
      <c r="A1836" s="2">
        <v>45637</v>
      </c>
      <c r="B1836" t="s">
        <v>1657</v>
      </c>
      <c r="C1836" t="s">
        <v>21</v>
      </c>
      <c r="D1836" t="s">
        <v>42</v>
      </c>
      <c r="E1836" t="s">
        <v>23</v>
      </c>
      <c r="F1836">
        <v>7</v>
      </c>
      <c r="G1836">
        <v>324.85000000000002</v>
      </c>
      <c r="H1836" t="s">
        <v>35</v>
      </c>
      <c r="I1836" t="s">
        <v>2660</v>
      </c>
      <c r="J1836" t="s">
        <v>55</v>
      </c>
      <c r="K1836" t="s">
        <v>60</v>
      </c>
      <c r="L1836" t="s">
        <v>39</v>
      </c>
      <c r="M1836" t="s">
        <v>67</v>
      </c>
      <c r="N1836">
        <v>2273.9499999999998</v>
      </c>
    </row>
    <row r="1837" spans="1:14" x14ac:dyDescent="0.35">
      <c r="A1837" s="2">
        <v>45633</v>
      </c>
      <c r="B1837" t="s">
        <v>1215</v>
      </c>
      <c r="C1837" t="s">
        <v>86</v>
      </c>
      <c r="D1837" t="s">
        <v>33</v>
      </c>
      <c r="E1837" t="s">
        <v>43</v>
      </c>
      <c r="F1837">
        <v>9</v>
      </c>
      <c r="G1837">
        <v>269.56</v>
      </c>
      <c r="H1837" t="s">
        <v>44</v>
      </c>
      <c r="I1837" t="s">
        <v>2661</v>
      </c>
      <c r="J1837" t="s">
        <v>37</v>
      </c>
      <c r="K1837" t="s">
        <v>27</v>
      </c>
      <c r="L1837" t="s">
        <v>39</v>
      </c>
      <c r="M1837" t="s">
        <v>79</v>
      </c>
      <c r="N1837">
        <v>2426.04</v>
      </c>
    </row>
    <row r="1838" spans="1:14" x14ac:dyDescent="0.35">
      <c r="A1838" s="2">
        <v>45151</v>
      </c>
      <c r="B1838" t="s">
        <v>2662</v>
      </c>
      <c r="C1838" t="s">
        <v>106</v>
      </c>
      <c r="D1838" t="s">
        <v>42</v>
      </c>
      <c r="E1838" t="s">
        <v>53</v>
      </c>
      <c r="F1838">
        <v>10</v>
      </c>
      <c r="G1838">
        <v>332.92</v>
      </c>
      <c r="H1838" t="s">
        <v>44</v>
      </c>
      <c r="I1838" t="s">
        <v>2663</v>
      </c>
      <c r="J1838" t="s">
        <v>94</v>
      </c>
      <c r="K1838" t="s">
        <v>38</v>
      </c>
      <c r="L1838" t="s">
        <v>66</v>
      </c>
      <c r="M1838" t="s">
        <v>101</v>
      </c>
      <c r="N1838">
        <v>3329.2</v>
      </c>
    </row>
    <row r="1839" spans="1:14" x14ac:dyDescent="0.35">
      <c r="A1839" s="2">
        <v>45245</v>
      </c>
      <c r="B1839" t="s">
        <v>1205</v>
      </c>
      <c r="C1839" t="s">
        <v>41</v>
      </c>
      <c r="D1839" t="s">
        <v>22</v>
      </c>
      <c r="E1839" t="s">
        <v>83</v>
      </c>
      <c r="F1839">
        <v>9</v>
      </c>
      <c r="G1839">
        <v>79.400000000000006</v>
      </c>
      <c r="H1839" t="s">
        <v>64</v>
      </c>
      <c r="I1839" t="s">
        <v>2664</v>
      </c>
      <c r="J1839" t="s">
        <v>94</v>
      </c>
      <c r="K1839" t="s">
        <v>38</v>
      </c>
      <c r="L1839" t="s">
        <v>66</v>
      </c>
      <c r="M1839" t="s">
        <v>67</v>
      </c>
      <c r="N1839">
        <v>714.6</v>
      </c>
    </row>
    <row r="1840" spans="1:14" x14ac:dyDescent="0.35">
      <c r="A1840" s="2">
        <v>45606</v>
      </c>
      <c r="B1840" t="s">
        <v>2665</v>
      </c>
      <c r="C1840" t="s">
        <v>41</v>
      </c>
      <c r="D1840" t="s">
        <v>22</v>
      </c>
      <c r="E1840" t="s">
        <v>83</v>
      </c>
      <c r="F1840">
        <v>1</v>
      </c>
      <c r="G1840">
        <v>231.81</v>
      </c>
      <c r="H1840" t="s">
        <v>58</v>
      </c>
      <c r="I1840" t="s">
        <v>2666</v>
      </c>
      <c r="J1840" t="s">
        <v>97</v>
      </c>
      <c r="K1840" t="s">
        <v>38</v>
      </c>
      <c r="L1840" t="s">
        <v>28</v>
      </c>
      <c r="M1840" t="s">
        <v>101</v>
      </c>
      <c r="N1840">
        <v>231.81</v>
      </c>
    </row>
    <row r="1841" spans="1:14" x14ac:dyDescent="0.35">
      <c r="A1841" s="2">
        <v>45838</v>
      </c>
      <c r="B1841" t="s">
        <v>85</v>
      </c>
      <c r="C1841" t="s">
        <v>41</v>
      </c>
      <c r="D1841" t="s">
        <v>42</v>
      </c>
      <c r="E1841" t="s">
        <v>92</v>
      </c>
      <c r="F1841">
        <v>10</v>
      </c>
      <c r="G1841">
        <v>155.46</v>
      </c>
      <c r="H1841" t="s">
        <v>64</v>
      </c>
      <c r="I1841" t="s">
        <v>2667</v>
      </c>
      <c r="J1841" t="s">
        <v>97</v>
      </c>
      <c r="K1841" t="s">
        <v>78</v>
      </c>
      <c r="L1841" t="s">
        <v>39</v>
      </c>
      <c r="M1841" t="s">
        <v>29</v>
      </c>
      <c r="N1841">
        <v>1554.6</v>
      </c>
    </row>
    <row r="1842" spans="1:14" x14ac:dyDescent="0.35">
      <c r="A1842" s="2">
        <v>45627</v>
      </c>
      <c r="B1842" t="s">
        <v>2668</v>
      </c>
      <c r="C1842" t="s">
        <v>71</v>
      </c>
      <c r="D1842" t="s">
        <v>22</v>
      </c>
      <c r="E1842" t="s">
        <v>23</v>
      </c>
      <c r="F1842">
        <v>10</v>
      </c>
      <c r="G1842">
        <v>388.8</v>
      </c>
      <c r="H1842" t="s">
        <v>64</v>
      </c>
      <c r="I1842" t="s">
        <v>2669</v>
      </c>
      <c r="J1842" t="s">
        <v>97</v>
      </c>
      <c r="K1842" t="s">
        <v>78</v>
      </c>
      <c r="L1842" t="s">
        <v>39</v>
      </c>
      <c r="M1842" t="s">
        <v>101</v>
      </c>
      <c r="N1842">
        <v>3888</v>
      </c>
    </row>
    <row r="1843" spans="1:14" x14ac:dyDescent="0.35">
      <c r="A1843" s="2">
        <v>45582</v>
      </c>
      <c r="B1843" t="s">
        <v>532</v>
      </c>
      <c r="C1843" t="s">
        <v>47</v>
      </c>
      <c r="D1843" t="s">
        <v>33</v>
      </c>
      <c r="E1843" t="s">
        <v>23</v>
      </c>
      <c r="F1843">
        <v>9</v>
      </c>
      <c r="G1843">
        <v>278.23</v>
      </c>
      <c r="H1843" t="s">
        <v>24</v>
      </c>
      <c r="I1843" t="s">
        <v>2670</v>
      </c>
      <c r="J1843" t="s">
        <v>37</v>
      </c>
      <c r="K1843" t="s">
        <v>78</v>
      </c>
      <c r="L1843" t="s">
        <v>28</v>
      </c>
      <c r="M1843" t="s">
        <v>56</v>
      </c>
      <c r="N1843">
        <v>2504.0700000000002</v>
      </c>
    </row>
    <row r="1844" spans="1:14" x14ac:dyDescent="0.35">
      <c r="A1844" s="2">
        <v>44930</v>
      </c>
      <c r="B1844" t="s">
        <v>2226</v>
      </c>
      <c r="C1844" t="s">
        <v>41</v>
      </c>
      <c r="D1844" t="s">
        <v>42</v>
      </c>
      <c r="E1844" t="s">
        <v>63</v>
      </c>
      <c r="F1844">
        <v>10</v>
      </c>
      <c r="G1844">
        <v>147.91999999999999</v>
      </c>
      <c r="H1844" t="s">
        <v>44</v>
      </c>
      <c r="I1844" t="s">
        <v>2671</v>
      </c>
      <c r="J1844" t="s">
        <v>37</v>
      </c>
      <c r="K1844" t="s">
        <v>60</v>
      </c>
      <c r="L1844" t="s">
        <v>39</v>
      </c>
      <c r="M1844" t="s">
        <v>67</v>
      </c>
      <c r="N1844">
        <v>1479.2</v>
      </c>
    </row>
    <row r="1845" spans="1:14" x14ac:dyDescent="0.35">
      <c r="A1845" s="2">
        <v>45470</v>
      </c>
      <c r="B1845" t="s">
        <v>648</v>
      </c>
      <c r="C1845" t="s">
        <v>89</v>
      </c>
      <c r="D1845" t="s">
        <v>22</v>
      </c>
      <c r="E1845" t="s">
        <v>53</v>
      </c>
      <c r="F1845">
        <v>1</v>
      </c>
      <c r="G1845">
        <v>87.51</v>
      </c>
      <c r="H1845" t="s">
        <v>44</v>
      </c>
      <c r="I1845" t="s">
        <v>2672</v>
      </c>
      <c r="J1845" t="s">
        <v>55</v>
      </c>
      <c r="K1845" t="s">
        <v>27</v>
      </c>
      <c r="L1845" t="s">
        <v>66</v>
      </c>
      <c r="M1845" t="s">
        <v>56</v>
      </c>
      <c r="N1845">
        <v>87.51</v>
      </c>
    </row>
    <row r="1846" spans="1:14" x14ac:dyDescent="0.35">
      <c r="A1846" s="2">
        <v>45048</v>
      </c>
      <c r="B1846" t="s">
        <v>248</v>
      </c>
      <c r="C1846" t="s">
        <v>21</v>
      </c>
      <c r="D1846" t="s">
        <v>42</v>
      </c>
      <c r="E1846" t="s">
        <v>53</v>
      </c>
      <c r="F1846">
        <v>3</v>
      </c>
      <c r="G1846">
        <v>391.06</v>
      </c>
      <c r="H1846" t="s">
        <v>64</v>
      </c>
      <c r="I1846" t="s">
        <v>2673</v>
      </c>
      <c r="J1846" t="s">
        <v>55</v>
      </c>
      <c r="K1846" t="s">
        <v>27</v>
      </c>
      <c r="L1846" t="s">
        <v>66</v>
      </c>
      <c r="M1846" t="s">
        <v>49</v>
      </c>
      <c r="N1846">
        <v>1173.18</v>
      </c>
    </row>
    <row r="1847" spans="1:14" x14ac:dyDescent="0.35">
      <c r="A1847" s="2">
        <v>45838</v>
      </c>
      <c r="B1847" t="s">
        <v>648</v>
      </c>
      <c r="C1847" t="s">
        <v>71</v>
      </c>
      <c r="D1847" t="s">
        <v>52</v>
      </c>
      <c r="E1847" t="s">
        <v>34</v>
      </c>
      <c r="F1847">
        <v>4</v>
      </c>
      <c r="G1847">
        <v>355.18</v>
      </c>
      <c r="H1847" t="s">
        <v>44</v>
      </c>
      <c r="I1847" t="s">
        <v>2674</v>
      </c>
      <c r="J1847" t="s">
        <v>97</v>
      </c>
      <c r="K1847" t="s">
        <v>27</v>
      </c>
      <c r="L1847" t="s">
        <v>66</v>
      </c>
      <c r="M1847" t="s">
        <v>29</v>
      </c>
      <c r="N1847">
        <v>1420.72</v>
      </c>
    </row>
    <row r="1848" spans="1:14" x14ac:dyDescent="0.35">
      <c r="A1848" s="2">
        <v>45178</v>
      </c>
      <c r="B1848" t="s">
        <v>1224</v>
      </c>
      <c r="C1848" t="s">
        <v>86</v>
      </c>
      <c r="D1848" t="s">
        <v>42</v>
      </c>
      <c r="E1848" t="s">
        <v>53</v>
      </c>
      <c r="F1848">
        <v>1</v>
      </c>
      <c r="G1848">
        <v>36.880000000000003</v>
      </c>
      <c r="H1848" t="s">
        <v>24</v>
      </c>
      <c r="I1848" t="s">
        <v>2675</v>
      </c>
      <c r="J1848" t="s">
        <v>97</v>
      </c>
      <c r="K1848" t="s">
        <v>78</v>
      </c>
      <c r="L1848" t="s">
        <v>28</v>
      </c>
      <c r="M1848" t="s">
        <v>79</v>
      </c>
      <c r="N1848">
        <v>36.880000000000003</v>
      </c>
    </row>
    <row r="1849" spans="1:14" x14ac:dyDescent="0.35">
      <c r="A1849" s="2">
        <v>45516</v>
      </c>
      <c r="B1849" t="s">
        <v>328</v>
      </c>
      <c r="C1849" t="s">
        <v>47</v>
      </c>
      <c r="D1849" t="s">
        <v>42</v>
      </c>
      <c r="E1849" t="s">
        <v>63</v>
      </c>
      <c r="F1849">
        <v>10</v>
      </c>
      <c r="G1849">
        <v>10.16</v>
      </c>
      <c r="H1849" t="s">
        <v>64</v>
      </c>
      <c r="I1849" t="s">
        <v>2676</v>
      </c>
      <c r="J1849" t="s">
        <v>26</v>
      </c>
      <c r="K1849" t="s">
        <v>60</v>
      </c>
      <c r="L1849" t="s">
        <v>39</v>
      </c>
      <c r="M1849" t="s">
        <v>29</v>
      </c>
      <c r="N1849">
        <v>101.6</v>
      </c>
    </row>
    <row r="1850" spans="1:14" x14ac:dyDescent="0.35">
      <c r="A1850" s="2">
        <v>45755</v>
      </c>
      <c r="B1850" t="s">
        <v>1150</v>
      </c>
      <c r="C1850" t="s">
        <v>21</v>
      </c>
      <c r="D1850" t="s">
        <v>33</v>
      </c>
      <c r="E1850" t="s">
        <v>34</v>
      </c>
      <c r="F1850">
        <v>8</v>
      </c>
      <c r="G1850">
        <v>104.62</v>
      </c>
      <c r="H1850" t="s">
        <v>24</v>
      </c>
      <c r="I1850" t="s">
        <v>2677</v>
      </c>
      <c r="J1850" t="s">
        <v>97</v>
      </c>
      <c r="K1850" t="s">
        <v>60</v>
      </c>
      <c r="L1850" t="s">
        <v>39</v>
      </c>
      <c r="M1850" t="s">
        <v>49</v>
      </c>
      <c r="N1850">
        <v>836.96</v>
      </c>
    </row>
    <row r="1851" spans="1:14" x14ac:dyDescent="0.35">
      <c r="A1851" s="2">
        <v>45773</v>
      </c>
      <c r="B1851" t="s">
        <v>474</v>
      </c>
      <c r="C1851" t="s">
        <v>21</v>
      </c>
      <c r="D1851" t="s">
        <v>22</v>
      </c>
      <c r="E1851" t="s">
        <v>63</v>
      </c>
      <c r="F1851">
        <v>8</v>
      </c>
      <c r="G1851">
        <v>27.83</v>
      </c>
      <c r="H1851" t="s">
        <v>35</v>
      </c>
      <c r="I1851" t="s">
        <v>2678</v>
      </c>
      <c r="J1851" t="s">
        <v>55</v>
      </c>
      <c r="K1851" t="s">
        <v>60</v>
      </c>
      <c r="L1851" t="s">
        <v>39</v>
      </c>
      <c r="M1851" t="s">
        <v>79</v>
      </c>
      <c r="N1851">
        <v>222.64</v>
      </c>
    </row>
    <row r="1852" spans="1:14" x14ac:dyDescent="0.35">
      <c r="A1852" s="2">
        <v>45306</v>
      </c>
      <c r="B1852" t="s">
        <v>1699</v>
      </c>
      <c r="C1852" t="s">
        <v>81</v>
      </c>
      <c r="D1852" t="s">
        <v>33</v>
      </c>
      <c r="E1852" t="s">
        <v>53</v>
      </c>
      <c r="F1852">
        <v>10</v>
      </c>
      <c r="G1852">
        <v>55.93</v>
      </c>
      <c r="H1852" t="s">
        <v>24</v>
      </c>
      <c r="I1852" t="s">
        <v>2679</v>
      </c>
      <c r="J1852" t="s">
        <v>37</v>
      </c>
      <c r="K1852" t="s">
        <v>38</v>
      </c>
      <c r="L1852" t="s">
        <v>39</v>
      </c>
      <c r="M1852" t="s">
        <v>29</v>
      </c>
      <c r="N1852">
        <v>559.29999999999995</v>
      </c>
    </row>
    <row r="1853" spans="1:14" x14ac:dyDescent="0.35">
      <c r="A1853" s="2">
        <v>45719</v>
      </c>
      <c r="B1853" t="s">
        <v>2680</v>
      </c>
      <c r="C1853" t="s">
        <v>86</v>
      </c>
      <c r="D1853" t="s">
        <v>33</v>
      </c>
      <c r="E1853" t="s">
        <v>53</v>
      </c>
      <c r="F1853">
        <v>4</v>
      </c>
      <c r="G1853">
        <v>5.65</v>
      </c>
      <c r="H1853" t="s">
        <v>24</v>
      </c>
      <c r="I1853" t="s">
        <v>2681</v>
      </c>
      <c r="J1853" t="s">
        <v>55</v>
      </c>
      <c r="K1853" t="s">
        <v>78</v>
      </c>
      <c r="L1853" t="s">
        <v>28</v>
      </c>
      <c r="M1853" t="s">
        <v>29</v>
      </c>
      <c r="N1853">
        <v>22.6</v>
      </c>
    </row>
    <row r="1854" spans="1:14" x14ac:dyDescent="0.35">
      <c r="A1854" s="2">
        <v>45280</v>
      </c>
      <c r="B1854" t="s">
        <v>147</v>
      </c>
      <c r="C1854" t="s">
        <v>106</v>
      </c>
      <c r="D1854" t="s">
        <v>52</v>
      </c>
      <c r="E1854" t="s">
        <v>53</v>
      </c>
      <c r="F1854">
        <v>5</v>
      </c>
      <c r="G1854">
        <v>216.17</v>
      </c>
      <c r="H1854" t="s">
        <v>64</v>
      </c>
      <c r="I1854" t="s">
        <v>2682</v>
      </c>
      <c r="J1854" t="s">
        <v>55</v>
      </c>
      <c r="K1854" t="s">
        <v>27</v>
      </c>
      <c r="L1854" t="s">
        <v>28</v>
      </c>
      <c r="M1854" t="s">
        <v>67</v>
      </c>
      <c r="N1854">
        <v>1080.8499999999999</v>
      </c>
    </row>
    <row r="1855" spans="1:14" x14ac:dyDescent="0.35">
      <c r="A1855" s="2">
        <v>45483</v>
      </c>
      <c r="B1855" t="s">
        <v>356</v>
      </c>
      <c r="C1855" t="s">
        <v>21</v>
      </c>
      <c r="D1855" t="s">
        <v>22</v>
      </c>
      <c r="E1855" t="s">
        <v>83</v>
      </c>
      <c r="F1855">
        <v>9</v>
      </c>
      <c r="G1855">
        <v>80.040000000000006</v>
      </c>
      <c r="H1855" t="s">
        <v>24</v>
      </c>
      <c r="I1855" t="s">
        <v>2683</v>
      </c>
      <c r="J1855" t="s">
        <v>55</v>
      </c>
      <c r="K1855" t="s">
        <v>38</v>
      </c>
      <c r="L1855" t="s">
        <v>39</v>
      </c>
      <c r="M1855" t="s">
        <v>67</v>
      </c>
      <c r="N1855">
        <v>720.36</v>
      </c>
    </row>
    <row r="1856" spans="1:14" x14ac:dyDescent="0.35">
      <c r="A1856" s="2">
        <v>45433</v>
      </c>
      <c r="B1856" t="s">
        <v>775</v>
      </c>
      <c r="C1856" t="s">
        <v>41</v>
      </c>
      <c r="D1856" t="s">
        <v>52</v>
      </c>
      <c r="E1856" t="s">
        <v>53</v>
      </c>
      <c r="F1856">
        <v>2</v>
      </c>
      <c r="G1856">
        <v>143.63999999999999</v>
      </c>
      <c r="H1856" t="s">
        <v>24</v>
      </c>
      <c r="I1856" t="s">
        <v>2684</v>
      </c>
      <c r="J1856" t="s">
        <v>26</v>
      </c>
      <c r="K1856" t="s">
        <v>78</v>
      </c>
      <c r="L1856" t="s">
        <v>39</v>
      </c>
      <c r="M1856" t="s">
        <v>49</v>
      </c>
      <c r="N1856">
        <v>287.27999999999997</v>
      </c>
    </row>
    <row r="1857" spans="1:14" x14ac:dyDescent="0.35">
      <c r="A1857" s="2">
        <v>45113</v>
      </c>
      <c r="B1857" t="s">
        <v>897</v>
      </c>
      <c r="C1857" t="s">
        <v>81</v>
      </c>
      <c r="D1857" t="s">
        <v>42</v>
      </c>
      <c r="E1857" t="s">
        <v>83</v>
      </c>
      <c r="F1857">
        <v>7</v>
      </c>
      <c r="G1857">
        <v>51.16</v>
      </c>
      <c r="H1857" t="s">
        <v>64</v>
      </c>
      <c r="I1857" t="s">
        <v>2685</v>
      </c>
      <c r="J1857" t="s">
        <v>37</v>
      </c>
      <c r="K1857" t="s">
        <v>78</v>
      </c>
      <c r="L1857" t="s">
        <v>39</v>
      </c>
      <c r="M1857" t="s">
        <v>56</v>
      </c>
      <c r="N1857">
        <v>358.12</v>
      </c>
    </row>
    <row r="1858" spans="1:14" x14ac:dyDescent="0.35">
      <c r="A1858" s="2">
        <v>45797</v>
      </c>
      <c r="B1858" t="s">
        <v>1771</v>
      </c>
      <c r="C1858" t="s">
        <v>106</v>
      </c>
      <c r="D1858" t="s">
        <v>52</v>
      </c>
      <c r="E1858" t="s">
        <v>23</v>
      </c>
      <c r="F1858">
        <v>5</v>
      </c>
      <c r="G1858">
        <v>34.4</v>
      </c>
      <c r="H1858" t="s">
        <v>35</v>
      </c>
      <c r="I1858" t="s">
        <v>2686</v>
      </c>
      <c r="J1858" t="s">
        <v>97</v>
      </c>
      <c r="K1858" t="s">
        <v>27</v>
      </c>
      <c r="L1858" t="s">
        <v>66</v>
      </c>
      <c r="M1858" t="s">
        <v>49</v>
      </c>
      <c r="N1858">
        <v>172</v>
      </c>
    </row>
    <row r="1859" spans="1:14" x14ac:dyDescent="0.35">
      <c r="A1859" s="2">
        <v>45562</v>
      </c>
      <c r="B1859" t="s">
        <v>2024</v>
      </c>
      <c r="C1859" t="s">
        <v>106</v>
      </c>
      <c r="D1859" t="s">
        <v>33</v>
      </c>
      <c r="E1859" t="s">
        <v>92</v>
      </c>
      <c r="F1859">
        <v>7</v>
      </c>
      <c r="G1859">
        <v>18.22</v>
      </c>
      <c r="H1859" t="s">
        <v>58</v>
      </c>
      <c r="I1859" t="s">
        <v>2687</v>
      </c>
      <c r="J1859" t="s">
        <v>94</v>
      </c>
      <c r="K1859" t="s">
        <v>78</v>
      </c>
      <c r="L1859" t="s">
        <v>66</v>
      </c>
      <c r="M1859" t="s">
        <v>61</v>
      </c>
      <c r="N1859">
        <v>127.54</v>
      </c>
    </row>
    <row r="1860" spans="1:14" x14ac:dyDescent="0.35">
      <c r="A1860" s="2">
        <v>45523</v>
      </c>
      <c r="B1860" t="s">
        <v>1228</v>
      </c>
      <c r="C1860" t="s">
        <v>41</v>
      </c>
      <c r="D1860" t="s">
        <v>52</v>
      </c>
      <c r="E1860" t="s">
        <v>43</v>
      </c>
      <c r="F1860">
        <v>6</v>
      </c>
      <c r="G1860">
        <v>79.19</v>
      </c>
      <c r="H1860" t="s">
        <v>35</v>
      </c>
      <c r="I1860" t="s">
        <v>2688</v>
      </c>
      <c r="J1860" t="s">
        <v>37</v>
      </c>
      <c r="K1860" t="s">
        <v>78</v>
      </c>
      <c r="L1860" t="s">
        <v>39</v>
      </c>
      <c r="M1860" t="s">
        <v>29</v>
      </c>
      <c r="N1860">
        <v>475.14</v>
      </c>
    </row>
    <row r="1861" spans="1:14" x14ac:dyDescent="0.35">
      <c r="A1861" s="2">
        <v>45153</v>
      </c>
      <c r="B1861" t="s">
        <v>976</v>
      </c>
      <c r="C1861" t="s">
        <v>74</v>
      </c>
      <c r="D1861" t="s">
        <v>33</v>
      </c>
      <c r="E1861" t="s">
        <v>63</v>
      </c>
      <c r="F1861">
        <v>5</v>
      </c>
      <c r="G1861">
        <v>190.38</v>
      </c>
      <c r="H1861" t="s">
        <v>35</v>
      </c>
      <c r="I1861" t="s">
        <v>2689</v>
      </c>
      <c r="J1861" t="s">
        <v>26</v>
      </c>
      <c r="K1861" t="s">
        <v>78</v>
      </c>
      <c r="L1861" t="s">
        <v>66</v>
      </c>
      <c r="M1861" t="s">
        <v>49</v>
      </c>
      <c r="N1861">
        <v>951.9</v>
      </c>
    </row>
    <row r="1862" spans="1:14" x14ac:dyDescent="0.35">
      <c r="A1862" s="2">
        <v>45184</v>
      </c>
      <c r="B1862" t="s">
        <v>271</v>
      </c>
      <c r="C1862" t="s">
        <v>47</v>
      </c>
      <c r="D1862" t="s">
        <v>52</v>
      </c>
      <c r="E1862" t="s">
        <v>23</v>
      </c>
      <c r="F1862">
        <v>5</v>
      </c>
      <c r="G1862">
        <v>229.61</v>
      </c>
      <c r="H1862" t="s">
        <v>44</v>
      </c>
      <c r="I1862" t="s">
        <v>2690</v>
      </c>
      <c r="J1862" t="s">
        <v>97</v>
      </c>
      <c r="K1862" t="s">
        <v>27</v>
      </c>
      <c r="L1862" t="s">
        <v>66</v>
      </c>
      <c r="M1862" t="s">
        <v>61</v>
      </c>
      <c r="N1862">
        <v>1148.05</v>
      </c>
    </row>
    <row r="1863" spans="1:14" x14ac:dyDescent="0.35">
      <c r="A1863" s="2">
        <v>45202</v>
      </c>
      <c r="B1863" t="s">
        <v>1295</v>
      </c>
      <c r="C1863" t="s">
        <v>47</v>
      </c>
      <c r="D1863" t="s">
        <v>33</v>
      </c>
      <c r="E1863" t="s">
        <v>23</v>
      </c>
      <c r="F1863">
        <v>4</v>
      </c>
      <c r="G1863">
        <v>324.27</v>
      </c>
      <c r="H1863" t="s">
        <v>35</v>
      </c>
      <c r="I1863" t="s">
        <v>2691</v>
      </c>
      <c r="J1863" t="s">
        <v>94</v>
      </c>
      <c r="K1863" t="s">
        <v>78</v>
      </c>
      <c r="L1863" t="s">
        <v>28</v>
      </c>
      <c r="M1863" t="s">
        <v>49</v>
      </c>
      <c r="N1863">
        <v>1297.08</v>
      </c>
    </row>
    <row r="1864" spans="1:14" x14ac:dyDescent="0.35">
      <c r="A1864" s="2">
        <v>45799</v>
      </c>
      <c r="B1864" t="s">
        <v>1898</v>
      </c>
      <c r="C1864" t="s">
        <v>89</v>
      </c>
      <c r="D1864" t="s">
        <v>42</v>
      </c>
      <c r="E1864" t="s">
        <v>92</v>
      </c>
      <c r="F1864">
        <v>4</v>
      </c>
      <c r="G1864">
        <v>198.93</v>
      </c>
      <c r="H1864" t="s">
        <v>35</v>
      </c>
      <c r="I1864" t="s">
        <v>2692</v>
      </c>
      <c r="J1864" t="s">
        <v>55</v>
      </c>
      <c r="K1864" t="s">
        <v>60</v>
      </c>
      <c r="L1864" t="s">
        <v>28</v>
      </c>
      <c r="M1864" t="s">
        <v>56</v>
      </c>
      <c r="N1864">
        <v>795.72</v>
      </c>
    </row>
    <row r="1865" spans="1:14" x14ac:dyDescent="0.35">
      <c r="A1865" s="2">
        <v>44948</v>
      </c>
      <c r="B1865" t="s">
        <v>2240</v>
      </c>
      <c r="C1865" t="s">
        <v>21</v>
      </c>
      <c r="D1865" t="s">
        <v>33</v>
      </c>
      <c r="E1865" t="s">
        <v>63</v>
      </c>
      <c r="F1865">
        <v>5</v>
      </c>
      <c r="G1865">
        <v>259.33999999999997</v>
      </c>
      <c r="H1865" t="s">
        <v>64</v>
      </c>
      <c r="I1865" t="s">
        <v>2693</v>
      </c>
      <c r="J1865" t="s">
        <v>55</v>
      </c>
      <c r="K1865" t="s">
        <v>60</v>
      </c>
      <c r="L1865" t="s">
        <v>39</v>
      </c>
      <c r="M1865" t="s">
        <v>101</v>
      </c>
      <c r="N1865">
        <v>1296.7</v>
      </c>
    </row>
    <row r="1866" spans="1:14" x14ac:dyDescent="0.35">
      <c r="A1866" s="2">
        <v>45490</v>
      </c>
      <c r="B1866" t="s">
        <v>999</v>
      </c>
      <c r="C1866" t="s">
        <v>51</v>
      </c>
      <c r="D1866" t="s">
        <v>42</v>
      </c>
      <c r="E1866" t="s">
        <v>63</v>
      </c>
      <c r="F1866">
        <v>4</v>
      </c>
      <c r="G1866">
        <v>313.06</v>
      </c>
      <c r="H1866" t="s">
        <v>44</v>
      </c>
      <c r="I1866" t="s">
        <v>2694</v>
      </c>
      <c r="J1866" t="s">
        <v>55</v>
      </c>
      <c r="K1866" t="s">
        <v>27</v>
      </c>
      <c r="L1866" t="s">
        <v>39</v>
      </c>
      <c r="M1866" t="s">
        <v>67</v>
      </c>
      <c r="N1866">
        <v>1252.24</v>
      </c>
    </row>
    <row r="1867" spans="1:14" x14ac:dyDescent="0.35">
      <c r="A1867" s="2">
        <v>45250</v>
      </c>
      <c r="B1867" t="s">
        <v>1150</v>
      </c>
      <c r="C1867" t="s">
        <v>89</v>
      </c>
      <c r="D1867" t="s">
        <v>52</v>
      </c>
      <c r="E1867" t="s">
        <v>23</v>
      </c>
      <c r="F1867">
        <v>7</v>
      </c>
      <c r="G1867">
        <v>171.93</v>
      </c>
      <c r="H1867" t="s">
        <v>58</v>
      </c>
      <c r="I1867" t="s">
        <v>2695</v>
      </c>
      <c r="J1867" t="s">
        <v>97</v>
      </c>
      <c r="K1867" t="s">
        <v>60</v>
      </c>
      <c r="L1867" t="s">
        <v>39</v>
      </c>
      <c r="M1867" t="s">
        <v>29</v>
      </c>
      <c r="N1867">
        <v>1203.51</v>
      </c>
    </row>
    <row r="1868" spans="1:14" x14ac:dyDescent="0.35">
      <c r="A1868" s="2">
        <v>45363</v>
      </c>
      <c r="B1868" t="s">
        <v>202</v>
      </c>
      <c r="C1868" t="s">
        <v>81</v>
      </c>
      <c r="D1868" t="s">
        <v>52</v>
      </c>
      <c r="E1868" t="s">
        <v>53</v>
      </c>
      <c r="F1868">
        <v>5</v>
      </c>
      <c r="G1868">
        <v>282.97000000000003</v>
      </c>
      <c r="H1868" t="s">
        <v>64</v>
      </c>
      <c r="I1868" t="s">
        <v>2696</v>
      </c>
      <c r="J1868" t="s">
        <v>37</v>
      </c>
      <c r="K1868" t="s">
        <v>38</v>
      </c>
      <c r="L1868" t="s">
        <v>66</v>
      </c>
      <c r="M1868" t="s">
        <v>49</v>
      </c>
      <c r="N1868">
        <v>1414.85</v>
      </c>
    </row>
    <row r="1869" spans="1:14" x14ac:dyDescent="0.35">
      <c r="A1869" s="2">
        <v>45470</v>
      </c>
      <c r="B1869" t="s">
        <v>2642</v>
      </c>
      <c r="C1869" t="s">
        <v>71</v>
      </c>
      <c r="D1869" t="s">
        <v>42</v>
      </c>
      <c r="E1869" t="s">
        <v>23</v>
      </c>
      <c r="F1869">
        <v>3</v>
      </c>
      <c r="G1869">
        <v>311.18</v>
      </c>
      <c r="H1869" t="s">
        <v>44</v>
      </c>
      <c r="I1869" t="s">
        <v>2697</v>
      </c>
      <c r="J1869" t="s">
        <v>97</v>
      </c>
      <c r="K1869" t="s">
        <v>38</v>
      </c>
      <c r="L1869" t="s">
        <v>39</v>
      </c>
      <c r="M1869" t="s">
        <v>56</v>
      </c>
      <c r="N1869">
        <v>933.54</v>
      </c>
    </row>
    <row r="1870" spans="1:14" x14ac:dyDescent="0.35">
      <c r="A1870" s="2">
        <v>44999</v>
      </c>
      <c r="B1870" t="s">
        <v>545</v>
      </c>
      <c r="C1870" t="s">
        <v>86</v>
      </c>
      <c r="D1870" t="s">
        <v>42</v>
      </c>
      <c r="E1870" t="s">
        <v>83</v>
      </c>
      <c r="F1870">
        <v>1</v>
      </c>
      <c r="G1870">
        <v>244.7</v>
      </c>
      <c r="H1870" t="s">
        <v>58</v>
      </c>
      <c r="I1870" t="s">
        <v>2698</v>
      </c>
      <c r="J1870" t="s">
        <v>37</v>
      </c>
      <c r="K1870" t="s">
        <v>60</v>
      </c>
      <c r="L1870" t="s">
        <v>39</v>
      </c>
      <c r="M1870" t="s">
        <v>49</v>
      </c>
      <c r="N1870">
        <v>244.7</v>
      </c>
    </row>
    <row r="1871" spans="1:14" x14ac:dyDescent="0.35">
      <c r="A1871" s="2">
        <v>45639</v>
      </c>
      <c r="B1871" t="s">
        <v>360</v>
      </c>
      <c r="C1871" t="s">
        <v>86</v>
      </c>
      <c r="D1871" t="s">
        <v>33</v>
      </c>
      <c r="E1871" t="s">
        <v>63</v>
      </c>
      <c r="F1871">
        <v>2</v>
      </c>
      <c r="G1871">
        <v>177.27</v>
      </c>
      <c r="H1871" t="s">
        <v>24</v>
      </c>
      <c r="I1871" t="s">
        <v>2699</v>
      </c>
      <c r="J1871" t="s">
        <v>37</v>
      </c>
      <c r="K1871" t="s">
        <v>60</v>
      </c>
      <c r="L1871" t="s">
        <v>66</v>
      </c>
      <c r="M1871" t="s">
        <v>61</v>
      </c>
      <c r="N1871">
        <v>354.54</v>
      </c>
    </row>
    <row r="1872" spans="1:14" x14ac:dyDescent="0.35">
      <c r="A1872" s="2">
        <v>45576</v>
      </c>
      <c r="B1872" t="s">
        <v>2248</v>
      </c>
      <c r="C1872" t="s">
        <v>89</v>
      </c>
      <c r="D1872" t="s">
        <v>33</v>
      </c>
      <c r="E1872" t="s">
        <v>43</v>
      </c>
      <c r="F1872">
        <v>2</v>
      </c>
      <c r="G1872">
        <v>308.35000000000002</v>
      </c>
      <c r="H1872" t="s">
        <v>64</v>
      </c>
      <c r="I1872" t="s">
        <v>2700</v>
      </c>
      <c r="J1872" t="s">
        <v>26</v>
      </c>
      <c r="K1872" t="s">
        <v>60</v>
      </c>
      <c r="L1872" t="s">
        <v>39</v>
      </c>
      <c r="M1872" t="s">
        <v>61</v>
      </c>
      <c r="N1872">
        <v>616.70000000000005</v>
      </c>
    </row>
    <row r="1873" spans="1:14" x14ac:dyDescent="0.35">
      <c r="A1873" s="2">
        <v>44936</v>
      </c>
      <c r="B1873" t="s">
        <v>938</v>
      </c>
      <c r="C1873" t="s">
        <v>41</v>
      </c>
      <c r="D1873" t="s">
        <v>33</v>
      </c>
      <c r="E1873" t="s">
        <v>63</v>
      </c>
      <c r="F1873">
        <v>1</v>
      </c>
      <c r="G1873">
        <v>195.84</v>
      </c>
      <c r="H1873" t="s">
        <v>24</v>
      </c>
      <c r="I1873" t="s">
        <v>2701</v>
      </c>
      <c r="J1873" t="s">
        <v>55</v>
      </c>
      <c r="K1873" t="s">
        <v>38</v>
      </c>
      <c r="L1873" t="s">
        <v>28</v>
      </c>
      <c r="M1873" t="s">
        <v>49</v>
      </c>
      <c r="N1873">
        <v>195.84</v>
      </c>
    </row>
    <row r="1874" spans="1:14" x14ac:dyDescent="0.35">
      <c r="A1874" s="2">
        <v>45207</v>
      </c>
      <c r="B1874" t="s">
        <v>2240</v>
      </c>
      <c r="C1874" t="s">
        <v>89</v>
      </c>
      <c r="D1874" t="s">
        <v>42</v>
      </c>
      <c r="E1874" t="s">
        <v>34</v>
      </c>
      <c r="F1874">
        <v>7</v>
      </c>
      <c r="G1874">
        <v>127.06</v>
      </c>
      <c r="H1874" t="s">
        <v>44</v>
      </c>
      <c r="I1874" t="s">
        <v>2702</v>
      </c>
      <c r="J1874" t="s">
        <v>37</v>
      </c>
      <c r="K1874" t="s">
        <v>78</v>
      </c>
      <c r="L1874" t="s">
        <v>39</v>
      </c>
      <c r="M1874" t="s">
        <v>101</v>
      </c>
      <c r="N1874">
        <v>889.42000000000007</v>
      </c>
    </row>
    <row r="1875" spans="1:14" x14ac:dyDescent="0.35">
      <c r="A1875" s="2">
        <v>44950</v>
      </c>
      <c r="B1875" t="s">
        <v>1328</v>
      </c>
      <c r="C1875" t="s">
        <v>74</v>
      </c>
      <c r="D1875" t="s">
        <v>42</v>
      </c>
      <c r="E1875" t="s">
        <v>92</v>
      </c>
      <c r="F1875">
        <v>3</v>
      </c>
      <c r="G1875">
        <v>82.39</v>
      </c>
      <c r="H1875" t="s">
        <v>24</v>
      </c>
      <c r="I1875" t="s">
        <v>2703</v>
      </c>
      <c r="J1875" t="s">
        <v>97</v>
      </c>
      <c r="K1875" t="s">
        <v>38</v>
      </c>
      <c r="L1875" t="s">
        <v>28</v>
      </c>
      <c r="M1875" t="s">
        <v>49</v>
      </c>
      <c r="N1875">
        <v>247.17</v>
      </c>
    </row>
    <row r="1876" spans="1:14" x14ac:dyDescent="0.35">
      <c r="A1876" s="2">
        <v>45659</v>
      </c>
      <c r="B1876" t="s">
        <v>2131</v>
      </c>
      <c r="C1876" t="s">
        <v>74</v>
      </c>
      <c r="D1876" t="s">
        <v>52</v>
      </c>
      <c r="E1876" t="s">
        <v>83</v>
      </c>
      <c r="F1876">
        <v>8</v>
      </c>
      <c r="G1876">
        <v>140.22999999999999</v>
      </c>
      <c r="H1876" t="s">
        <v>64</v>
      </c>
      <c r="I1876" t="s">
        <v>2704</v>
      </c>
      <c r="J1876" t="s">
        <v>97</v>
      </c>
      <c r="K1876" t="s">
        <v>78</v>
      </c>
      <c r="L1876" t="s">
        <v>39</v>
      </c>
      <c r="M1876" t="s">
        <v>56</v>
      </c>
      <c r="N1876">
        <v>1121.8399999999999</v>
      </c>
    </row>
    <row r="1877" spans="1:14" x14ac:dyDescent="0.35">
      <c r="A1877" s="2">
        <v>45383</v>
      </c>
      <c r="B1877" t="s">
        <v>536</v>
      </c>
      <c r="C1877" t="s">
        <v>41</v>
      </c>
      <c r="D1877" t="s">
        <v>33</v>
      </c>
      <c r="E1877" t="s">
        <v>53</v>
      </c>
      <c r="F1877">
        <v>1</v>
      </c>
      <c r="G1877">
        <v>377.2</v>
      </c>
      <c r="H1877" t="s">
        <v>58</v>
      </c>
      <c r="I1877" t="s">
        <v>2705</v>
      </c>
      <c r="J1877" t="s">
        <v>94</v>
      </c>
      <c r="K1877" t="s">
        <v>38</v>
      </c>
      <c r="L1877" t="s">
        <v>66</v>
      </c>
      <c r="M1877" t="s">
        <v>29</v>
      </c>
      <c r="N1877">
        <v>377.2</v>
      </c>
    </row>
    <row r="1878" spans="1:14" x14ac:dyDescent="0.35">
      <c r="A1878" s="2">
        <v>45587</v>
      </c>
      <c r="B1878" t="s">
        <v>1881</v>
      </c>
      <c r="C1878" t="s">
        <v>74</v>
      </c>
      <c r="D1878" t="s">
        <v>42</v>
      </c>
      <c r="E1878" t="s">
        <v>23</v>
      </c>
      <c r="F1878">
        <v>3</v>
      </c>
      <c r="G1878">
        <v>138.21</v>
      </c>
      <c r="H1878" t="s">
        <v>24</v>
      </c>
      <c r="I1878" t="s">
        <v>2706</v>
      </c>
      <c r="J1878" t="s">
        <v>94</v>
      </c>
      <c r="K1878" t="s">
        <v>78</v>
      </c>
      <c r="L1878" t="s">
        <v>39</v>
      </c>
      <c r="M1878" t="s">
        <v>49</v>
      </c>
      <c r="N1878">
        <v>414.63</v>
      </c>
    </row>
    <row r="1879" spans="1:14" x14ac:dyDescent="0.35">
      <c r="A1879" s="2">
        <v>45226</v>
      </c>
      <c r="B1879" t="s">
        <v>886</v>
      </c>
      <c r="C1879" t="s">
        <v>41</v>
      </c>
      <c r="D1879" t="s">
        <v>22</v>
      </c>
      <c r="E1879" t="s">
        <v>83</v>
      </c>
      <c r="F1879">
        <v>3</v>
      </c>
      <c r="G1879">
        <v>110.85</v>
      </c>
      <c r="H1879" t="s">
        <v>58</v>
      </c>
      <c r="I1879" t="s">
        <v>2707</v>
      </c>
      <c r="J1879" t="s">
        <v>94</v>
      </c>
      <c r="K1879" t="s">
        <v>38</v>
      </c>
      <c r="L1879" t="s">
        <v>66</v>
      </c>
      <c r="M1879" t="s">
        <v>61</v>
      </c>
      <c r="N1879">
        <v>332.55</v>
      </c>
    </row>
    <row r="1880" spans="1:14" x14ac:dyDescent="0.35">
      <c r="A1880" s="2">
        <v>45172</v>
      </c>
      <c r="B1880" t="s">
        <v>1021</v>
      </c>
      <c r="C1880" t="s">
        <v>47</v>
      </c>
      <c r="D1880" t="s">
        <v>33</v>
      </c>
      <c r="E1880" t="s">
        <v>43</v>
      </c>
      <c r="F1880">
        <v>7</v>
      </c>
      <c r="G1880">
        <v>310.06</v>
      </c>
      <c r="H1880" t="s">
        <v>35</v>
      </c>
      <c r="I1880" t="s">
        <v>2708</v>
      </c>
      <c r="J1880" t="s">
        <v>55</v>
      </c>
      <c r="K1880" t="s">
        <v>60</v>
      </c>
      <c r="L1880" t="s">
        <v>28</v>
      </c>
      <c r="M1880" t="s">
        <v>101</v>
      </c>
      <c r="N1880">
        <v>2170.42</v>
      </c>
    </row>
    <row r="1881" spans="1:14" x14ac:dyDescent="0.35">
      <c r="A1881" s="2">
        <v>45258</v>
      </c>
      <c r="B1881" t="s">
        <v>1277</v>
      </c>
      <c r="C1881" t="s">
        <v>21</v>
      </c>
      <c r="D1881" t="s">
        <v>22</v>
      </c>
      <c r="E1881" t="s">
        <v>43</v>
      </c>
      <c r="F1881">
        <v>10</v>
      </c>
      <c r="G1881">
        <v>385.52</v>
      </c>
      <c r="H1881" t="s">
        <v>35</v>
      </c>
      <c r="I1881" t="s">
        <v>2709</v>
      </c>
      <c r="J1881" t="s">
        <v>26</v>
      </c>
      <c r="K1881" t="s">
        <v>60</v>
      </c>
      <c r="L1881" t="s">
        <v>66</v>
      </c>
      <c r="M1881" t="s">
        <v>49</v>
      </c>
      <c r="N1881">
        <v>3855.2</v>
      </c>
    </row>
    <row r="1882" spans="1:14" x14ac:dyDescent="0.35">
      <c r="A1882" s="2">
        <v>45187</v>
      </c>
      <c r="B1882" t="s">
        <v>695</v>
      </c>
      <c r="C1882" t="s">
        <v>86</v>
      </c>
      <c r="D1882" t="s">
        <v>42</v>
      </c>
      <c r="E1882" t="s">
        <v>63</v>
      </c>
      <c r="F1882">
        <v>4</v>
      </c>
      <c r="G1882">
        <v>87.37</v>
      </c>
      <c r="H1882" t="s">
        <v>58</v>
      </c>
      <c r="I1882" t="s">
        <v>2710</v>
      </c>
      <c r="J1882" t="s">
        <v>26</v>
      </c>
      <c r="K1882" t="s">
        <v>78</v>
      </c>
      <c r="L1882" t="s">
        <v>66</v>
      </c>
      <c r="M1882" t="s">
        <v>29</v>
      </c>
      <c r="N1882">
        <v>349.48</v>
      </c>
    </row>
    <row r="1883" spans="1:14" x14ac:dyDescent="0.35">
      <c r="A1883" s="2">
        <v>45124</v>
      </c>
      <c r="B1883" t="s">
        <v>930</v>
      </c>
      <c r="C1883" t="s">
        <v>51</v>
      </c>
      <c r="D1883" t="s">
        <v>42</v>
      </c>
      <c r="E1883" t="s">
        <v>53</v>
      </c>
      <c r="F1883">
        <v>5</v>
      </c>
      <c r="G1883">
        <v>203.42</v>
      </c>
      <c r="H1883" t="s">
        <v>24</v>
      </c>
      <c r="I1883" t="s">
        <v>2711</v>
      </c>
      <c r="J1883" t="s">
        <v>26</v>
      </c>
      <c r="K1883" t="s">
        <v>38</v>
      </c>
      <c r="L1883" t="s">
        <v>39</v>
      </c>
      <c r="M1883" t="s">
        <v>29</v>
      </c>
      <c r="N1883">
        <v>1017.1</v>
      </c>
    </row>
    <row r="1884" spans="1:14" x14ac:dyDescent="0.35">
      <c r="A1884" s="2">
        <v>45152</v>
      </c>
      <c r="B1884" t="s">
        <v>2024</v>
      </c>
      <c r="C1884" t="s">
        <v>81</v>
      </c>
      <c r="D1884" t="s">
        <v>22</v>
      </c>
      <c r="E1884" t="s">
        <v>92</v>
      </c>
      <c r="F1884">
        <v>2</v>
      </c>
      <c r="G1884">
        <v>55.16</v>
      </c>
      <c r="H1884" t="s">
        <v>58</v>
      </c>
      <c r="I1884" t="s">
        <v>2712</v>
      </c>
      <c r="J1884" t="s">
        <v>55</v>
      </c>
      <c r="K1884" t="s">
        <v>78</v>
      </c>
      <c r="L1884" t="s">
        <v>66</v>
      </c>
      <c r="M1884" t="s">
        <v>29</v>
      </c>
      <c r="N1884">
        <v>110.32</v>
      </c>
    </row>
    <row r="1885" spans="1:14" x14ac:dyDescent="0.35">
      <c r="A1885" s="2">
        <v>45780</v>
      </c>
      <c r="B1885" t="s">
        <v>2024</v>
      </c>
      <c r="C1885" t="s">
        <v>51</v>
      </c>
      <c r="D1885" t="s">
        <v>22</v>
      </c>
      <c r="E1885" t="s">
        <v>43</v>
      </c>
      <c r="F1885">
        <v>10</v>
      </c>
      <c r="G1885">
        <v>299.41000000000003</v>
      </c>
      <c r="H1885" t="s">
        <v>35</v>
      </c>
      <c r="I1885" t="s">
        <v>2713</v>
      </c>
      <c r="J1885" t="s">
        <v>97</v>
      </c>
      <c r="K1885" t="s">
        <v>60</v>
      </c>
      <c r="L1885" t="s">
        <v>66</v>
      </c>
      <c r="M1885" t="s">
        <v>79</v>
      </c>
      <c r="N1885">
        <v>2994.1</v>
      </c>
    </row>
    <row r="1886" spans="1:14" x14ac:dyDescent="0.35">
      <c r="A1886" s="2">
        <v>45163</v>
      </c>
      <c r="B1886" t="s">
        <v>1441</v>
      </c>
      <c r="C1886" t="s">
        <v>106</v>
      </c>
      <c r="D1886" t="s">
        <v>22</v>
      </c>
      <c r="E1886" t="s">
        <v>63</v>
      </c>
      <c r="F1886">
        <v>4</v>
      </c>
      <c r="G1886">
        <v>267.66000000000003</v>
      </c>
      <c r="H1886" t="s">
        <v>35</v>
      </c>
      <c r="I1886" t="s">
        <v>2714</v>
      </c>
      <c r="J1886" t="s">
        <v>97</v>
      </c>
      <c r="K1886" t="s">
        <v>38</v>
      </c>
      <c r="L1886" t="s">
        <v>66</v>
      </c>
      <c r="M1886" t="s">
        <v>61</v>
      </c>
      <c r="N1886">
        <v>1070.6400000000001</v>
      </c>
    </row>
    <row r="1887" spans="1:14" x14ac:dyDescent="0.35">
      <c r="A1887" s="2">
        <v>45401</v>
      </c>
      <c r="B1887" t="s">
        <v>212</v>
      </c>
      <c r="C1887" t="s">
        <v>71</v>
      </c>
      <c r="D1887" t="s">
        <v>22</v>
      </c>
      <c r="E1887" t="s">
        <v>92</v>
      </c>
      <c r="F1887">
        <v>6</v>
      </c>
      <c r="G1887">
        <v>62.24</v>
      </c>
      <c r="H1887" t="s">
        <v>24</v>
      </c>
      <c r="I1887" t="s">
        <v>2715</v>
      </c>
      <c r="J1887" t="s">
        <v>37</v>
      </c>
      <c r="K1887" t="s">
        <v>78</v>
      </c>
      <c r="L1887" t="s">
        <v>39</v>
      </c>
      <c r="M1887" t="s">
        <v>61</v>
      </c>
      <c r="N1887">
        <v>373.44</v>
      </c>
    </row>
    <row r="1888" spans="1:14" x14ac:dyDescent="0.35">
      <c r="A1888" s="2">
        <v>45368</v>
      </c>
      <c r="B1888" t="s">
        <v>2716</v>
      </c>
      <c r="C1888" t="s">
        <v>89</v>
      </c>
      <c r="D1888" t="s">
        <v>52</v>
      </c>
      <c r="E1888" t="s">
        <v>34</v>
      </c>
      <c r="F1888">
        <v>9</v>
      </c>
      <c r="G1888">
        <v>244.93</v>
      </c>
      <c r="H1888" t="s">
        <v>35</v>
      </c>
      <c r="I1888" t="s">
        <v>2717</v>
      </c>
      <c r="J1888" t="s">
        <v>97</v>
      </c>
      <c r="K1888" t="s">
        <v>60</v>
      </c>
      <c r="L1888" t="s">
        <v>39</v>
      </c>
      <c r="M1888" t="s">
        <v>101</v>
      </c>
      <c r="N1888">
        <v>2204.37</v>
      </c>
    </row>
    <row r="1889" spans="1:14" x14ac:dyDescent="0.35">
      <c r="A1889" s="2">
        <v>45504</v>
      </c>
      <c r="B1889" t="s">
        <v>895</v>
      </c>
      <c r="C1889" t="s">
        <v>86</v>
      </c>
      <c r="D1889" t="s">
        <v>52</v>
      </c>
      <c r="E1889" t="s">
        <v>92</v>
      </c>
      <c r="F1889">
        <v>2</v>
      </c>
      <c r="G1889">
        <v>212.62</v>
      </c>
      <c r="H1889" t="s">
        <v>35</v>
      </c>
      <c r="I1889" t="s">
        <v>2718</v>
      </c>
      <c r="J1889" t="s">
        <v>37</v>
      </c>
      <c r="K1889" t="s">
        <v>78</v>
      </c>
      <c r="L1889" t="s">
        <v>66</v>
      </c>
      <c r="M1889" t="s">
        <v>67</v>
      </c>
      <c r="N1889">
        <v>425.24</v>
      </c>
    </row>
    <row r="1890" spans="1:14" x14ac:dyDescent="0.35">
      <c r="A1890" s="2">
        <v>45233</v>
      </c>
      <c r="B1890" t="s">
        <v>514</v>
      </c>
      <c r="C1890" t="s">
        <v>41</v>
      </c>
      <c r="D1890" t="s">
        <v>33</v>
      </c>
      <c r="E1890" t="s">
        <v>92</v>
      </c>
      <c r="F1890">
        <v>7</v>
      </c>
      <c r="G1890">
        <v>52.85</v>
      </c>
      <c r="H1890" t="s">
        <v>64</v>
      </c>
      <c r="I1890" t="s">
        <v>2719</v>
      </c>
      <c r="J1890" t="s">
        <v>37</v>
      </c>
      <c r="K1890" t="s">
        <v>60</v>
      </c>
      <c r="L1890" t="s">
        <v>28</v>
      </c>
      <c r="M1890" t="s">
        <v>61</v>
      </c>
      <c r="N1890">
        <v>369.95</v>
      </c>
    </row>
    <row r="1891" spans="1:14" x14ac:dyDescent="0.35">
      <c r="A1891" s="2">
        <v>45628</v>
      </c>
      <c r="B1891" t="s">
        <v>135</v>
      </c>
      <c r="C1891" t="s">
        <v>81</v>
      </c>
      <c r="D1891" t="s">
        <v>33</v>
      </c>
      <c r="E1891" t="s">
        <v>43</v>
      </c>
      <c r="F1891">
        <v>1</v>
      </c>
      <c r="G1891">
        <v>326.14999999999998</v>
      </c>
      <c r="H1891" t="s">
        <v>64</v>
      </c>
      <c r="I1891" t="s">
        <v>2720</v>
      </c>
      <c r="J1891" t="s">
        <v>55</v>
      </c>
      <c r="K1891" t="s">
        <v>27</v>
      </c>
      <c r="L1891" t="s">
        <v>39</v>
      </c>
      <c r="M1891" t="s">
        <v>29</v>
      </c>
      <c r="N1891">
        <v>326.14999999999998</v>
      </c>
    </row>
    <row r="1892" spans="1:14" x14ac:dyDescent="0.35">
      <c r="A1892" s="2">
        <v>45741</v>
      </c>
      <c r="B1892" t="s">
        <v>1430</v>
      </c>
      <c r="C1892" t="s">
        <v>74</v>
      </c>
      <c r="D1892" t="s">
        <v>33</v>
      </c>
      <c r="E1892" t="s">
        <v>34</v>
      </c>
      <c r="F1892">
        <v>7</v>
      </c>
      <c r="G1892">
        <v>175.73</v>
      </c>
      <c r="H1892" t="s">
        <v>58</v>
      </c>
      <c r="I1892" t="s">
        <v>2721</v>
      </c>
      <c r="J1892" t="s">
        <v>26</v>
      </c>
      <c r="K1892" t="s">
        <v>38</v>
      </c>
      <c r="L1892" t="s">
        <v>39</v>
      </c>
      <c r="M1892" t="s">
        <v>49</v>
      </c>
      <c r="N1892">
        <v>1230.1099999999999</v>
      </c>
    </row>
    <row r="1893" spans="1:14" x14ac:dyDescent="0.35">
      <c r="A1893" s="2">
        <v>45369</v>
      </c>
      <c r="B1893" t="s">
        <v>425</v>
      </c>
      <c r="C1893" t="s">
        <v>74</v>
      </c>
      <c r="D1893" t="s">
        <v>22</v>
      </c>
      <c r="E1893" t="s">
        <v>63</v>
      </c>
      <c r="F1893">
        <v>4</v>
      </c>
      <c r="G1893">
        <v>371.37</v>
      </c>
      <c r="H1893" t="s">
        <v>24</v>
      </c>
      <c r="I1893" t="s">
        <v>2722</v>
      </c>
      <c r="J1893" t="s">
        <v>94</v>
      </c>
      <c r="K1893" t="s">
        <v>38</v>
      </c>
      <c r="L1893" t="s">
        <v>66</v>
      </c>
      <c r="M1893" t="s">
        <v>29</v>
      </c>
      <c r="N1893">
        <v>1485.48</v>
      </c>
    </row>
    <row r="1894" spans="1:14" x14ac:dyDescent="0.35">
      <c r="A1894" s="2">
        <v>45665</v>
      </c>
      <c r="B1894" t="s">
        <v>1661</v>
      </c>
      <c r="C1894" t="s">
        <v>51</v>
      </c>
      <c r="D1894" t="s">
        <v>33</v>
      </c>
      <c r="E1894" t="s">
        <v>53</v>
      </c>
      <c r="F1894">
        <v>10</v>
      </c>
      <c r="G1894">
        <v>23.95</v>
      </c>
      <c r="H1894" t="s">
        <v>64</v>
      </c>
      <c r="I1894" t="s">
        <v>2723</v>
      </c>
      <c r="J1894" t="s">
        <v>97</v>
      </c>
      <c r="K1894" t="s">
        <v>38</v>
      </c>
      <c r="L1894" t="s">
        <v>66</v>
      </c>
      <c r="M1894" t="s">
        <v>67</v>
      </c>
      <c r="N1894">
        <v>239.5</v>
      </c>
    </row>
    <row r="1895" spans="1:14" x14ac:dyDescent="0.35">
      <c r="A1895" s="2">
        <v>45281</v>
      </c>
      <c r="B1895" t="s">
        <v>1202</v>
      </c>
      <c r="C1895" t="s">
        <v>106</v>
      </c>
      <c r="D1895" t="s">
        <v>52</v>
      </c>
      <c r="E1895" t="s">
        <v>34</v>
      </c>
      <c r="F1895">
        <v>5</v>
      </c>
      <c r="G1895">
        <v>262.3</v>
      </c>
      <c r="H1895" t="s">
        <v>35</v>
      </c>
      <c r="I1895" t="s">
        <v>2724</v>
      </c>
      <c r="J1895" t="s">
        <v>97</v>
      </c>
      <c r="K1895" t="s">
        <v>38</v>
      </c>
      <c r="L1895" t="s">
        <v>39</v>
      </c>
      <c r="M1895" t="s">
        <v>56</v>
      </c>
      <c r="N1895">
        <v>1311.5</v>
      </c>
    </row>
    <row r="1896" spans="1:14" x14ac:dyDescent="0.35">
      <c r="A1896" s="2">
        <v>45652</v>
      </c>
      <c r="B1896" t="s">
        <v>2725</v>
      </c>
      <c r="C1896" t="s">
        <v>47</v>
      </c>
      <c r="D1896" t="s">
        <v>42</v>
      </c>
      <c r="E1896" t="s">
        <v>53</v>
      </c>
      <c r="F1896">
        <v>1</v>
      </c>
      <c r="G1896">
        <v>296.10000000000002</v>
      </c>
      <c r="H1896" t="s">
        <v>24</v>
      </c>
      <c r="I1896" t="s">
        <v>2726</v>
      </c>
      <c r="J1896" t="s">
        <v>37</v>
      </c>
      <c r="K1896" t="s">
        <v>38</v>
      </c>
      <c r="L1896" t="s">
        <v>28</v>
      </c>
      <c r="M1896" t="s">
        <v>56</v>
      </c>
      <c r="N1896">
        <v>296.10000000000002</v>
      </c>
    </row>
    <row r="1897" spans="1:14" x14ac:dyDescent="0.35">
      <c r="A1897" s="2">
        <v>45304</v>
      </c>
      <c r="B1897" t="s">
        <v>1322</v>
      </c>
      <c r="C1897" t="s">
        <v>71</v>
      </c>
      <c r="D1897" t="s">
        <v>52</v>
      </c>
      <c r="E1897" t="s">
        <v>23</v>
      </c>
      <c r="F1897">
        <v>2</v>
      </c>
      <c r="G1897">
        <v>81.7</v>
      </c>
      <c r="H1897" t="s">
        <v>58</v>
      </c>
      <c r="I1897" t="s">
        <v>2727</v>
      </c>
      <c r="J1897" t="s">
        <v>55</v>
      </c>
      <c r="K1897" t="s">
        <v>27</v>
      </c>
      <c r="L1897" t="s">
        <v>39</v>
      </c>
      <c r="M1897" t="s">
        <v>79</v>
      </c>
      <c r="N1897">
        <v>163.4</v>
      </c>
    </row>
    <row r="1898" spans="1:14" x14ac:dyDescent="0.35">
      <c r="A1898" s="2">
        <v>45710</v>
      </c>
      <c r="B1898" t="s">
        <v>2447</v>
      </c>
      <c r="C1898" t="s">
        <v>74</v>
      </c>
      <c r="D1898" t="s">
        <v>42</v>
      </c>
      <c r="E1898" t="s">
        <v>23</v>
      </c>
      <c r="F1898">
        <v>1</v>
      </c>
      <c r="G1898">
        <v>118.11</v>
      </c>
      <c r="H1898" t="s">
        <v>44</v>
      </c>
      <c r="I1898" t="s">
        <v>2728</v>
      </c>
      <c r="J1898" t="s">
        <v>26</v>
      </c>
      <c r="K1898" t="s">
        <v>60</v>
      </c>
      <c r="L1898" t="s">
        <v>66</v>
      </c>
      <c r="M1898" t="s">
        <v>79</v>
      </c>
      <c r="N1898">
        <v>118.11</v>
      </c>
    </row>
    <row r="1899" spans="1:14" x14ac:dyDescent="0.35">
      <c r="A1899" s="2">
        <v>45747</v>
      </c>
      <c r="B1899" t="s">
        <v>1285</v>
      </c>
      <c r="C1899" t="s">
        <v>51</v>
      </c>
      <c r="D1899" t="s">
        <v>22</v>
      </c>
      <c r="E1899" t="s">
        <v>43</v>
      </c>
      <c r="F1899">
        <v>4</v>
      </c>
      <c r="G1899">
        <v>334.63</v>
      </c>
      <c r="H1899" t="s">
        <v>35</v>
      </c>
      <c r="I1899" t="s">
        <v>2729</v>
      </c>
      <c r="J1899" t="s">
        <v>26</v>
      </c>
      <c r="K1899" t="s">
        <v>38</v>
      </c>
      <c r="L1899" t="s">
        <v>39</v>
      </c>
      <c r="M1899" t="s">
        <v>29</v>
      </c>
      <c r="N1899">
        <v>1338.52</v>
      </c>
    </row>
    <row r="1900" spans="1:14" x14ac:dyDescent="0.35">
      <c r="A1900" s="2">
        <v>45754</v>
      </c>
      <c r="B1900" t="s">
        <v>370</v>
      </c>
      <c r="C1900" t="s">
        <v>81</v>
      </c>
      <c r="D1900" t="s">
        <v>42</v>
      </c>
      <c r="E1900" t="s">
        <v>34</v>
      </c>
      <c r="F1900">
        <v>1</v>
      </c>
      <c r="G1900">
        <v>375</v>
      </c>
      <c r="H1900" t="s">
        <v>64</v>
      </c>
      <c r="I1900" t="s">
        <v>2730</v>
      </c>
      <c r="J1900" t="s">
        <v>26</v>
      </c>
      <c r="K1900" t="s">
        <v>38</v>
      </c>
      <c r="L1900" t="s">
        <v>28</v>
      </c>
      <c r="M1900" t="s">
        <v>29</v>
      </c>
      <c r="N1900">
        <v>375</v>
      </c>
    </row>
    <row r="1901" spans="1:14" x14ac:dyDescent="0.35">
      <c r="A1901" s="2">
        <v>45581</v>
      </c>
      <c r="B1901" t="s">
        <v>468</v>
      </c>
      <c r="C1901" t="s">
        <v>86</v>
      </c>
      <c r="D1901" t="s">
        <v>22</v>
      </c>
      <c r="E1901" t="s">
        <v>53</v>
      </c>
      <c r="F1901">
        <v>4</v>
      </c>
      <c r="G1901">
        <v>222.46</v>
      </c>
      <c r="H1901" t="s">
        <v>44</v>
      </c>
      <c r="I1901" t="s">
        <v>2731</v>
      </c>
      <c r="J1901" t="s">
        <v>26</v>
      </c>
      <c r="K1901" t="s">
        <v>78</v>
      </c>
      <c r="L1901" t="s">
        <v>66</v>
      </c>
      <c r="M1901" t="s">
        <v>67</v>
      </c>
      <c r="N1901">
        <v>889.84</v>
      </c>
    </row>
    <row r="1902" spans="1:14" x14ac:dyDescent="0.35">
      <c r="A1902" s="2">
        <v>45497</v>
      </c>
      <c r="B1902" t="s">
        <v>2732</v>
      </c>
      <c r="C1902" t="s">
        <v>21</v>
      </c>
      <c r="D1902" t="s">
        <v>52</v>
      </c>
      <c r="E1902" t="s">
        <v>34</v>
      </c>
      <c r="F1902">
        <v>10</v>
      </c>
      <c r="G1902">
        <v>46.15</v>
      </c>
      <c r="H1902" t="s">
        <v>24</v>
      </c>
      <c r="I1902" t="s">
        <v>2733</v>
      </c>
      <c r="J1902" t="s">
        <v>37</v>
      </c>
      <c r="K1902" t="s">
        <v>78</v>
      </c>
      <c r="L1902" t="s">
        <v>66</v>
      </c>
      <c r="M1902" t="s">
        <v>67</v>
      </c>
      <c r="N1902">
        <v>461.5</v>
      </c>
    </row>
    <row r="1903" spans="1:14" x14ac:dyDescent="0.35">
      <c r="A1903" s="2">
        <v>45635</v>
      </c>
      <c r="B1903" t="s">
        <v>446</v>
      </c>
      <c r="C1903" t="s">
        <v>71</v>
      </c>
      <c r="D1903" t="s">
        <v>42</v>
      </c>
      <c r="E1903" t="s">
        <v>53</v>
      </c>
      <c r="F1903">
        <v>1</v>
      </c>
      <c r="G1903">
        <v>257.81</v>
      </c>
      <c r="H1903" t="s">
        <v>24</v>
      </c>
      <c r="I1903" t="s">
        <v>2734</v>
      </c>
      <c r="J1903" t="s">
        <v>26</v>
      </c>
      <c r="K1903" t="s">
        <v>38</v>
      </c>
      <c r="L1903" t="s">
        <v>39</v>
      </c>
      <c r="M1903" t="s">
        <v>29</v>
      </c>
      <c r="N1903">
        <v>257.81</v>
      </c>
    </row>
    <row r="1904" spans="1:14" x14ac:dyDescent="0.35">
      <c r="A1904" s="2">
        <v>45135</v>
      </c>
      <c r="B1904" t="s">
        <v>737</v>
      </c>
      <c r="C1904" t="s">
        <v>86</v>
      </c>
      <c r="D1904" t="s">
        <v>33</v>
      </c>
      <c r="E1904" t="s">
        <v>92</v>
      </c>
      <c r="F1904">
        <v>7</v>
      </c>
      <c r="G1904">
        <v>245.36</v>
      </c>
      <c r="H1904" t="s">
        <v>35</v>
      </c>
      <c r="I1904" t="s">
        <v>2735</v>
      </c>
      <c r="J1904" t="s">
        <v>37</v>
      </c>
      <c r="K1904" t="s">
        <v>78</v>
      </c>
      <c r="L1904" t="s">
        <v>66</v>
      </c>
      <c r="M1904" t="s">
        <v>61</v>
      </c>
      <c r="N1904">
        <v>1717.52</v>
      </c>
    </row>
    <row r="1905" spans="1:14" x14ac:dyDescent="0.35">
      <c r="A1905" s="2">
        <v>45053</v>
      </c>
      <c r="B1905" t="s">
        <v>2725</v>
      </c>
      <c r="C1905" t="s">
        <v>81</v>
      </c>
      <c r="D1905" t="s">
        <v>22</v>
      </c>
      <c r="E1905" t="s">
        <v>34</v>
      </c>
      <c r="F1905">
        <v>6</v>
      </c>
      <c r="G1905">
        <v>137.69999999999999</v>
      </c>
      <c r="H1905" t="s">
        <v>64</v>
      </c>
      <c r="I1905" t="s">
        <v>2736</v>
      </c>
      <c r="J1905" t="s">
        <v>97</v>
      </c>
      <c r="K1905" t="s">
        <v>78</v>
      </c>
      <c r="L1905" t="s">
        <v>28</v>
      </c>
      <c r="M1905" t="s">
        <v>101</v>
      </c>
      <c r="N1905">
        <v>826.19999999999993</v>
      </c>
    </row>
    <row r="1906" spans="1:14" x14ac:dyDescent="0.35">
      <c r="A1906" s="2">
        <v>45722</v>
      </c>
      <c r="B1906" t="s">
        <v>627</v>
      </c>
      <c r="C1906" t="s">
        <v>47</v>
      </c>
      <c r="D1906" t="s">
        <v>42</v>
      </c>
      <c r="E1906" t="s">
        <v>63</v>
      </c>
      <c r="F1906">
        <v>8</v>
      </c>
      <c r="G1906">
        <v>53.07</v>
      </c>
      <c r="H1906" t="s">
        <v>24</v>
      </c>
      <c r="I1906" t="s">
        <v>2737</v>
      </c>
      <c r="J1906" t="s">
        <v>37</v>
      </c>
      <c r="K1906" t="s">
        <v>38</v>
      </c>
      <c r="L1906" t="s">
        <v>39</v>
      </c>
      <c r="M1906" t="s">
        <v>56</v>
      </c>
      <c r="N1906">
        <v>424.56</v>
      </c>
    </row>
    <row r="1907" spans="1:14" x14ac:dyDescent="0.35">
      <c r="A1907" s="2">
        <v>45593</v>
      </c>
      <c r="B1907" t="s">
        <v>925</v>
      </c>
      <c r="C1907" t="s">
        <v>81</v>
      </c>
      <c r="D1907" t="s">
        <v>22</v>
      </c>
      <c r="E1907" t="s">
        <v>34</v>
      </c>
      <c r="F1907">
        <v>7</v>
      </c>
      <c r="G1907">
        <v>36.76</v>
      </c>
      <c r="H1907" t="s">
        <v>24</v>
      </c>
      <c r="I1907" t="s">
        <v>2738</v>
      </c>
      <c r="J1907" t="s">
        <v>37</v>
      </c>
      <c r="K1907" t="s">
        <v>38</v>
      </c>
      <c r="L1907" t="s">
        <v>39</v>
      </c>
      <c r="M1907" t="s">
        <v>29</v>
      </c>
      <c r="N1907">
        <v>257.32</v>
      </c>
    </row>
    <row r="1908" spans="1:14" x14ac:dyDescent="0.35">
      <c r="A1908" s="2">
        <v>45353</v>
      </c>
      <c r="B1908" t="s">
        <v>470</v>
      </c>
      <c r="C1908" t="s">
        <v>71</v>
      </c>
      <c r="D1908" t="s">
        <v>33</v>
      </c>
      <c r="E1908" t="s">
        <v>34</v>
      </c>
      <c r="F1908">
        <v>9</v>
      </c>
      <c r="G1908">
        <v>253.94</v>
      </c>
      <c r="H1908" t="s">
        <v>44</v>
      </c>
      <c r="I1908" t="s">
        <v>2739</v>
      </c>
      <c r="J1908" t="s">
        <v>37</v>
      </c>
      <c r="K1908" t="s">
        <v>27</v>
      </c>
      <c r="L1908" t="s">
        <v>39</v>
      </c>
      <c r="M1908" t="s">
        <v>79</v>
      </c>
      <c r="N1908">
        <v>2285.46</v>
      </c>
    </row>
    <row r="1909" spans="1:14" x14ac:dyDescent="0.35">
      <c r="A1909" s="2">
        <v>45309</v>
      </c>
      <c r="B1909" t="s">
        <v>2740</v>
      </c>
      <c r="C1909" t="s">
        <v>41</v>
      </c>
      <c r="D1909" t="s">
        <v>52</v>
      </c>
      <c r="E1909" t="s">
        <v>63</v>
      </c>
      <c r="F1909">
        <v>6</v>
      </c>
      <c r="G1909">
        <v>238.52</v>
      </c>
      <c r="H1909" t="s">
        <v>64</v>
      </c>
      <c r="I1909" t="s">
        <v>2741</v>
      </c>
      <c r="J1909" t="s">
        <v>37</v>
      </c>
      <c r="K1909" t="s">
        <v>60</v>
      </c>
      <c r="L1909" t="s">
        <v>28</v>
      </c>
      <c r="M1909" t="s">
        <v>56</v>
      </c>
      <c r="N1909">
        <v>1431.12</v>
      </c>
    </row>
    <row r="1910" spans="1:14" x14ac:dyDescent="0.35">
      <c r="A1910" s="2">
        <v>45429</v>
      </c>
      <c r="B1910" t="s">
        <v>240</v>
      </c>
      <c r="C1910" t="s">
        <v>51</v>
      </c>
      <c r="D1910" t="s">
        <v>42</v>
      </c>
      <c r="E1910" t="s">
        <v>23</v>
      </c>
      <c r="F1910">
        <v>4</v>
      </c>
      <c r="G1910">
        <v>35.880000000000003</v>
      </c>
      <c r="H1910" t="s">
        <v>64</v>
      </c>
      <c r="I1910" t="s">
        <v>2742</v>
      </c>
      <c r="J1910" t="s">
        <v>97</v>
      </c>
      <c r="K1910" t="s">
        <v>38</v>
      </c>
      <c r="L1910" t="s">
        <v>28</v>
      </c>
      <c r="M1910" t="s">
        <v>61</v>
      </c>
      <c r="N1910">
        <v>143.52000000000001</v>
      </c>
    </row>
    <row r="1911" spans="1:14" x14ac:dyDescent="0.35">
      <c r="A1911" s="2">
        <v>45790</v>
      </c>
      <c r="B1911" t="s">
        <v>162</v>
      </c>
      <c r="C1911" t="s">
        <v>47</v>
      </c>
      <c r="D1911" t="s">
        <v>33</v>
      </c>
      <c r="E1911" t="s">
        <v>83</v>
      </c>
      <c r="F1911">
        <v>9</v>
      </c>
      <c r="G1911">
        <v>378.07</v>
      </c>
      <c r="H1911" t="s">
        <v>58</v>
      </c>
      <c r="I1911" t="s">
        <v>2743</v>
      </c>
      <c r="J1911" t="s">
        <v>37</v>
      </c>
      <c r="K1911" t="s">
        <v>27</v>
      </c>
      <c r="L1911" t="s">
        <v>66</v>
      </c>
      <c r="M1911" t="s">
        <v>49</v>
      </c>
      <c r="N1911">
        <v>3402.63</v>
      </c>
    </row>
    <row r="1912" spans="1:14" x14ac:dyDescent="0.35">
      <c r="A1912" s="2">
        <v>45435</v>
      </c>
      <c r="B1912" t="s">
        <v>1194</v>
      </c>
      <c r="C1912" t="s">
        <v>51</v>
      </c>
      <c r="D1912" t="s">
        <v>33</v>
      </c>
      <c r="E1912" t="s">
        <v>43</v>
      </c>
      <c r="F1912">
        <v>8</v>
      </c>
      <c r="G1912">
        <v>250.75</v>
      </c>
      <c r="H1912" t="s">
        <v>64</v>
      </c>
      <c r="I1912" t="s">
        <v>2744</v>
      </c>
      <c r="J1912" t="s">
        <v>37</v>
      </c>
      <c r="K1912" t="s">
        <v>38</v>
      </c>
      <c r="L1912" t="s">
        <v>28</v>
      </c>
      <c r="M1912" t="s">
        <v>56</v>
      </c>
      <c r="N1912">
        <v>2006</v>
      </c>
    </row>
    <row r="1913" spans="1:14" x14ac:dyDescent="0.35">
      <c r="A1913" s="2">
        <v>45599</v>
      </c>
      <c r="B1913" t="s">
        <v>1051</v>
      </c>
      <c r="C1913" t="s">
        <v>71</v>
      </c>
      <c r="D1913" t="s">
        <v>33</v>
      </c>
      <c r="E1913" t="s">
        <v>23</v>
      </c>
      <c r="F1913">
        <v>9</v>
      </c>
      <c r="G1913">
        <v>378.47</v>
      </c>
      <c r="H1913" t="s">
        <v>44</v>
      </c>
      <c r="I1913" t="s">
        <v>2745</v>
      </c>
      <c r="J1913" t="s">
        <v>37</v>
      </c>
      <c r="K1913" t="s">
        <v>78</v>
      </c>
      <c r="L1913" t="s">
        <v>66</v>
      </c>
      <c r="M1913" t="s">
        <v>101</v>
      </c>
      <c r="N1913">
        <v>3406.23</v>
      </c>
    </row>
    <row r="1914" spans="1:14" x14ac:dyDescent="0.35">
      <c r="A1914" s="2">
        <v>45101</v>
      </c>
      <c r="B1914" t="s">
        <v>1111</v>
      </c>
      <c r="C1914" t="s">
        <v>47</v>
      </c>
      <c r="D1914" t="s">
        <v>42</v>
      </c>
      <c r="E1914" t="s">
        <v>53</v>
      </c>
      <c r="F1914">
        <v>9</v>
      </c>
      <c r="G1914">
        <v>260.77999999999997</v>
      </c>
      <c r="H1914" t="s">
        <v>44</v>
      </c>
      <c r="I1914" t="s">
        <v>2746</v>
      </c>
      <c r="J1914" t="s">
        <v>37</v>
      </c>
      <c r="K1914" t="s">
        <v>78</v>
      </c>
      <c r="L1914" t="s">
        <v>66</v>
      </c>
      <c r="M1914" t="s">
        <v>79</v>
      </c>
      <c r="N1914">
        <v>2347.02</v>
      </c>
    </row>
    <row r="1915" spans="1:14" x14ac:dyDescent="0.35">
      <c r="A1915" s="2">
        <v>45600</v>
      </c>
      <c r="B1915" t="s">
        <v>2426</v>
      </c>
      <c r="C1915" t="s">
        <v>51</v>
      </c>
      <c r="D1915" t="s">
        <v>42</v>
      </c>
      <c r="E1915" t="s">
        <v>23</v>
      </c>
      <c r="F1915">
        <v>5</v>
      </c>
      <c r="G1915">
        <v>361.01</v>
      </c>
      <c r="H1915" t="s">
        <v>35</v>
      </c>
      <c r="I1915" t="s">
        <v>2747</v>
      </c>
      <c r="J1915" t="s">
        <v>97</v>
      </c>
      <c r="K1915" t="s">
        <v>60</v>
      </c>
      <c r="L1915" t="s">
        <v>28</v>
      </c>
      <c r="M1915" t="s">
        <v>29</v>
      </c>
      <c r="N1915">
        <v>1805.05</v>
      </c>
    </row>
    <row r="1916" spans="1:14" x14ac:dyDescent="0.35">
      <c r="A1916" s="2">
        <v>45327</v>
      </c>
      <c r="B1916" t="s">
        <v>969</v>
      </c>
      <c r="C1916" t="s">
        <v>71</v>
      </c>
      <c r="D1916" t="s">
        <v>33</v>
      </c>
      <c r="E1916" t="s">
        <v>23</v>
      </c>
      <c r="F1916">
        <v>2</v>
      </c>
      <c r="G1916">
        <v>60.41</v>
      </c>
      <c r="H1916" t="s">
        <v>35</v>
      </c>
      <c r="I1916" t="s">
        <v>2748</v>
      </c>
      <c r="J1916" t="s">
        <v>97</v>
      </c>
      <c r="K1916" t="s">
        <v>27</v>
      </c>
      <c r="L1916" t="s">
        <v>66</v>
      </c>
      <c r="M1916" t="s">
        <v>29</v>
      </c>
      <c r="N1916">
        <v>120.82</v>
      </c>
    </row>
    <row r="1917" spans="1:14" x14ac:dyDescent="0.35">
      <c r="A1917" s="2">
        <v>45202</v>
      </c>
      <c r="B1917" t="s">
        <v>1990</v>
      </c>
      <c r="C1917" t="s">
        <v>21</v>
      </c>
      <c r="D1917" t="s">
        <v>22</v>
      </c>
      <c r="E1917" t="s">
        <v>34</v>
      </c>
      <c r="F1917">
        <v>3</v>
      </c>
      <c r="G1917">
        <v>139.66</v>
      </c>
      <c r="H1917" t="s">
        <v>58</v>
      </c>
      <c r="I1917" t="s">
        <v>2749</v>
      </c>
      <c r="J1917" t="s">
        <v>37</v>
      </c>
      <c r="K1917" t="s">
        <v>78</v>
      </c>
      <c r="L1917" t="s">
        <v>28</v>
      </c>
      <c r="M1917" t="s">
        <v>49</v>
      </c>
      <c r="N1917">
        <v>418.98</v>
      </c>
    </row>
    <row r="1918" spans="1:14" x14ac:dyDescent="0.35">
      <c r="A1918" s="2">
        <v>45288</v>
      </c>
      <c r="B1918" t="s">
        <v>2640</v>
      </c>
      <c r="C1918" t="s">
        <v>51</v>
      </c>
      <c r="D1918" t="s">
        <v>22</v>
      </c>
      <c r="E1918" t="s">
        <v>34</v>
      </c>
      <c r="F1918">
        <v>1</v>
      </c>
      <c r="G1918">
        <v>122.07</v>
      </c>
      <c r="H1918" t="s">
        <v>44</v>
      </c>
      <c r="I1918" t="s">
        <v>2750</v>
      </c>
      <c r="J1918" t="s">
        <v>26</v>
      </c>
      <c r="K1918" t="s">
        <v>60</v>
      </c>
      <c r="L1918" t="s">
        <v>66</v>
      </c>
      <c r="M1918" t="s">
        <v>56</v>
      </c>
      <c r="N1918">
        <v>122.07</v>
      </c>
    </row>
    <row r="1919" spans="1:14" x14ac:dyDescent="0.35">
      <c r="A1919" s="2">
        <v>45259</v>
      </c>
      <c r="B1919" t="s">
        <v>76</v>
      </c>
      <c r="C1919" t="s">
        <v>21</v>
      </c>
      <c r="D1919" t="s">
        <v>42</v>
      </c>
      <c r="E1919" t="s">
        <v>92</v>
      </c>
      <c r="F1919">
        <v>4</v>
      </c>
      <c r="G1919">
        <v>37.25</v>
      </c>
      <c r="H1919" t="s">
        <v>58</v>
      </c>
      <c r="I1919" t="s">
        <v>2751</v>
      </c>
      <c r="J1919" t="s">
        <v>94</v>
      </c>
      <c r="K1919" t="s">
        <v>38</v>
      </c>
      <c r="L1919" t="s">
        <v>28</v>
      </c>
      <c r="M1919" t="s">
        <v>67</v>
      </c>
      <c r="N1919">
        <v>149</v>
      </c>
    </row>
    <row r="1920" spans="1:14" x14ac:dyDescent="0.35">
      <c r="A1920" s="2">
        <v>45564</v>
      </c>
      <c r="B1920" t="s">
        <v>999</v>
      </c>
      <c r="C1920" t="s">
        <v>21</v>
      </c>
      <c r="D1920" t="s">
        <v>42</v>
      </c>
      <c r="E1920" t="s">
        <v>53</v>
      </c>
      <c r="F1920">
        <v>2</v>
      </c>
      <c r="G1920">
        <v>273.83</v>
      </c>
      <c r="H1920" t="s">
        <v>24</v>
      </c>
      <c r="I1920" t="s">
        <v>2752</v>
      </c>
      <c r="J1920" t="s">
        <v>37</v>
      </c>
      <c r="K1920" t="s">
        <v>60</v>
      </c>
      <c r="L1920" t="s">
        <v>39</v>
      </c>
      <c r="M1920" t="s">
        <v>101</v>
      </c>
      <c r="N1920">
        <v>547.66</v>
      </c>
    </row>
    <row r="1921" spans="1:14" x14ac:dyDescent="0.35">
      <c r="A1921" s="2">
        <v>44972</v>
      </c>
      <c r="B1921" t="s">
        <v>1328</v>
      </c>
      <c r="C1921" t="s">
        <v>81</v>
      </c>
      <c r="D1921" t="s">
        <v>22</v>
      </c>
      <c r="E1921" t="s">
        <v>23</v>
      </c>
      <c r="F1921">
        <v>5</v>
      </c>
      <c r="G1921">
        <v>166.06</v>
      </c>
      <c r="H1921" t="s">
        <v>64</v>
      </c>
      <c r="I1921" t="s">
        <v>2753</v>
      </c>
      <c r="J1921" t="s">
        <v>55</v>
      </c>
      <c r="K1921" t="s">
        <v>38</v>
      </c>
      <c r="L1921" t="s">
        <v>28</v>
      </c>
      <c r="M1921" t="s">
        <v>67</v>
      </c>
      <c r="N1921">
        <v>830.3</v>
      </c>
    </row>
    <row r="1922" spans="1:14" x14ac:dyDescent="0.35">
      <c r="A1922" s="2">
        <v>44953</v>
      </c>
      <c r="B1922" t="s">
        <v>861</v>
      </c>
      <c r="C1922" t="s">
        <v>81</v>
      </c>
      <c r="D1922" t="s">
        <v>52</v>
      </c>
      <c r="E1922" t="s">
        <v>53</v>
      </c>
      <c r="F1922">
        <v>5</v>
      </c>
      <c r="G1922">
        <v>196.29</v>
      </c>
      <c r="H1922" t="s">
        <v>58</v>
      </c>
      <c r="I1922" t="s">
        <v>2754</v>
      </c>
      <c r="J1922" t="s">
        <v>37</v>
      </c>
      <c r="K1922" t="s">
        <v>60</v>
      </c>
      <c r="L1922" t="s">
        <v>28</v>
      </c>
      <c r="M1922" t="s">
        <v>61</v>
      </c>
      <c r="N1922">
        <v>981.44999999999993</v>
      </c>
    </row>
    <row r="1923" spans="1:14" x14ac:dyDescent="0.35">
      <c r="A1923" s="2">
        <v>45189</v>
      </c>
      <c r="B1923" t="s">
        <v>1340</v>
      </c>
      <c r="C1923" t="s">
        <v>74</v>
      </c>
      <c r="D1923" t="s">
        <v>52</v>
      </c>
      <c r="E1923" t="s">
        <v>23</v>
      </c>
      <c r="F1923">
        <v>7</v>
      </c>
      <c r="G1923">
        <v>344.28</v>
      </c>
      <c r="H1923" t="s">
        <v>24</v>
      </c>
      <c r="I1923" t="s">
        <v>2755</v>
      </c>
      <c r="J1923" t="s">
        <v>94</v>
      </c>
      <c r="K1923" t="s">
        <v>27</v>
      </c>
      <c r="L1923" t="s">
        <v>39</v>
      </c>
      <c r="M1923" t="s">
        <v>67</v>
      </c>
      <c r="N1923">
        <v>2409.96</v>
      </c>
    </row>
    <row r="1924" spans="1:14" x14ac:dyDescent="0.35">
      <c r="A1924" s="2">
        <v>45197</v>
      </c>
      <c r="B1924" t="s">
        <v>1844</v>
      </c>
      <c r="C1924" t="s">
        <v>51</v>
      </c>
      <c r="D1924" t="s">
        <v>52</v>
      </c>
      <c r="E1924" t="s">
        <v>43</v>
      </c>
      <c r="F1924">
        <v>5</v>
      </c>
      <c r="G1924">
        <v>296.54000000000002</v>
      </c>
      <c r="H1924" t="s">
        <v>35</v>
      </c>
      <c r="I1924" t="s">
        <v>2756</v>
      </c>
      <c r="J1924" t="s">
        <v>26</v>
      </c>
      <c r="K1924" t="s">
        <v>78</v>
      </c>
      <c r="L1924" t="s">
        <v>28</v>
      </c>
      <c r="M1924" t="s">
        <v>56</v>
      </c>
      <c r="N1924">
        <v>1482.7</v>
      </c>
    </row>
    <row r="1925" spans="1:14" x14ac:dyDescent="0.35">
      <c r="A1925" s="2">
        <v>45549</v>
      </c>
      <c r="B1925" t="s">
        <v>552</v>
      </c>
      <c r="C1925" t="s">
        <v>86</v>
      </c>
      <c r="D1925" t="s">
        <v>33</v>
      </c>
      <c r="E1925" t="s">
        <v>92</v>
      </c>
      <c r="F1925">
        <v>2</v>
      </c>
      <c r="G1925">
        <v>360.73</v>
      </c>
      <c r="H1925" t="s">
        <v>44</v>
      </c>
      <c r="I1925" t="s">
        <v>2757</v>
      </c>
      <c r="J1925" t="s">
        <v>97</v>
      </c>
      <c r="K1925" t="s">
        <v>78</v>
      </c>
      <c r="L1925" t="s">
        <v>39</v>
      </c>
      <c r="M1925" t="s">
        <v>79</v>
      </c>
      <c r="N1925">
        <v>721.46</v>
      </c>
    </row>
    <row r="1926" spans="1:14" x14ac:dyDescent="0.35">
      <c r="A1926" s="2">
        <v>45157</v>
      </c>
      <c r="B1926" t="s">
        <v>429</v>
      </c>
      <c r="C1926" t="s">
        <v>86</v>
      </c>
      <c r="D1926" t="s">
        <v>42</v>
      </c>
      <c r="E1926" t="s">
        <v>53</v>
      </c>
      <c r="F1926">
        <v>7</v>
      </c>
      <c r="G1926">
        <v>24.06</v>
      </c>
      <c r="H1926" t="s">
        <v>64</v>
      </c>
      <c r="I1926" t="s">
        <v>2758</v>
      </c>
      <c r="J1926" t="s">
        <v>26</v>
      </c>
      <c r="K1926" t="s">
        <v>27</v>
      </c>
      <c r="L1926" t="s">
        <v>39</v>
      </c>
      <c r="M1926" t="s">
        <v>79</v>
      </c>
      <c r="N1926">
        <v>168.42</v>
      </c>
    </row>
    <row r="1927" spans="1:14" x14ac:dyDescent="0.35">
      <c r="A1927" s="2">
        <v>45519</v>
      </c>
      <c r="B1927" t="s">
        <v>2204</v>
      </c>
      <c r="C1927" t="s">
        <v>86</v>
      </c>
      <c r="D1927" t="s">
        <v>52</v>
      </c>
      <c r="E1927" t="s">
        <v>92</v>
      </c>
      <c r="F1927">
        <v>2</v>
      </c>
      <c r="G1927">
        <v>226.52</v>
      </c>
      <c r="H1927" t="s">
        <v>64</v>
      </c>
      <c r="I1927" t="s">
        <v>2759</v>
      </c>
      <c r="J1927" t="s">
        <v>26</v>
      </c>
      <c r="K1927" t="s">
        <v>38</v>
      </c>
      <c r="L1927" t="s">
        <v>28</v>
      </c>
      <c r="M1927" t="s">
        <v>56</v>
      </c>
      <c r="N1927">
        <v>453.04</v>
      </c>
    </row>
    <row r="1928" spans="1:14" x14ac:dyDescent="0.35">
      <c r="A1928" s="2">
        <v>44935</v>
      </c>
      <c r="B1928" t="s">
        <v>252</v>
      </c>
      <c r="C1928" t="s">
        <v>74</v>
      </c>
      <c r="D1928" t="s">
        <v>22</v>
      </c>
      <c r="E1928" t="s">
        <v>83</v>
      </c>
      <c r="F1928">
        <v>2</v>
      </c>
      <c r="G1928">
        <v>327.63</v>
      </c>
      <c r="H1928" t="s">
        <v>58</v>
      </c>
      <c r="I1928" t="s">
        <v>2760</v>
      </c>
      <c r="J1928" t="s">
        <v>97</v>
      </c>
      <c r="K1928" t="s">
        <v>27</v>
      </c>
      <c r="L1928" t="s">
        <v>39</v>
      </c>
      <c r="M1928" t="s">
        <v>29</v>
      </c>
      <c r="N1928">
        <v>655.26</v>
      </c>
    </row>
    <row r="1929" spans="1:14" x14ac:dyDescent="0.35">
      <c r="A1929" s="2">
        <v>45382</v>
      </c>
      <c r="B1929" t="s">
        <v>139</v>
      </c>
      <c r="C1929" t="s">
        <v>106</v>
      </c>
      <c r="D1929" t="s">
        <v>42</v>
      </c>
      <c r="E1929" t="s">
        <v>43</v>
      </c>
      <c r="F1929">
        <v>5</v>
      </c>
      <c r="G1929">
        <v>107.91</v>
      </c>
      <c r="H1929" t="s">
        <v>64</v>
      </c>
      <c r="I1929" t="s">
        <v>2761</v>
      </c>
      <c r="J1929" t="s">
        <v>94</v>
      </c>
      <c r="K1929" t="s">
        <v>60</v>
      </c>
      <c r="L1929" t="s">
        <v>66</v>
      </c>
      <c r="M1929" t="s">
        <v>101</v>
      </c>
      <c r="N1929">
        <v>539.54999999999995</v>
      </c>
    </row>
    <row r="1930" spans="1:14" x14ac:dyDescent="0.35">
      <c r="A1930" s="2">
        <v>45811</v>
      </c>
      <c r="B1930" t="s">
        <v>1255</v>
      </c>
      <c r="C1930" t="s">
        <v>81</v>
      </c>
      <c r="D1930" t="s">
        <v>52</v>
      </c>
      <c r="E1930" t="s">
        <v>34</v>
      </c>
      <c r="F1930">
        <v>10</v>
      </c>
      <c r="G1930">
        <v>385.61</v>
      </c>
      <c r="H1930" t="s">
        <v>64</v>
      </c>
      <c r="I1930" t="s">
        <v>2762</v>
      </c>
      <c r="J1930" t="s">
        <v>26</v>
      </c>
      <c r="K1930" t="s">
        <v>60</v>
      </c>
      <c r="L1930" t="s">
        <v>39</v>
      </c>
      <c r="M1930" t="s">
        <v>49</v>
      </c>
      <c r="N1930">
        <v>3856.1</v>
      </c>
    </row>
    <row r="1931" spans="1:14" x14ac:dyDescent="0.35">
      <c r="A1931" s="2">
        <v>45537</v>
      </c>
      <c r="B1931" t="s">
        <v>425</v>
      </c>
      <c r="C1931" t="s">
        <v>47</v>
      </c>
      <c r="D1931" t="s">
        <v>42</v>
      </c>
      <c r="E1931" t="s">
        <v>53</v>
      </c>
      <c r="F1931">
        <v>1</v>
      </c>
      <c r="G1931">
        <v>237.23</v>
      </c>
      <c r="H1931" t="s">
        <v>58</v>
      </c>
      <c r="I1931" t="s">
        <v>2763</v>
      </c>
      <c r="J1931" t="s">
        <v>97</v>
      </c>
      <c r="K1931" t="s">
        <v>27</v>
      </c>
      <c r="L1931" t="s">
        <v>66</v>
      </c>
      <c r="M1931" t="s">
        <v>29</v>
      </c>
      <c r="N1931">
        <v>237.23</v>
      </c>
    </row>
    <row r="1932" spans="1:14" x14ac:dyDescent="0.35">
      <c r="A1932" s="2">
        <v>45107</v>
      </c>
      <c r="B1932" t="s">
        <v>431</v>
      </c>
      <c r="C1932" t="s">
        <v>81</v>
      </c>
      <c r="D1932" t="s">
        <v>42</v>
      </c>
      <c r="E1932" t="s">
        <v>23</v>
      </c>
      <c r="F1932">
        <v>8</v>
      </c>
      <c r="G1932">
        <v>52.89</v>
      </c>
      <c r="H1932" t="s">
        <v>24</v>
      </c>
      <c r="I1932" t="s">
        <v>2764</v>
      </c>
      <c r="J1932" t="s">
        <v>97</v>
      </c>
      <c r="K1932" t="s">
        <v>78</v>
      </c>
      <c r="L1932" t="s">
        <v>28</v>
      </c>
      <c r="M1932" t="s">
        <v>61</v>
      </c>
      <c r="N1932">
        <v>423.12</v>
      </c>
    </row>
    <row r="1933" spans="1:14" x14ac:dyDescent="0.35">
      <c r="A1933" s="2">
        <v>45625</v>
      </c>
      <c r="B1933" t="s">
        <v>869</v>
      </c>
      <c r="C1933" t="s">
        <v>81</v>
      </c>
      <c r="D1933" t="s">
        <v>52</v>
      </c>
      <c r="E1933" t="s">
        <v>63</v>
      </c>
      <c r="F1933">
        <v>5</v>
      </c>
      <c r="G1933">
        <v>361.66</v>
      </c>
      <c r="H1933" t="s">
        <v>64</v>
      </c>
      <c r="I1933" t="s">
        <v>2765</v>
      </c>
      <c r="J1933" t="s">
        <v>97</v>
      </c>
      <c r="K1933" t="s">
        <v>78</v>
      </c>
      <c r="L1933" t="s">
        <v>66</v>
      </c>
      <c r="M1933" t="s">
        <v>61</v>
      </c>
      <c r="N1933">
        <v>1808.3</v>
      </c>
    </row>
    <row r="1934" spans="1:14" x14ac:dyDescent="0.35">
      <c r="A1934" s="2">
        <v>44989</v>
      </c>
      <c r="B1934" t="s">
        <v>380</v>
      </c>
      <c r="C1934" t="s">
        <v>86</v>
      </c>
      <c r="D1934" t="s">
        <v>42</v>
      </c>
      <c r="E1934" t="s">
        <v>34</v>
      </c>
      <c r="F1934">
        <v>9</v>
      </c>
      <c r="G1934">
        <v>358.27</v>
      </c>
      <c r="H1934" t="s">
        <v>58</v>
      </c>
      <c r="I1934" t="s">
        <v>2766</v>
      </c>
      <c r="J1934" t="s">
        <v>55</v>
      </c>
      <c r="K1934" t="s">
        <v>78</v>
      </c>
      <c r="L1934" t="s">
        <v>66</v>
      </c>
      <c r="M1934" t="s">
        <v>79</v>
      </c>
      <c r="N1934">
        <v>3224.43</v>
      </c>
    </row>
    <row r="1935" spans="1:14" x14ac:dyDescent="0.35">
      <c r="A1935" s="2">
        <v>45606</v>
      </c>
      <c r="B1935" t="s">
        <v>673</v>
      </c>
      <c r="C1935" t="s">
        <v>106</v>
      </c>
      <c r="D1935" t="s">
        <v>42</v>
      </c>
      <c r="E1935" t="s">
        <v>83</v>
      </c>
      <c r="F1935">
        <v>4</v>
      </c>
      <c r="G1935">
        <v>293.22000000000003</v>
      </c>
      <c r="H1935" t="s">
        <v>35</v>
      </c>
      <c r="I1935" t="s">
        <v>2767</v>
      </c>
      <c r="J1935" t="s">
        <v>55</v>
      </c>
      <c r="K1935" t="s">
        <v>38</v>
      </c>
      <c r="L1935" t="s">
        <v>28</v>
      </c>
      <c r="M1935" t="s">
        <v>101</v>
      </c>
      <c r="N1935">
        <v>1172.8800000000001</v>
      </c>
    </row>
    <row r="1936" spans="1:14" x14ac:dyDescent="0.35">
      <c r="A1936" s="2">
        <v>45637</v>
      </c>
      <c r="B1936" t="s">
        <v>1184</v>
      </c>
      <c r="C1936" t="s">
        <v>86</v>
      </c>
      <c r="D1936" t="s">
        <v>33</v>
      </c>
      <c r="E1936" t="s">
        <v>23</v>
      </c>
      <c r="F1936">
        <v>6</v>
      </c>
      <c r="G1936">
        <v>303.98</v>
      </c>
      <c r="H1936" t="s">
        <v>24</v>
      </c>
      <c r="I1936" t="s">
        <v>2768</v>
      </c>
      <c r="J1936" t="s">
        <v>97</v>
      </c>
      <c r="K1936" t="s">
        <v>78</v>
      </c>
      <c r="L1936" t="s">
        <v>28</v>
      </c>
      <c r="M1936" t="s">
        <v>67</v>
      </c>
      <c r="N1936">
        <v>1823.88</v>
      </c>
    </row>
    <row r="1937" spans="1:14" x14ac:dyDescent="0.35">
      <c r="A1937" s="2">
        <v>45251</v>
      </c>
      <c r="B1937" t="s">
        <v>2665</v>
      </c>
      <c r="C1937" t="s">
        <v>86</v>
      </c>
      <c r="D1937" t="s">
        <v>42</v>
      </c>
      <c r="E1937" t="s">
        <v>92</v>
      </c>
      <c r="F1937">
        <v>9</v>
      </c>
      <c r="G1937">
        <v>162.68</v>
      </c>
      <c r="H1937" t="s">
        <v>24</v>
      </c>
      <c r="I1937" t="s">
        <v>2769</v>
      </c>
      <c r="J1937" t="s">
        <v>37</v>
      </c>
      <c r="K1937" t="s">
        <v>38</v>
      </c>
      <c r="L1937" t="s">
        <v>28</v>
      </c>
      <c r="M1937" t="s">
        <v>49</v>
      </c>
      <c r="N1937">
        <v>1464.12</v>
      </c>
    </row>
    <row r="1938" spans="1:14" x14ac:dyDescent="0.35">
      <c r="A1938" s="2">
        <v>45156</v>
      </c>
      <c r="B1938" t="s">
        <v>1631</v>
      </c>
      <c r="C1938" t="s">
        <v>86</v>
      </c>
      <c r="D1938" t="s">
        <v>52</v>
      </c>
      <c r="E1938" t="s">
        <v>63</v>
      </c>
      <c r="F1938">
        <v>10</v>
      </c>
      <c r="G1938">
        <v>8</v>
      </c>
      <c r="H1938" t="s">
        <v>35</v>
      </c>
      <c r="I1938" t="s">
        <v>2770</v>
      </c>
      <c r="J1938" t="s">
        <v>55</v>
      </c>
      <c r="K1938" t="s">
        <v>27</v>
      </c>
      <c r="L1938" t="s">
        <v>66</v>
      </c>
      <c r="M1938" t="s">
        <v>61</v>
      </c>
      <c r="N1938">
        <v>80</v>
      </c>
    </row>
    <row r="1939" spans="1:14" x14ac:dyDescent="0.35">
      <c r="A1939" s="2">
        <v>45443</v>
      </c>
      <c r="B1939" t="s">
        <v>1055</v>
      </c>
      <c r="C1939" t="s">
        <v>89</v>
      </c>
      <c r="D1939" t="s">
        <v>52</v>
      </c>
      <c r="E1939" t="s">
        <v>43</v>
      </c>
      <c r="F1939">
        <v>7</v>
      </c>
      <c r="G1939">
        <v>340.66</v>
      </c>
      <c r="H1939" t="s">
        <v>35</v>
      </c>
      <c r="I1939" t="s">
        <v>2771</v>
      </c>
      <c r="J1939" t="s">
        <v>26</v>
      </c>
      <c r="K1939" t="s">
        <v>60</v>
      </c>
      <c r="L1939" t="s">
        <v>39</v>
      </c>
      <c r="M1939" t="s">
        <v>61</v>
      </c>
      <c r="N1939">
        <v>2384.62</v>
      </c>
    </row>
    <row r="1940" spans="1:14" x14ac:dyDescent="0.35">
      <c r="A1940" s="2">
        <v>45442</v>
      </c>
      <c r="B1940" t="s">
        <v>1623</v>
      </c>
      <c r="C1940" t="s">
        <v>51</v>
      </c>
      <c r="D1940" t="s">
        <v>52</v>
      </c>
      <c r="E1940" t="s">
        <v>92</v>
      </c>
      <c r="F1940">
        <v>6</v>
      </c>
      <c r="G1940">
        <v>270.98</v>
      </c>
      <c r="H1940" t="s">
        <v>35</v>
      </c>
      <c r="I1940" t="s">
        <v>2772</v>
      </c>
      <c r="J1940" t="s">
        <v>26</v>
      </c>
      <c r="K1940" t="s">
        <v>38</v>
      </c>
      <c r="L1940" t="s">
        <v>28</v>
      </c>
      <c r="M1940" t="s">
        <v>56</v>
      </c>
      <c r="N1940">
        <v>1625.88</v>
      </c>
    </row>
    <row r="1941" spans="1:14" x14ac:dyDescent="0.35">
      <c r="A1941" s="2">
        <v>45833</v>
      </c>
      <c r="B1941" t="s">
        <v>1397</v>
      </c>
      <c r="C1941" t="s">
        <v>71</v>
      </c>
      <c r="D1941" t="s">
        <v>52</v>
      </c>
      <c r="E1941" t="s">
        <v>43</v>
      </c>
      <c r="F1941">
        <v>2</v>
      </c>
      <c r="G1941">
        <v>349.95</v>
      </c>
      <c r="H1941" t="s">
        <v>58</v>
      </c>
      <c r="I1941" t="s">
        <v>2773</v>
      </c>
      <c r="J1941" t="s">
        <v>26</v>
      </c>
      <c r="K1941" t="s">
        <v>78</v>
      </c>
      <c r="L1941" t="s">
        <v>39</v>
      </c>
      <c r="M1941" t="s">
        <v>67</v>
      </c>
      <c r="N1941">
        <v>699.9</v>
      </c>
    </row>
    <row r="1942" spans="1:14" x14ac:dyDescent="0.35">
      <c r="A1942" s="2">
        <v>45611</v>
      </c>
      <c r="B1942" t="s">
        <v>693</v>
      </c>
      <c r="C1942" t="s">
        <v>47</v>
      </c>
      <c r="D1942" t="s">
        <v>33</v>
      </c>
      <c r="E1942" t="s">
        <v>23</v>
      </c>
      <c r="F1942">
        <v>7</v>
      </c>
      <c r="G1942">
        <v>138.6</v>
      </c>
      <c r="H1942" t="s">
        <v>24</v>
      </c>
      <c r="I1942" t="s">
        <v>2774</v>
      </c>
      <c r="J1942" t="s">
        <v>94</v>
      </c>
      <c r="K1942" t="s">
        <v>38</v>
      </c>
      <c r="L1942" t="s">
        <v>28</v>
      </c>
      <c r="M1942" t="s">
        <v>61</v>
      </c>
      <c r="N1942">
        <v>970.19999999999993</v>
      </c>
    </row>
    <row r="1943" spans="1:14" x14ac:dyDescent="0.35">
      <c r="A1943" s="2">
        <v>45789</v>
      </c>
      <c r="B1943" t="s">
        <v>1073</v>
      </c>
      <c r="C1943" t="s">
        <v>51</v>
      </c>
      <c r="D1943" t="s">
        <v>52</v>
      </c>
      <c r="E1943" t="s">
        <v>63</v>
      </c>
      <c r="F1943">
        <v>9</v>
      </c>
      <c r="G1943">
        <v>44.39</v>
      </c>
      <c r="H1943" t="s">
        <v>64</v>
      </c>
      <c r="I1943" t="s">
        <v>2775</v>
      </c>
      <c r="J1943" t="s">
        <v>37</v>
      </c>
      <c r="K1943" t="s">
        <v>27</v>
      </c>
      <c r="L1943" t="s">
        <v>28</v>
      </c>
      <c r="M1943" t="s">
        <v>29</v>
      </c>
      <c r="N1943">
        <v>399.51</v>
      </c>
    </row>
    <row r="1944" spans="1:14" x14ac:dyDescent="0.35">
      <c r="A1944" s="2">
        <v>44941</v>
      </c>
      <c r="B1944" t="s">
        <v>222</v>
      </c>
      <c r="C1944" t="s">
        <v>89</v>
      </c>
      <c r="D1944" t="s">
        <v>22</v>
      </c>
      <c r="E1944" t="s">
        <v>92</v>
      </c>
      <c r="F1944">
        <v>3</v>
      </c>
      <c r="G1944">
        <v>302.75</v>
      </c>
      <c r="H1944" t="s">
        <v>35</v>
      </c>
      <c r="I1944" t="s">
        <v>2776</v>
      </c>
      <c r="J1944" t="s">
        <v>26</v>
      </c>
      <c r="K1944" t="s">
        <v>38</v>
      </c>
      <c r="L1944" t="s">
        <v>28</v>
      </c>
      <c r="M1944" t="s">
        <v>101</v>
      </c>
      <c r="N1944">
        <v>908.25</v>
      </c>
    </row>
    <row r="1945" spans="1:14" x14ac:dyDescent="0.35">
      <c r="A1945" s="2">
        <v>45325</v>
      </c>
      <c r="B1945" t="s">
        <v>632</v>
      </c>
      <c r="C1945" t="s">
        <v>41</v>
      </c>
      <c r="D1945" t="s">
        <v>33</v>
      </c>
      <c r="E1945" t="s">
        <v>53</v>
      </c>
      <c r="F1945">
        <v>6</v>
      </c>
      <c r="G1945">
        <v>28.69</v>
      </c>
      <c r="H1945" t="s">
        <v>64</v>
      </c>
      <c r="I1945" t="s">
        <v>2777</v>
      </c>
      <c r="J1945" t="s">
        <v>37</v>
      </c>
      <c r="K1945" t="s">
        <v>38</v>
      </c>
      <c r="L1945" t="s">
        <v>39</v>
      </c>
      <c r="M1945" t="s">
        <v>79</v>
      </c>
      <c r="N1945">
        <v>172.14</v>
      </c>
    </row>
    <row r="1946" spans="1:14" x14ac:dyDescent="0.35">
      <c r="A1946" s="2">
        <v>45298</v>
      </c>
      <c r="B1946" t="s">
        <v>1831</v>
      </c>
      <c r="C1946" t="s">
        <v>21</v>
      </c>
      <c r="D1946" t="s">
        <v>42</v>
      </c>
      <c r="E1946" t="s">
        <v>53</v>
      </c>
      <c r="F1946">
        <v>3</v>
      </c>
      <c r="G1946">
        <v>373.68</v>
      </c>
      <c r="H1946" t="s">
        <v>44</v>
      </c>
      <c r="I1946" t="s">
        <v>2778</v>
      </c>
      <c r="J1946" t="s">
        <v>37</v>
      </c>
      <c r="K1946" t="s">
        <v>60</v>
      </c>
      <c r="L1946" t="s">
        <v>66</v>
      </c>
      <c r="M1946" t="s">
        <v>101</v>
      </c>
      <c r="N1946">
        <v>1121.04</v>
      </c>
    </row>
    <row r="1947" spans="1:14" x14ac:dyDescent="0.35">
      <c r="A1947" s="2">
        <v>45669</v>
      </c>
      <c r="B1947" t="s">
        <v>250</v>
      </c>
      <c r="C1947" t="s">
        <v>21</v>
      </c>
      <c r="D1947" t="s">
        <v>42</v>
      </c>
      <c r="E1947" t="s">
        <v>63</v>
      </c>
      <c r="F1947">
        <v>7</v>
      </c>
      <c r="G1947">
        <v>230.84</v>
      </c>
      <c r="H1947" t="s">
        <v>35</v>
      </c>
      <c r="I1947" t="s">
        <v>2779</v>
      </c>
      <c r="J1947" t="s">
        <v>55</v>
      </c>
      <c r="K1947" t="s">
        <v>78</v>
      </c>
      <c r="L1947" t="s">
        <v>66</v>
      </c>
      <c r="M1947" t="s">
        <v>101</v>
      </c>
      <c r="N1947">
        <v>1615.88</v>
      </c>
    </row>
    <row r="1948" spans="1:14" x14ac:dyDescent="0.35">
      <c r="A1948" s="2">
        <v>45179</v>
      </c>
      <c r="B1948" t="s">
        <v>1984</v>
      </c>
      <c r="C1948" t="s">
        <v>106</v>
      </c>
      <c r="D1948" t="s">
        <v>52</v>
      </c>
      <c r="E1948" t="s">
        <v>83</v>
      </c>
      <c r="F1948">
        <v>9</v>
      </c>
      <c r="G1948">
        <v>34.020000000000003</v>
      </c>
      <c r="H1948" t="s">
        <v>24</v>
      </c>
      <c r="I1948" t="s">
        <v>2780</v>
      </c>
      <c r="J1948" t="s">
        <v>26</v>
      </c>
      <c r="K1948" t="s">
        <v>38</v>
      </c>
      <c r="L1948" t="s">
        <v>39</v>
      </c>
      <c r="M1948" t="s">
        <v>101</v>
      </c>
      <c r="N1948">
        <v>306.18</v>
      </c>
    </row>
    <row r="1949" spans="1:14" x14ac:dyDescent="0.35">
      <c r="A1949" s="2">
        <v>45455</v>
      </c>
      <c r="B1949" t="s">
        <v>1163</v>
      </c>
      <c r="C1949" t="s">
        <v>71</v>
      </c>
      <c r="D1949" t="s">
        <v>52</v>
      </c>
      <c r="E1949" t="s">
        <v>34</v>
      </c>
      <c r="F1949">
        <v>1</v>
      </c>
      <c r="G1949">
        <v>398.76</v>
      </c>
      <c r="H1949" t="s">
        <v>44</v>
      </c>
      <c r="I1949" t="s">
        <v>2781</v>
      </c>
      <c r="J1949" t="s">
        <v>37</v>
      </c>
      <c r="K1949" t="s">
        <v>60</v>
      </c>
      <c r="L1949" t="s">
        <v>39</v>
      </c>
      <c r="M1949" t="s">
        <v>67</v>
      </c>
      <c r="N1949">
        <v>398.76</v>
      </c>
    </row>
    <row r="1950" spans="1:14" x14ac:dyDescent="0.35">
      <c r="A1950" s="2">
        <v>45423</v>
      </c>
      <c r="B1950" t="s">
        <v>425</v>
      </c>
      <c r="C1950" t="s">
        <v>51</v>
      </c>
      <c r="D1950" t="s">
        <v>22</v>
      </c>
      <c r="E1950" t="s">
        <v>92</v>
      </c>
      <c r="F1950">
        <v>9</v>
      </c>
      <c r="G1950">
        <v>261.52</v>
      </c>
      <c r="H1950" t="s">
        <v>64</v>
      </c>
      <c r="I1950" t="s">
        <v>2782</v>
      </c>
      <c r="J1950" t="s">
        <v>26</v>
      </c>
      <c r="K1950" t="s">
        <v>60</v>
      </c>
      <c r="L1950" t="s">
        <v>66</v>
      </c>
      <c r="M1950" t="s">
        <v>79</v>
      </c>
      <c r="N1950">
        <v>2353.6799999999998</v>
      </c>
    </row>
    <row r="1951" spans="1:14" x14ac:dyDescent="0.35">
      <c r="A1951" s="2">
        <v>45484</v>
      </c>
      <c r="B1951" t="s">
        <v>991</v>
      </c>
      <c r="C1951" t="s">
        <v>86</v>
      </c>
      <c r="D1951" t="s">
        <v>33</v>
      </c>
      <c r="E1951" t="s">
        <v>63</v>
      </c>
      <c r="F1951">
        <v>1</v>
      </c>
      <c r="G1951">
        <v>308.67</v>
      </c>
      <c r="H1951" t="s">
        <v>24</v>
      </c>
      <c r="I1951" t="s">
        <v>2783</v>
      </c>
      <c r="J1951" t="s">
        <v>37</v>
      </c>
      <c r="K1951" t="s">
        <v>27</v>
      </c>
      <c r="L1951" t="s">
        <v>28</v>
      </c>
      <c r="M1951" t="s">
        <v>56</v>
      </c>
      <c r="N1951">
        <v>308.67</v>
      </c>
    </row>
    <row r="1952" spans="1:14" x14ac:dyDescent="0.35">
      <c r="A1952" s="2">
        <v>45165</v>
      </c>
      <c r="B1952" t="s">
        <v>350</v>
      </c>
      <c r="C1952" t="s">
        <v>51</v>
      </c>
      <c r="D1952" t="s">
        <v>42</v>
      </c>
      <c r="E1952" t="s">
        <v>92</v>
      </c>
      <c r="F1952">
        <v>3</v>
      </c>
      <c r="G1952">
        <v>223.33</v>
      </c>
      <c r="H1952" t="s">
        <v>44</v>
      </c>
      <c r="I1952" t="s">
        <v>2784</v>
      </c>
      <c r="J1952" t="s">
        <v>94</v>
      </c>
      <c r="K1952" t="s">
        <v>78</v>
      </c>
      <c r="L1952" t="s">
        <v>28</v>
      </c>
      <c r="M1952" t="s">
        <v>101</v>
      </c>
      <c r="N1952">
        <v>669.99</v>
      </c>
    </row>
    <row r="1953" spans="1:14" x14ac:dyDescent="0.35">
      <c r="A1953" s="2">
        <v>45771</v>
      </c>
      <c r="B1953" t="s">
        <v>594</v>
      </c>
      <c r="C1953" t="s">
        <v>86</v>
      </c>
      <c r="D1953" t="s">
        <v>33</v>
      </c>
      <c r="E1953" t="s">
        <v>34</v>
      </c>
      <c r="F1953">
        <v>5</v>
      </c>
      <c r="G1953">
        <v>159.9</v>
      </c>
      <c r="H1953" t="s">
        <v>58</v>
      </c>
      <c r="I1953" t="s">
        <v>2785</v>
      </c>
      <c r="J1953" t="s">
        <v>37</v>
      </c>
      <c r="K1953" t="s">
        <v>38</v>
      </c>
      <c r="L1953" t="s">
        <v>39</v>
      </c>
      <c r="M1953" t="s">
        <v>56</v>
      </c>
      <c r="N1953">
        <v>799.5</v>
      </c>
    </row>
    <row r="1954" spans="1:14" x14ac:dyDescent="0.35">
      <c r="A1954" s="2">
        <v>45340</v>
      </c>
      <c r="B1954" t="s">
        <v>1493</v>
      </c>
      <c r="C1954" t="s">
        <v>86</v>
      </c>
      <c r="D1954" t="s">
        <v>52</v>
      </c>
      <c r="E1954" t="s">
        <v>92</v>
      </c>
      <c r="F1954">
        <v>7</v>
      </c>
      <c r="G1954">
        <v>169.3</v>
      </c>
      <c r="H1954" t="s">
        <v>24</v>
      </c>
      <c r="I1954" t="s">
        <v>2786</v>
      </c>
      <c r="J1954" t="s">
        <v>94</v>
      </c>
      <c r="K1954" t="s">
        <v>27</v>
      </c>
      <c r="L1954" t="s">
        <v>39</v>
      </c>
      <c r="M1954" t="s">
        <v>101</v>
      </c>
      <c r="N1954">
        <v>1185.0999999999999</v>
      </c>
    </row>
    <row r="1955" spans="1:14" x14ac:dyDescent="0.35">
      <c r="A1955" s="2">
        <v>45078</v>
      </c>
      <c r="B1955" t="s">
        <v>2539</v>
      </c>
      <c r="C1955" t="s">
        <v>47</v>
      </c>
      <c r="D1955" t="s">
        <v>22</v>
      </c>
      <c r="E1955" t="s">
        <v>92</v>
      </c>
      <c r="F1955">
        <v>6</v>
      </c>
      <c r="G1955">
        <v>47.97</v>
      </c>
      <c r="H1955" t="s">
        <v>35</v>
      </c>
      <c r="I1955" t="s">
        <v>2787</v>
      </c>
      <c r="J1955" t="s">
        <v>55</v>
      </c>
      <c r="K1955" t="s">
        <v>38</v>
      </c>
      <c r="L1955" t="s">
        <v>28</v>
      </c>
      <c r="M1955" t="s">
        <v>56</v>
      </c>
      <c r="N1955">
        <v>287.82</v>
      </c>
    </row>
    <row r="1956" spans="1:14" x14ac:dyDescent="0.35">
      <c r="A1956" s="2">
        <v>45582</v>
      </c>
      <c r="B1956" t="s">
        <v>1041</v>
      </c>
      <c r="C1956" t="s">
        <v>81</v>
      </c>
      <c r="D1956" t="s">
        <v>33</v>
      </c>
      <c r="E1956" t="s">
        <v>83</v>
      </c>
      <c r="F1956">
        <v>10</v>
      </c>
      <c r="G1956">
        <v>391.42</v>
      </c>
      <c r="H1956" t="s">
        <v>35</v>
      </c>
      <c r="I1956" t="s">
        <v>2788</v>
      </c>
      <c r="J1956" t="s">
        <v>26</v>
      </c>
      <c r="K1956" t="s">
        <v>38</v>
      </c>
      <c r="L1956" t="s">
        <v>28</v>
      </c>
      <c r="M1956" t="s">
        <v>56</v>
      </c>
      <c r="N1956">
        <v>3914.2</v>
      </c>
    </row>
    <row r="1957" spans="1:14" x14ac:dyDescent="0.35">
      <c r="A1957" s="2">
        <v>45836</v>
      </c>
      <c r="B1957" t="s">
        <v>1898</v>
      </c>
      <c r="C1957" t="s">
        <v>106</v>
      </c>
      <c r="D1957" t="s">
        <v>22</v>
      </c>
      <c r="E1957" t="s">
        <v>43</v>
      </c>
      <c r="F1957">
        <v>4</v>
      </c>
      <c r="G1957">
        <v>32.51</v>
      </c>
      <c r="H1957" t="s">
        <v>44</v>
      </c>
      <c r="I1957" t="s">
        <v>2789</v>
      </c>
      <c r="J1957" t="s">
        <v>97</v>
      </c>
      <c r="K1957" t="s">
        <v>38</v>
      </c>
      <c r="L1957" t="s">
        <v>28</v>
      </c>
      <c r="M1957" t="s">
        <v>79</v>
      </c>
      <c r="N1957">
        <v>130.04</v>
      </c>
    </row>
    <row r="1958" spans="1:14" x14ac:dyDescent="0.35">
      <c r="A1958" s="2">
        <v>45698</v>
      </c>
      <c r="B1958" t="s">
        <v>2790</v>
      </c>
      <c r="C1958" t="s">
        <v>86</v>
      </c>
      <c r="D1958" t="s">
        <v>22</v>
      </c>
      <c r="E1958" t="s">
        <v>23</v>
      </c>
      <c r="F1958">
        <v>2</v>
      </c>
      <c r="G1958">
        <v>56.04</v>
      </c>
      <c r="H1958" t="s">
        <v>44</v>
      </c>
      <c r="I1958" t="s">
        <v>2791</v>
      </c>
      <c r="J1958" t="s">
        <v>97</v>
      </c>
      <c r="K1958" t="s">
        <v>38</v>
      </c>
      <c r="L1958" t="s">
        <v>66</v>
      </c>
      <c r="M1958" t="s">
        <v>29</v>
      </c>
      <c r="N1958">
        <v>112.08</v>
      </c>
    </row>
    <row r="1959" spans="1:14" x14ac:dyDescent="0.35">
      <c r="A1959" s="2">
        <v>45239</v>
      </c>
      <c r="B1959" t="s">
        <v>414</v>
      </c>
      <c r="C1959" t="s">
        <v>89</v>
      </c>
      <c r="D1959" t="s">
        <v>52</v>
      </c>
      <c r="E1959" t="s">
        <v>53</v>
      </c>
      <c r="F1959">
        <v>10</v>
      </c>
      <c r="G1959">
        <v>295.52999999999997</v>
      </c>
      <c r="H1959" t="s">
        <v>58</v>
      </c>
      <c r="I1959" t="s">
        <v>2792</v>
      </c>
      <c r="J1959" t="s">
        <v>55</v>
      </c>
      <c r="K1959" t="s">
        <v>78</v>
      </c>
      <c r="L1959" t="s">
        <v>66</v>
      </c>
      <c r="M1959" t="s">
        <v>56</v>
      </c>
      <c r="N1959">
        <v>2955.3</v>
      </c>
    </row>
    <row r="1960" spans="1:14" x14ac:dyDescent="0.35">
      <c r="A1960" s="2">
        <v>45821</v>
      </c>
      <c r="B1960" t="s">
        <v>642</v>
      </c>
      <c r="C1960" t="s">
        <v>51</v>
      </c>
      <c r="D1960" t="s">
        <v>52</v>
      </c>
      <c r="E1960" t="s">
        <v>63</v>
      </c>
      <c r="F1960">
        <v>1</v>
      </c>
      <c r="G1960">
        <v>305.05</v>
      </c>
      <c r="H1960" t="s">
        <v>58</v>
      </c>
      <c r="I1960" t="s">
        <v>2793</v>
      </c>
      <c r="J1960" t="s">
        <v>26</v>
      </c>
      <c r="K1960" t="s">
        <v>78</v>
      </c>
      <c r="L1960" t="s">
        <v>39</v>
      </c>
      <c r="M1960" t="s">
        <v>61</v>
      </c>
      <c r="N1960">
        <v>305.05</v>
      </c>
    </row>
    <row r="1961" spans="1:14" x14ac:dyDescent="0.35">
      <c r="A1961" s="2">
        <v>45725</v>
      </c>
      <c r="B1961" t="s">
        <v>817</v>
      </c>
      <c r="C1961" t="s">
        <v>81</v>
      </c>
      <c r="D1961" t="s">
        <v>33</v>
      </c>
      <c r="E1961" t="s">
        <v>83</v>
      </c>
      <c r="F1961">
        <v>10</v>
      </c>
      <c r="G1961">
        <v>71.44</v>
      </c>
      <c r="H1961" t="s">
        <v>58</v>
      </c>
      <c r="I1961" t="s">
        <v>2794</v>
      </c>
      <c r="J1961" t="s">
        <v>37</v>
      </c>
      <c r="K1961" t="s">
        <v>38</v>
      </c>
      <c r="L1961" t="s">
        <v>39</v>
      </c>
      <c r="M1961" t="s">
        <v>101</v>
      </c>
      <c r="N1961">
        <v>714.4</v>
      </c>
    </row>
    <row r="1962" spans="1:14" x14ac:dyDescent="0.35">
      <c r="A1962" s="2">
        <v>44949</v>
      </c>
      <c r="B1962" t="s">
        <v>1062</v>
      </c>
      <c r="C1962" t="s">
        <v>41</v>
      </c>
      <c r="D1962" t="s">
        <v>33</v>
      </c>
      <c r="E1962" t="s">
        <v>43</v>
      </c>
      <c r="F1962">
        <v>10</v>
      </c>
      <c r="G1962">
        <v>24.92</v>
      </c>
      <c r="H1962" t="s">
        <v>44</v>
      </c>
      <c r="I1962" t="s">
        <v>2795</v>
      </c>
      <c r="J1962" t="s">
        <v>55</v>
      </c>
      <c r="K1962" t="s">
        <v>78</v>
      </c>
      <c r="L1962" t="s">
        <v>28</v>
      </c>
      <c r="M1962" t="s">
        <v>29</v>
      </c>
      <c r="N1962">
        <v>249.2</v>
      </c>
    </row>
    <row r="1963" spans="1:14" x14ac:dyDescent="0.35">
      <c r="A1963" s="2">
        <v>45064</v>
      </c>
      <c r="B1963" t="s">
        <v>1340</v>
      </c>
      <c r="C1963" t="s">
        <v>86</v>
      </c>
      <c r="D1963" t="s">
        <v>33</v>
      </c>
      <c r="E1963" t="s">
        <v>63</v>
      </c>
      <c r="F1963">
        <v>3</v>
      </c>
      <c r="G1963">
        <v>120</v>
      </c>
      <c r="H1963" t="s">
        <v>44</v>
      </c>
      <c r="I1963" t="s">
        <v>2796</v>
      </c>
      <c r="J1963" t="s">
        <v>26</v>
      </c>
      <c r="K1963" t="s">
        <v>78</v>
      </c>
      <c r="L1963" t="s">
        <v>39</v>
      </c>
      <c r="M1963" t="s">
        <v>56</v>
      </c>
      <c r="N1963">
        <v>360</v>
      </c>
    </row>
    <row r="1964" spans="1:14" x14ac:dyDescent="0.35">
      <c r="A1964" s="2">
        <v>45451</v>
      </c>
      <c r="B1964" t="s">
        <v>305</v>
      </c>
      <c r="C1964" t="s">
        <v>21</v>
      </c>
      <c r="D1964" t="s">
        <v>42</v>
      </c>
      <c r="E1964" t="s">
        <v>92</v>
      </c>
      <c r="F1964">
        <v>4</v>
      </c>
      <c r="G1964">
        <v>79.55</v>
      </c>
      <c r="H1964" t="s">
        <v>58</v>
      </c>
      <c r="I1964" t="s">
        <v>2797</v>
      </c>
      <c r="J1964" t="s">
        <v>37</v>
      </c>
      <c r="K1964" t="s">
        <v>60</v>
      </c>
      <c r="L1964" t="s">
        <v>66</v>
      </c>
      <c r="M1964" t="s">
        <v>79</v>
      </c>
      <c r="N1964">
        <v>318.2</v>
      </c>
    </row>
    <row r="1965" spans="1:14" x14ac:dyDescent="0.35">
      <c r="A1965" s="2">
        <v>45257</v>
      </c>
      <c r="B1965" t="s">
        <v>244</v>
      </c>
      <c r="C1965" t="s">
        <v>51</v>
      </c>
      <c r="D1965" t="s">
        <v>52</v>
      </c>
      <c r="E1965" t="s">
        <v>43</v>
      </c>
      <c r="F1965">
        <v>9</v>
      </c>
      <c r="G1965">
        <v>7.52</v>
      </c>
      <c r="H1965" t="s">
        <v>24</v>
      </c>
      <c r="I1965" t="s">
        <v>2798</v>
      </c>
      <c r="J1965" t="s">
        <v>26</v>
      </c>
      <c r="K1965" t="s">
        <v>38</v>
      </c>
      <c r="L1965" t="s">
        <v>39</v>
      </c>
      <c r="M1965" t="s">
        <v>29</v>
      </c>
      <c r="N1965">
        <v>67.679999999999993</v>
      </c>
    </row>
    <row r="1966" spans="1:14" x14ac:dyDescent="0.35">
      <c r="A1966" s="2">
        <v>45442</v>
      </c>
      <c r="B1966" t="s">
        <v>564</v>
      </c>
      <c r="C1966" t="s">
        <v>51</v>
      </c>
      <c r="D1966" t="s">
        <v>52</v>
      </c>
      <c r="E1966" t="s">
        <v>43</v>
      </c>
      <c r="F1966">
        <v>1</v>
      </c>
      <c r="G1966">
        <v>12.42</v>
      </c>
      <c r="H1966" t="s">
        <v>64</v>
      </c>
      <c r="I1966" t="s">
        <v>2799</v>
      </c>
      <c r="J1966" t="s">
        <v>26</v>
      </c>
      <c r="K1966" t="s">
        <v>60</v>
      </c>
      <c r="L1966" t="s">
        <v>66</v>
      </c>
      <c r="M1966" t="s">
        <v>56</v>
      </c>
      <c r="N1966">
        <v>12.42</v>
      </c>
    </row>
    <row r="1967" spans="1:14" x14ac:dyDescent="0.35">
      <c r="A1967" s="2">
        <v>45216</v>
      </c>
      <c r="B1967" t="s">
        <v>530</v>
      </c>
      <c r="C1967" t="s">
        <v>41</v>
      </c>
      <c r="D1967" t="s">
        <v>52</v>
      </c>
      <c r="E1967" t="s">
        <v>23</v>
      </c>
      <c r="F1967">
        <v>7</v>
      </c>
      <c r="G1967">
        <v>163.51</v>
      </c>
      <c r="H1967" t="s">
        <v>58</v>
      </c>
      <c r="I1967" t="s">
        <v>2800</v>
      </c>
      <c r="J1967" t="s">
        <v>26</v>
      </c>
      <c r="K1967" t="s">
        <v>60</v>
      </c>
      <c r="L1967" t="s">
        <v>39</v>
      </c>
      <c r="M1967" t="s">
        <v>49</v>
      </c>
      <c r="N1967">
        <v>1144.57</v>
      </c>
    </row>
    <row r="1968" spans="1:14" x14ac:dyDescent="0.35">
      <c r="A1968" s="2">
        <v>44975</v>
      </c>
      <c r="B1968" t="s">
        <v>129</v>
      </c>
      <c r="C1968" t="s">
        <v>81</v>
      </c>
      <c r="D1968" t="s">
        <v>52</v>
      </c>
      <c r="E1968" t="s">
        <v>92</v>
      </c>
      <c r="F1968">
        <v>8</v>
      </c>
      <c r="G1968">
        <v>51.48</v>
      </c>
      <c r="H1968" t="s">
        <v>58</v>
      </c>
      <c r="I1968" t="s">
        <v>2801</v>
      </c>
      <c r="J1968" t="s">
        <v>37</v>
      </c>
      <c r="K1968" t="s">
        <v>78</v>
      </c>
      <c r="L1968" t="s">
        <v>39</v>
      </c>
      <c r="M1968" t="s">
        <v>79</v>
      </c>
      <c r="N1968">
        <v>411.84</v>
      </c>
    </row>
    <row r="1969" spans="1:14" x14ac:dyDescent="0.35">
      <c r="A1969" s="2">
        <v>45819</v>
      </c>
      <c r="B1969" t="s">
        <v>1480</v>
      </c>
      <c r="C1969" t="s">
        <v>21</v>
      </c>
      <c r="D1969" t="s">
        <v>33</v>
      </c>
      <c r="E1969" t="s">
        <v>92</v>
      </c>
      <c r="F1969">
        <v>2</v>
      </c>
      <c r="G1969">
        <v>366.76</v>
      </c>
      <c r="H1969" t="s">
        <v>58</v>
      </c>
      <c r="I1969" t="s">
        <v>2802</v>
      </c>
      <c r="J1969" t="s">
        <v>94</v>
      </c>
      <c r="K1969" t="s">
        <v>27</v>
      </c>
      <c r="L1969" t="s">
        <v>28</v>
      </c>
      <c r="M1969" t="s">
        <v>67</v>
      </c>
      <c r="N1969">
        <v>733.52</v>
      </c>
    </row>
    <row r="1970" spans="1:14" x14ac:dyDescent="0.35">
      <c r="A1970" s="2">
        <v>45402</v>
      </c>
      <c r="B1970" t="s">
        <v>1165</v>
      </c>
      <c r="C1970" t="s">
        <v>89</v>
      </c>
      <c r="D1970" t="s">
        <v>22</v>
      </c>
      <c r="E1970" t="s">
        <v>34</v>
      </c>
      <c r="F1970">
        <v>3</v>
      </c>
      <c r="G1970">
        <v>121.11</v>
      </c>
      <c r="H1970" t="s">
        <v>64</v>
      </c>
      <c r="I1970" t="s">
        <v>2803</v>
      </c>
      <c r="J1970" t="s">
        <v>26</v>
      </c>
      <c r="K1970" t="s">
        <v>38</v>
      </c>
      <c r="L1970" t="s">
        <v>39</v>
      </c>
      <c r="M1970" t="s">
        <v>79</v>
      </c>
      <c r="N1970">
        <v>363.33</v>
      </c>
    </row>
    <row r="1971" spans="1:14" x14ac:dyDescent="0.35">
      <c r="A1971" s="2">
        <v>45698</v>
      </c>
      <c r="B1971" t="s">
        <v>1652</v>
      </c>
      <c r="C1971" t="s">
        <v>47</v>
      </c>
      <c r="D1971" t="s">
        <v>42</v>
      </c>
      <c r="E1971" t="s">
        <v>83</v>
      </c>
      <c r="F1971">
        <v>7</v>
      </c>
      <c r="G1971">
        <v>85.91</v>
      </c>
      <c r="H1971" t="s">
        <v>44</v>
      </c>
      <c r="I1971" t="s">
        <v>2804</v>
      </c>
      <c r="J1971" t="s">
        <v>26</v>
      </c>
      <c r="K1971" t="s">
        <v>60</v>
      </c>
      <c r="L1971" t="s">
        <v>66</v>
      </c>
      <c r="M1971" t="s">
        <v>29</v>
      </c>
      <c r="N1971">
        <v>601.37</v>
      </c>
    </row>
    <row r="1972" spans="1:14" x14ac:dyDescent="0.35">
      <c r="A1972" s="2">
        <v>45049</v>
      </c>
      <c r="B1972" t="s">
        <v>1078</v>
      </c>
      <c r="C1972" t="s">
        <v>71</v>
      </c>
      <c r="D1972" t="s">
        <v>22</v>
      </c>
      <c r="E1972" t="s">
        <v>63</v>
      </c>
      <c r="F1972">
        <v>5</v>
      </c>
      <c r="G1972">
        <v>50.09</v>
      </c>
      <c r="H1972" t="s">
        <v>24</v>
      </c>
      <c r="I1972" t="s">
        <v>2805</v>
      </c>
      <c r="J1972" t="s">
        <v>26</v>
      </c>
      <c r="K1972" t="s">
        <v>78</v>
      </c>
      <c r="L1972" t="s">
        <v>28</v>
      </c>
      <c r="M1972" t="s">
        <v>67</v>
      </c>
      <c r="N1972">
        <v>250.45</v>
      </c>
    </row>
    <row r="1973" spans="1:14" x14ac:dyDescent="0.35">
      <c r="A1973" s="2">
        <v>45370</v>
      </c>
      <c r="B1973" t="s">
        <v>873</v>
      </c>
      <c r="C1973" t="s">
        <v>51</v>
      </c>
      <c r="D1973" t="s">
        <v>33</v>
      </c>
      <c r="E1973" t="s">
        <v>53</v>
      </c>
      <c r="F1973">
        <v>2</v>
      </c>
      <c r="G1973">
        <v>161.52000000000001</v>
      </c>
      <c r="H1973" t="s">
        <v>35</v>
      </c>
      <c r="I1973" t="s">
        <v>2806</v>
      </c>
      <c r="J1973" t="s">
        <v>97</v>
      </c>
      <c r="K1973" t="s">
        <v>38</v>
      </c>
      <c r="L1973" t="s">
        <v>39</v>
      </c>
      <c r="M1973" t="s">
        <v>49</v>
      </c>
      <c r="N1973">
        <v>323.04000000000002</v>
      </c>
    </row>
    <row r="1974" spans="1:14" x14ac:dyDescent="0.35">
      <c r="A1974" s="2">
        <v>45206</v>
      </c>
      <c r="B1974" t="s">
        <v>1499</v>
      </c>
      <c r="C1974" t="s">
        <v>71</v>
      </c>
      <c r="D1974" t="s">
        <v>33</v>
      </c>
      <c r="E1974" t="s">
        <v>23</v>
      </c>
      <c r="F1974">
        <v>4</v>
      </c>
      <c r="G1974">
        <v>34.799999999999997</v>
      </c>
      <c r="H1974" t="s">
        <v>64</v>
      </c>
      <c r="I1974" t="s">
        <v>2807</v>
      </c>
      <c r="J1974" t="s">
        <v>37</v>
      </c>
      <c r="K1974" t="s">
        <v>27</v>
      </c>
      <c r="L1974" t="s">
        <v>66</v>
      </c>
      <c r="M1974" t="s">
        <v>79</v>
      </c>
      <c r="N1974">
        <v>139.19999999999999</v>
      </c>
    </row>
    <row r="1975" spans="1:14" x14ac:dyDescent="0.35">
      <c r="A1975" s="2">
        <v>45736</v>
      </c>
      <c r="B1975" t="s">
        <v>2808</v>
      </c>
      <c r="C1975" t="s">
        <v>106</v>
      </c>
      <c r="D1975" t="s">
        <v>52</v>
      </c>
      <c r="E1975" t="s">
        <v>63</v>
      </c>
      <c r="F1975">
        <v>3</v>
      </c>
      <c r="G1975">
        <v>185.38</v>
      </c>
      <c r="H1975" t="s">
        <v>58</v>
      </c>
      <c r="I1975" t="s">
        <v>2809</v>
      </c>
      <c r="J1975" t="s">
        <v>55</v>
      </c>
      <c r="K1975" t="s">
        <v>78</v>
      </c>
      <c r="L1975" t="s">
        <v>28</v>
      </c>
      <c r="M1975" t="s">
        <v>56</v>
      </c>
      <c r="N1975">
        <v>556.14</v>
      </c>
    </row>
    <row r="1976" spans="1:14" x14ac:dyDescent="0.35">
      <c r="A1976" s="2">
        <v>45143</v>
      </c>
      <c r="B1976" t="s">
        <v>479</v>
      </c>
      <c r="C1976" t="s">
        <v>21</v>
      </c>
      <c r="D1976" t="s">
        <v>52</v>
      </c>
      <c r="E1976" t="s">
        <v>43</v>
      </c>
      <c r="F1976">
        <v>6</v>
      </c>
      <c r="G1976">
        <v>223.02</v>
      </c>
      <c r="H1976" t="s">
        <v>58</v>
      </c>
      <c r="I1976" t="s">
        <v>2810</v>
      </c>
      <c r="J1976" t="s">
        <v>94</v>
      </c>
      <c r="K1976" t="s">
        <v>27</v>
      </c>
      <c r="L1976" t="s">
        <v>28</v>
      </c>
      <c r="M1976" t="s">
        <v>79</v>
      </c>
      <c r="N1976">
        <v>1338.12</v>
      </c>
    </row>
    <row r="1977" spans="1:14" x14ac:dyDescent="0.35">
      <c r="A1977" s="2">
        <v>45125</v>
      </c>
      <c r="B1977" t="s">
        <v>2811</v>
      </c>
      <c r="C1977" t="s">
        <v>41</v>
      </c>
      <c r="D1977" t="s">
        <v>52</v>
      </c>
      <c r="E1977" t="s">
        <v>34</v>
      </c>
      <c r="F1977">
        <v>10</v>
      </c>
      <c r="G1977">
        <v>48.01</v>
      </c>
      <c r="H1977" t="s">
        <v>44</v>
      </c>
      <c r="I1977" t="s">
        <v>2812</v>
      </c>
      <c r="J1977" t="s">
        <v>55</v>
      </c>
      <c r="K1977" t="s">
        <v>60</v>
      </c>
      <c r="L1977" t="s">
        <v>39</v>
      </c>
      <c r="M1977" t="s">
        <v>49</v>
      </c>
      <c r="N1977">
        <v>480.1</v>
      </c>
    </row>
    <row r="1978" spans="1:14" x14ac:dyDescent="0.35">
      <c r="A1978" s="2">
        <v>45304</v>
      </c>
      <c r="B1978" t="s">
        <v>2246</v>
      </c>
      <c r="C1978" t="s">
        <v>81</v>
      </c>
      <c r="D1978" t="s">
        <v>33</v>
      </c>
      <c r="E1978" t="s">
        <v>53</v>
      </c>
      <c r="F1978">
        <v>9</v>
      </c>
      <c r="G1978">
        <v>166.29</v>
      </c>
      <c r="H1978" t="s">
        <v>64</v>
      </c>
      <c r="I1978" t="s">
        <v>2813</v>
      </c>
      <c r="J1978" t="s">
        <v>97</v>
      </c>
      <c r="K1978" t="s">
        <v>38</v>
      </c>
      <c r="L1978" t="s">
        <v>39</v>
      </c>
      <c r="M1978" t="s">
        <v>79</v>
      </c>
      <c r="N1978">
        <v>1496.61</v>
      </c>
    </row>
    <row r="1979" spans="1:14" x14ac:dyDescent="0.35">
      <c r="A1979" s="2">
        <v>45778</v>
      </c>
      <c r="B1979" t="s">
        <v>222</v>
      </c>
      <c r="C1979" t="s">
        <v>71</v>
      </c>
      <c r="D1979" t="s">
        <v>52</v>
      </c>
      <c r="E1979" t="s">
        <v>63</v>
      </c>
      <c r="F1979">
        <v>6</v>
      </c>
      <c r="G1979">
        <v>270.73</v>
      </c>
      <c r="H1979" t="s">
        <v>58</v>
      </c>
      <c r="I1979" t="s">
        <v>2814</v>
      </c>
      <c r="J1979" t="s">
        <v>94</v>
      </c>
      <c r="K1979" t="s">
        <v>38</v>
      </c>
      <c r="L1979" t="s">
        <v>28</v>
      </c>
      <c r="M1979" t="s">
        <v>56</v>
      </c>
      <c r="N1979">
        <v>1624.38</v>
      </c>
    </row>
    <row r="1980" spans="1:14" x14ac:dyDescent="0.35">
      <c r="A1980" s="2">
        <v>45810</v>
      </c>
      <c r="B1980" t="s">
        <v>808</v>
      </c>
      <c r="C1980" t="s">
        <v>74</v>
      </c>
      <c r="D1980" t="s">
        <v>22</v>
      </c>
      <c r="E1980" t="s">
        <v>53</v>
      </c>
      <c r="F1980">
        <v>2</v>
      </c>
      <c r="G1980">
        <v>104.12</v>
      </c>
      <c r="H1980" t="s">
        <v>24</v>
      </c>
      <c r="I1980" t="s">
        <v>2815</v>
      </c>
      <c r="J1980" t="s">
        <v>26</v>
      </c>
      <c r="K1980" t="s">
        <v>78</v>
      </c>
      <c r="L1980" t="s">
        <v>28</v>
      </c>
      <c r="M1980" t="s">
        <v>29</v>
      </c>
      <c r="N1980">
        <v>208.24</v>
      </c>
    </row>
    <row r="1981" spans="1:14" x14ac:dyDescent="0.35">
      <c r="A1981" s="2">
        <v>45352</v>
      </c>
      <c r="B1981" t="s">
        <v>1454</v>
      </c>
      <c r="C1981" t="s">
        <v>41</v>
      </c>
      <c r="D1981" t="s">
        <v>22</v>
      </c>
      <c r="E1981" t="s">
        <v>83</v>
      </c>
      <c r="F1981">
        <v>2</v>
      </c>
      <c r="G1981">
        <v>316.44</v>
      </c>
      <c r="H1981" t="s">
        <v>35</v>
      </c>
      <c r="I1981" t="s">
        <v>2816</v>
      </c>
      <c r="J1981" t="s">
        <v>97</v>
      </c>
      <c r="K1981" t="s">
        <v>38</v>
      </c>
      <c r="L1981" t="s">
        <v>39</v>
      </c>
      <c r="M1981" t="s">
        <v>61</v>
      </c>
      <c r="N1981">
        <v>632.88</v>
      </c>
    </row>
    <row r="1982" spans="1:14" x14ac:dyDescent="0.35">
      <c r="A1982" s="2">
        <v>45212</v>
      </c>
      <c r="B1982" t="s">
        <v>810</v>
      </c>
      <c r="C1982" t="s">
        <v>21</v>
      </c>
      <c r="D1982" t="s">
        <v>52</v>
      </c>
      <c r="E1982" t="s">
        <v>83</v>
      </c>
      <c r="F1982">
        <v>5</v>
      </c>
      <c r="G1982">
        <v>363.11</v>
      </c>
      <c r="H1982" t="s">
        <v>44</v>
      </c>
      <c r="I1982" t="s">
        <v>2817</v>
      </c>
      <c r="J1982" t="s">
        <v>55</v>
      </c>
      <c r="K1982" t="s">
        <v>60</v>
      </c>
      <c r="L1982" t="s">
        <v>28</v>
      </c>
      <c r="M1982" t="s">
        <v>61</v>
      </c>
      <c r="N1982">
        <v>1815.55</v>
      </c>
    </row>
    <row r="1983" spans="1:14" x14ac:dyDescent="0.35">
      <c r="A1983" s="2">
        <v>45346</v>
      </c>
      <c r="B1983" t="s">
        <v>187</v>
      </c>
      <c r="C1983" t="s">
        <v>71</v>
      </c>
      <c r="D1983" t="s">
        <v>33</v>
      </c>
      <c r="E1983" t="s">
        <v>63</v>
      </c>
      <c r="F1983">
        <v>2</v>
      </c>
      <c r="G1983">
        <v>277.01</v>
      </c>
      <c r="H1983" t="s">
        <v>24</v>
      </c>
      <c r="I1983" t="s">
        <v>2818</v>
      </c>
      <c r="J1983" t="s">
        <v>55</v>
      </c>
      <c r="K1983" t="s">
        <v>60</v>
      </c>
      <c r="L1983" t="s">
        <v>28</v>
      </c>
      <c r="M1983" t="s">
        <v>79</v>
      </c>
      <c r="N1983">
        <v>554.02</v>
      </c>
    </row>
    <row r="1984" spans="1:14" x14ac:dyDescent="0.35">
      <c r="A1984" s="2">
        <v>45431</v>
      </c>
      <c r="B1984" t="s">
        <v>708</v>
      </c>
      <c r="C1984" t="s">
        <v>74</v>
      </c>
      <c r="D1984" t="s">
        <v>52</v>
      </c>
      <c r="E1984" t="s">
        <v>83</v>
      </c>
      <c r="F1984">
        <v>10</v>
      </c>
      <c r="G1984">
        <v>193.77</v>
      </c>
      <c r="H1984" t="s">
        <v>58</v>
      </c>
      <c r="I1984" t="s">
        <v>2819</v>
      </c>
      <c r="J1984" t="s">
        <v>26</v>
      </c>
      <c r="K1984" t="s">
        <v>78</v>
      </c>
      <c r="L1984" t="s">
        <v>28</v>
      </c>
      <c r="M1984" t="s">
        <v>101</v>
      </c>
      <c r="N1984">
        <v>1937.7</v>
      </c>
    </row>
    <row r="1985" spans="1:14" x14ac:dyDescent="0.35">
      <c r="A1985" s="2">
        <v>45697</v>
      </c>
      <c r="B1985" t="s">
        <v>1299</v>
      </c>
      <c r="C1985" t="s">
        <v>86</v>
      </c>
      <c r="D1985" t="s">
        <v>22</v>
      </c>
      <c r="E1985" t="s">
        <v>53</v>
      </c>
      <c r="F1985">
        <v>4</v>
      </c>
      <c r="G1985">
        <v>162.22</v>
      </c>
      <c r="H1985" t="s">
        <v>35</v>
      </c>
      <c r="I1985" t="s">
        <v>2820</v>
      </c>
      <c r="J1985" t="s">
        <v>26</v>
      </c>
      <c r="K1985" t="s">
        <v>78</v>
      </c>
      <c r="L1985" t="s">
        <v>28</v>
      </c>
      <c r="M1985" t="s">
        <v>101</v>
      </c>
      <c r="N1985">
        <v>648.88</v>
      </c>
    </row>
    <row r="1986" spans="1:14" x14ac:dyDescent="0.35">
      <c r="A1986" s="2">
        <v>45602</v>
      </c>
      <c r="B1986" t="s">
        <v>384</v>
      </c>
      <c r="C1986" t="s">
        <v>81</v>
      </c>
      <c r="D1986" t="s">
        <v>42</v>
      </c>
      <c r="E1986" t="s">
        <v>83</v>
      </c>
      <c r="F1986">
        <v>3</v>
      </c>
      <c r="G1986">
        <v>204.61</v>
      </c>
      <c r="H1986" t="s">
        <v>44</v>
      </c>
      <c r="I1986" t="s">
        <v>2821</v>
      </c>
      <c r="J1986" t="s">
        <v>55</v>
      </c>
      <c r="K1986" t="s">
        <v>38</v>
      </c>
      <c r="L1986" t="s">
        <v>66</v>
      </c>
      <c r="M1986" t="s">
        <v>67</v>
      </c>
      <c r="N1986">
        <v>613.83000000000004</v>
      </c>
    </row>
    <row r="1987" spans="1:14" x14ac:dyDescent="0.35">
      <c r="A1987" s="2">
        <v>45468</v>
      </c>
      <c r="B1987" t="s">
        <v>446</v>
      </c>
      <c r="C1987" t="s">
        <v>74</v>
      </c>
      <c r="D1987" t="s">
        <v>42</v>
      </c>
      <c r="E1987" t="s">
        <v>43</v>
      </c>
      <c r="F1987">
        <v>10</v>
      </c>
      <c r="G1987">
        <v>122.7</v>
      </c>
      <c r="H1987" t="s">
        <v>44</v>
      </c>
      <c r="I1987" t="s">
        <v>2822</v>
      </c>
      <c r="J1987" t="s">
        <v>37</v>
      </c>
      <c r="K1987" t="s">
        <v>27</v>
      </c>
      <c r="L1987" t="s">
        <v>39</v>
      </c>
      <c r="M1987" t="s">
        <v>49</v>
      </c>
      <c r="N1987">
        <v>1227</v>
      </c>
    </row>
    <row r="1988" spans="1:14" x14ac:dyDescent="0.35">
      <c r="A1988" s="2">
        <v>45326</v>
      </c>
      <c r="B1988" t="s">
        <v>893</v>
      </c>
      <c r="C1988" t="s">
        <v>47</v>
      </c>
      <c r="D1988" t="s">
        <v>52</v>
      </c>
      <c r="E1988" t="s">
        <v>34</v>
      </c>
      <c r="F1988">
        <v>3</v>
      </c>
      <c r="G1988">
        <v>145.46</v>
      </c>
      <c r="H1988" t="s">
        <v>24</v>
      </c>
      <c r="I1988" t="s">
        <v>2823</v>
      </c>
      <c r="J1988" t="s">
        <v>37</v>
      </c>
      <c r="K1988" t="s">
        <v>78</v>
      </c>
      <c r="L1988" t="s">
        <v>66</v>
      </c>
      <c r="M1988" t="s">
        <v>101</v>
      </c>
      <c r="N1988">
        <v>436.38</v>
      </c>
    </row>
    <row r="1989" spans="1:14" x14ac:dyDescent="0.35">
      <c r="A1989" s="2">
        <v>45061</v>
      </c>
      <c r="B1989" t="s">
        <v>768</v>
      </c>
      <c r="C1989" t="s">
        <v>86</v>
      </c>
      <c r="D1989" t="s">
        <v>33</v>
      </c>
      <c r="E1989" t="s">
        <v>83</v>
      </c>
      <c r="F1989">
        <v>8</v>
      </c>
      <c r="G1989">
        <v>130.88999999999999</v>
      </c>
      <c r="H1989" t="s">
        <v>44</v>
      </c>
      <c r="I1989" t="s">
        <v>2824</v>
      </c>
      <c r="J1989" t="s">
        <v>26</v>
      </c>
      <c r="K1989" t="s">
        <v>78</v>
      </c>
      <c r="L1989" t="s">
        <v>39</v>
      </c>
      <c r="M1989" t="s">
        <v>29</v>
      </c>
      <c r="N1989">
        <v>1047.1199999999999</v>
      </c>
    </row>
    <row r="1990" spans="1:14" x14ac:dyDescent="0.35">
      <c r="A1990" s="2">
        <v>45535</v>
      </c>
      <c r="B1990" t="s">
        <v>713</v>
      </c>
      <c r="C1990" t="s">
        <v>86</v>
      </c>
      <c r="D1990" t="s">
        <v>42</v>
      </c>
      <c r="E1990" t="s">
        <v>23</v>
      </c>
      <c r="F1990">
        <v>4</v>
      </c>
      <c r="G1990">
        <v>142.82</v>
      </c>
      <c r="H1990" t="s">
        <v>24</v>
      </c>
      <c r="I1990" t="s">
        <v>2825</v>
      </c>
      <c r="J1990" t="s">
        <v>94</v>
      </c>
      <c r="K1990" t="s">
        <v>60</v>
      </c>
      <c r="L1990" t="s">
        <v>39</v>
      </c>
      <c r="M1990" t="s">
        <v>79</v>
      </c>
      <c r="N1990">
        <v>571.28</v>
      </c>
    </row>
    <row r="1991" spans="1:14" x14ac:dyDescent="0.35">
      <c r="A1991" s="2">
        <v>45063</v>
      </c>
      <c r="B1991" t="s">
        <v>746</v>
      </c>
      <c r="C1991" t="s">
        <v>74</v>
      </c>
      <c r="D1991" t="s">
        <v>22</v>
      </c>
      <c r="E1991" t="s">
        <v>83</v>
      </c>
      <c r="F1991">
        <v>1</v>
      </c>
      <c r="G1991">
        <v>194.34</v>
      </c>
      <c r="H1991" t="s">
        <v>24</v>
      </c>
      <c r="I1991" t="s">
        <v>2826</v>
      </c>
      <c r="J1991" t="s">
        <v>94</v>
      </c>
      <c r="K1991" t="s">
        <v>38</v>
      </c>
      <c r="L1991" t="s">
        <v>66</v>
      </c>
      <c r="M1991" t="s">
        <v>67</v>
      </c>
      <c r="N1991">
        <v>194.34</v>
      </c>
    </row>
    <row r="1992" spans="1:14" x14ac:dyDescent="0.35">
      <c r="A1992" s="2">
        <v>45421</v>
      </c>
      <c r="B1992" t="s">
        <v>2141</v>
      </c>
      <c r="C1992" t="s">
        <v>106</v>
      </c>
      <c r="D1992" t="s">
        <v>42</v>
      </c>
      <c r="E1992" t="s">
        <v>83</v>
      </c>
      <c r="F1992">
        <v>2</v>
      </c>
      <c r="G1992">
        <v>376.62</v>
      </c>
      <c r="H1992" t="s">
        <v>58</v>
      </c>
      <c r="I1992" t="s">
        <v>2827</v>
      </c>
      <c r="J1992" t="s">
        <v>94</v>
      </c>
      <c r="K1992" t="s">
        <v>27</v>
      </c>
      <c r="L1992" t="s">
        <v>66</v>
      </c>
      <c r="M1992" t="s">
        <v>56</v>
      </c>
      <c r="N1992">
        <v>753.24</v>
      </c>
    </row>
    <row r="1993" spans="1:14" x14ac:dyDescent="0.35">
      <c r="A1993" s="2">
        <v>45432</v>
      </c>
      <c r="B1993" t="s">
        <v>1898</v>
      </c>
      <c r="C1993" t="s">
        <v>89</v>
      </c>
      <c r="D1993" t="s">
        <v>52</v>
      </c>
      <c r="E1993" t="s">
        <v>23</v>
      </c>
      <c r="F1993">
        <v>2</v>
      </c>
      <c r="G1993">
        <v>24.08</v>
      </c>
      <c r="H1993" t="s">
        <v>24</v>
      </c>
      <c r="I1993" t="s">
        <v>2828</v>
      </c>
      <c r="J1993" t="s">
        <v>55</v>
      </c>
      <c r="K1993" t="s">
        <v>60</v>
      </c>
      <c r="L1993" t="s">
        <v>28</v>
      </c>
      <c r="M1993" t="s">
        <v>29</v>
      </c>
      <c r="N1993">
        <v>48.16</v>
      </c>
    </row>
    <row r="1994" spans="1:14" x14ac:dyDescent="0.35">
      <c r="A1994" s="2">
        <v>45446</v>
      </c>
      <c r="B1994" t="s">
        <v>2042</v>
      </c>
      <c r="C1994" t="s">
        <v>47</v>
      </c>
      <c r="D1994" t="s">
        <v>52</v>
      </c>
      <c r="E1994" t="s">
        <v>63</v>
      </c>
      <c r="F1994">
        <v>9</v>
      </c>
      <c r="G1994">
        <v>332.9</v>
      </c>
      <c r="H1994" t="s">
        <v>44</v>
      </c>
      <c r="I1994" t="s">
        <v>2829</v>
      </c>
      <c r="J1994" t="s">
        <v>94</v>
      </c>
      <c r="K1994" t="s">
        <v>60</v>
      </c>
      <c r="L1994" t="s">
        <v>39</v>
      </c>
      <c r="M1994" t="s">
        <v>29</v>
      </c>
      <c r="N1994">
        <v>2996.1</v>
      </c>
    </row>
    <row r="1995" spans="1:14" x14ac:dyDescent="0.35">
      <c r="A1995" s="2">
        <v>45226</v>
      </c>
      <c r="B1995" t="s">
        <v>1995</v>
      </c>
      <c r="C1995" t="s">
        <v>74</v>
      </c>
      <c r="D1995" t="s">
        <v>42</v>
      </c>
      <c r="E1995" t="s">
        <v>92</v>
      </c>
      <c r="F1995">
        <v>2</v>
      </c>
      <c r="G1995">
        <v>371.73</v>
      </c>
      <c r="H1995" t="s">
        <v>35</v>
      </c>
      <c r="I1995" t="s">
        <v>2830</v>
      </c>
      <c r="J1995" t="s">
        <v>26</v>
      </c>
      <c r="K1995" t="s">
        <v>60</v>
      </c>
      <c r="L1995" t="s">
        <v>39</v>
      </c>
      <c r="M1995" t="s">
        <v>61</v>
      </c>
      <c r="N1995">
        <v>743.46</v>
      </c>
    </row>
    <row r="1996" spans="1:14" x14ac:dyDescent="0.35">
      <c r="A1996" s="2">
        <v>45074</v>
      </c>
      <c r="B1996" t="s">
        <v>1180</v>
      </c>
      <c r="C1996" t="s">
        <v>106</v>
      </c>
      <c r="D1996" t="s">
        <v>52</v>
      </c>
      <c r="E1996" t="s">
        <v>63</v>
      </c>
      <c r="F1996">
        <v>1</v>
      </c>
      <c r="G1996">
        <v>305.52</v>
      </c>
      <c r="H1996" t="s">
        <v>24</v>
      </c>
      <c r="I1996" t="s">
        <v>2831</v>
      </c>
      <c r="J1996" t="s">
        <v>94</v>
      </c>
      <c r="K1996" t="s">
        <v>60</v>
      </c>
      <c r="L1996" t="s">
        <v>39</v>
      </c>
      <c r="M1996" t="s">
        <v>101</v>
      </c>
      <c r="N1996">
        <v>305.52</v>
      </c>
    </row>
    <row r="1997" spans="1:14" x14ac:dyDescent="0.35">
      <c r="A1997" s="2">
        <v>45448</v>
      </c>
      <c r="B1997" t="s">
        <v>765</v>
      </c>
      <c r="C1997" t="s">
        <v>41</v>
      </c>
      <c r="D1997" t="s">
        <v>22</v>
      </c>
      <c r="E1997" t="s">
        <v>34</v>
      </c>
      <c r="F1997">
        <v>9</v>
      </c>
      <c r="G1997">
        <v>138.02000000000001</v>
      </c>
      <c r="H1997" t="s">
        <v>24</v>
      </c>
      <c r="I1997" t="s">
        <v>2832</v>
      </c>
      <c r="J1997" t="s">
        <v>55</v>
      </c>
      <c r="K1997" t="s">
        <v>38</v>
      </c>
      <c r="L1997" t="s">
        <v>28</v>
      </c>
      <c r="M1997" t="s">
        <v>67</v>
      </c>
      <c r="N1997">
        <v>1242.18</v>
      </c>
    </row>
    <row r="1998" spans="1:14" x14ac:dyDescent="0.35">
      <c r="A1998" s="2">
        <v>45714</v>
      </c>
      <c r="B1998" t="s">
        <v>847</v>
      </c>
      <c r="C1998" t="s">
        <v>106</v>
      </c>
      <c r="D1998" t="s">
        <v>42</v>
      </c>
      <c r="E1998" t="s">
        <v>92</v>
      </c>
      <c r="F1998">
        <v>7</v>
      </c>
      <c r="G1998">
        <v>242.35</v>
      </c>
      <c r="H1998" t="s">
        <v>64</v>
      </c>
      <c r="I1998" t="s">
        <v>2833</v>
      </c>
      <c r="J1998" t="s">
        <v>37</v>
      </c>
      <c r="K1998" t="s">
        <v>27</v>
      </c>
      <c r="L1998" t="s">
        <v>66</v>
      </c>
      <c r="M1998" t="s">
        <v>67</v>
      </c>
      <c r="N1998">
        <v>1696.45</v>
      </c>
    </row>
    <row r="1999" spans="1:14" x14ac:dyDescent="0.35">
      <c r="A1999" s="2">
        <v>45431</v>
      </c>
      <c r="B1999" t="s">
        <v>1194</v>
      </c>
      <c r="C1999" t="s">
        <v>89</v>
      </c>
      <c r="D1999" t="s">
        <v>42</v>
      </c>
      <c r="E1999" t="s">
        <v>34</v>
      </c>
      <c r="F1999">
        <v>1</v>
      </c>
      <c r="G1999">
        <v>297.64999999999998</v>
      </c>
      <c r="H1999" t="s">
        <v>44</v>
      </c>
      <c r="I1999" t="s">
        <v>2834</v>
      </c>
      <c r="J1999" t="s">
        <v>97</v>
      </c>
      <c r="K1999" t="s">
        <v>27</v>
      </c>
      <c r="L1999" t="s">
        <v>28</v>
      </c>
      <c r="M1999" t="s">
        <v>101</v>
      </c>
      <c r="N1999">
        <v>297.64999999999998</v>
      </c>
    </row>
    <row r="2000" spans="1:14" x14ac:dyDescent="0.35">
      <c r="A2000" s="2">
        <v>45090</v>
      </c>
      <c r="B2000" t="s">
        <v>1881</v>
      </c>
      <c r="C2000" t="s">
        <v>106</v>
      </c>
      <c r="D2000" t="s">
        <v>42</v>
      </c>
      <c r="E2000" t="s">
        <v>92</v>
      </c>
      <c r="F2000">
        <v>1</v>
      </c>
      <c r="G2000">
        <v>343.54</v>
      </c>
      <c r="H2000" t="s">
        <v>35</v>
      </c>
      <c r="I2000" t="s">
        <v>2835</v>
      </c>
      <c r="J2000" t="s">
        <v>94</v>
      </c>
      <c r="K2000" t="s">
        <v>38</v>
      </c>
      <c r="L2000" t="s">
        <v>39</v>
      </c>
      <c r="M2000" t="s">
        <v>49</v>
      </c>
      <c r="N2000">
        <v>343.54</v>
      </c>
    </row>
    <row r="2001" spans="1:14" x14ac:dyDescent="0.35">
      <c r="A2001" s="2">
        <v>45764</v>
      </c>
      <c r="B2001" t="s">
        <v>1419</v>
      </c>
      <c r="C2001" t="s">
        <v>81</v>
      </c>
      <c r="D2001" t="s">
        <v>33</v>
      </c>
      <c r="E2001" t="s">
        <v>43</v>
      </c>
      <c r="F2001">
        <v>1</v>
      </c>
      <c r="G2001">
        <v>152.49</v>
      </c>
      <c r="H2001" t="s">
        <v>24</v>
      </c>
      <c r="I2001" t="s">
        <v>2836</v>
      </c>
      <c r="J2001" t="s">
        <v>97</v>
      </c>
      <c r="K2001" t="s">
        <v>60</v>
      </c>
      <c r="L2001" t="s">
        <v>66</v>
      </c>
      <c r="M2001" t="s">
        <v>56</v>
      </c>
      <c r="N2001">
        <v>152.49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87FDA6-7907-449C-B9DB-16848277A481}">
  <sheetPr>
    <tabColor rgb="FF92D050"/>
  </sheetPr>
  <dimension ref="A1:T601"/>
  <sheetViews>
    <sheetView zoomScale="70" zoomScaleNormal="70" workbookViewId="0">
      <selection activeCell="H20" sqref="H20"/>
    </sheetView>
  </sheetViews>
  <sheetFormatPr defaultRowHeight="14.5" x14ac:dyDescent="0.35"/>
  <cols>
    <col min="1" max="1" width="10.54296875" bestFit="1" customWidth="1"/>
    <col min="8" max="8" width="12.90625" customWidth="1"/>
    <col min="9" max="9" width="14.36328125" customWidth="1"/>
    <col min="11" max="11" width="13.453125" customWidth="1"/>
    <col min="12" max="12" width="12.08984375" customWidth="1"/>
    <col min="13" max="13" width="13.81640625" customWidth="1"/>
    <col min="14" max="14" width="11.7265625" customWidth="1"/>
    <col min="17" max="17" width="12.54296875" customWidth="1"/>
    <col min="20" max="20" width="17.7265625" customWidth="1"/>
  </cols>
  <sheetData>
    <row r="1" spans="1:20" ht="21" customHeight="1" x14ac:dyDescent="0.35">
      <c r="A1" s="1" t="s">
        <v>0</v>
      </c>
      <c r="B1" s="1" t="s">
        <v>1</v>
      </c>
      <c r="C1" s="1" t="s">
        <v>2873</v>
      </c>
      <c r="D1" s="1" t="s">
        <v>3</v>
      </c>
      <c r="E1" s="1" t="s">
        <v>4</v>
      </c>
      <c r="F1" s="1" t="s">
        <v>5</v>
      </c>
      <c r="G1" s="1" t="s">
        <v>2874</v>
      </c>
      <c r="H1" s="1" t="s">
        <v>2863</v>
      </c>
      <c r="I1" s="1" t="s">
        <v>2872</v>
      </c>
      <c r="J1" s="1" t="s">
        <v>9</v>
      </c>
      <c r="K1" s="1" t="s">
        <v>2871</v>
      </c>
      <c r="L1" s="1" t="s">
        <v>2868</v>
      </c>
      <c r="M1" s="1" t="s">
        <v>2869</v>
      </c>
      <c r="N1" s="1" t="s">
        <v>2870</v>
      </c>
      <c r="O1" s="1" t="s">
        <v>14</v>
      </c>
      <c r="P1" s="1" t="s">
        <v>15</v>
      </c>
      <c r="Q1" s="1" t="s">
        <v>2875</v>
      </c>
      <c r="R1" s="1" t="s">
        <v>17</v>
      </c>
      <c r="S1" s="1" t="s">
        <v>18</v>
      </c>
      <c r="T1" s="39" t="s">
        <v>2876</v>
      </c>
    </row>
    <row r="2" spans="1:20" x14ac:dyDescent="0.35">
      <c r="A2" s="40">
        <v>44928</v>
      </c>
      <c r="B2" s="41" t="s">
        <v>20</v>
      </c>
      <c r="C2" s="41" t="s">
        <v>106</v>
      </c>
      <c r="D2" s="41" t="s">
        <v>42</v>
      </c>
      <c r="E2" s="41" t="s">
        <v>43</v>
      </c>
      <c r="F2" s="41">
        <v>1</v>
      </c>
      <c r="G2" s="42">
        <v>5.74</v>
      </c>
      <c r="H2" s="41" t="s">
        <v>24</v>
      </c>
      <c r="I2" s="41" t="s">
        <v>25</v>
      </c>
      <c r="J2" s="41" t="s">
        <v>55</v>
      </c>
      <c r="K2" s="41" t="s">
        <v>27</v>
      </c>
      <c r="L2" s="41" t="s">
        <v>28</v>
      </c>
      <c r="M2" s="41" t="s">
        <v>29</v>
      </c>
      <c r="N2" s="42">
        <v>2200.6799999999998</v>
      </c>
      <c r="O2" s="41">
        <v>2023</v>
      </c>
      <c r="P2" s="41">
        <v>1</v>
      </c>
      <c r="Q2" s="41" t="s">
        <v>30</v>
      </c>
      <c r="R2" s="41" t="s">
        <v>31</v>
      </c>
      <c r="S2" s="42">
        <v>2200.6799999999998</v>
      </c>
      <c r="T2" s="43">
        <v>244.52</v>
      </c>
    </row>
    <row r="3" spans="1:20" x14ac:dyDescent="0.35">
      <c r="A3" s="44">
        <v>44928</v>
      </c>
      <c r="B3" s="9" t="s">
        <v>32</v>
      </c>
      <c r="C3" s="9" t="s">
        <v>106</v>
      </c>
      <c r="D3" s="9" t="s">
        <v>42</v>
      </c>
      <c r="E3" s="9" t="s">
        <v>43</v>
      </c>
      <c r="F3" s="9">
        <v>1</v>
      </c>
      <c r="G3" s="10">
        <v>7.32</v>
      </c>
      <c r="H3" s="9" t="s">
        <v>35</v>
      </c>
      <c r="I3" s="9" t="s">
        <v>36</v>
      </c>
      <c r="J3" s="9" t="s">
        <v>55</v>
      </c>
      <c r="K3" s="9" t="s">
        <v>27</v>
      </c>
      <c r="L3" s="9" t="s">
        <v>39</v>
      </c>
      <c r="M3" s="9" t="s">
        <v>29</v>
      </c>
      <c r="N3" s="10">
        <v>337.77</v>
      </c>
      <c r="O3" s="9">
        <v>2023</v>
      </c>
      <c r="P3" s="9">
        <v>1</v>
      </c>
      <c r="Q3" s="9" t="s">
        <v>30</v>
      </c>
      <c r="R3" s="9" t="s">
        <v>31</v>
      </c>
      <c r="S3" s="10">
        <v>337.77</v>
      </c>
      <c r="T3" s="45">
        <v>112.59</v>
      </c>
    </row>
    <row r="4" spans="1:20" x14ac:dyDescent="0.35">
      <c r="A4" s="40">
        <v>44928</v>
      </c>
      <c r="B4" s="41" t="s">
        <v>40</v>
      </c>
      <c r="C4" s="41" t="s">
        <v>106</v>
      </c>
      <c r="D4" s="41" t="s">
        <v>42</v>
      </c>
      <c r="E4" s="41" t="s">
        <v>43</v>
      </c>
      <c r="F4" s="41">
        <v>1</v>
      </c>
      <c r="G4" s="42">
        <v>8.0500000000000007</v>
      </c>
      <c r="H4" s="41" t="s">
        <v>44</v>
      </c>
      <c r="I4" s="41" t="s">
        <v>45</v>
      </c>
      <c r="J4" s="41" t="s">
        <v>55</v>
      </c>
      <c r="K4" s="41" t="s">
        <v>27</v>
      </c>
      <c r="L4" s="41" t="s">
        <v>39</v>
      </c>
      <c r="M4" s="41" t="s">
        <v>29</v>
      </c>
      <c r="N4" s="42">
        <v>434.22</v>
      </c>
      <c r="O4" s="41">
        <v>2023</v>
      </c>
      <c r="P4" s="41">
        <v>1</v>
      </c>
      <c r="Q4" s="41" t="s">
        <v>30</v>
      </c>
      <c r="R4" s="41" t="s">
        <v>31</v>
      </c>
      <c r="S4" s="42">
        <v>434.22</v>
      </c>
      <c r="T4" s="43">
        <v>72.37</v>
      </c>
    </row>
    <row r="5" spans="1:20" x14ac:dyDescent="0.35">
      <c r="A5" s="44">
        <v>44929</v>
      </c>
      <c r="B5" s="9" t="s">
        <v>46</v>
      </c>
      <c r="C5" s="9" t="s">
        <v>106</v>
      </c>
      <c r="D5" s="9" t="s">
        <v>42</v>
      </c>
      <c r="E5" s="9" t="s">
        <v>43</v>
      </c>
      <c r="F5" s="9">
        <v>1</v>
      </c>
      <c r="G5" s="10">
        <v>8.32</v>
      </c>
      <c r="H5" s="9" t="s">
        <v>44</v>
      </c>
      <c r="I5" s="9" t="s">
        <v>48</v>
      </c>
      <c r="J5" s="9" t="s">
        <v>55</v>
      </c>
      <c r="K5" s="9" t="s">
        <v>27</v>
      </c>
      <c r="L5" s="9" t="s">
        <v>39</v>
      </c>
      <c r="M5" s="9" t="s">
        <v>49</v>
      </c>
      <c r="N5" s="10">
        <v>1275.3900000000001</v>
      </c>
      <c r="O5" s="9">
        <v>2023</v>
      </c>
      <c r="P5" s="9">
        <v>1</v>
      </c>
      <c r="Q5" s="9" t="s">
        <v>30</v>
      </c>
      <c r="R5" s="9" t="s">
        <v>31</v>
      </c>
      <c r="S5" s="10">
        <v>1275.3900000000001</v>
      </c>
      <c r="T5" s="45">
        <v>141.71</v>
      </c>
    </row>
    <row r="6" spans="1:20" x14ac:dyDescent="0.35">
      <c r="A6" s="40">
        <v>44931</v>
      </c>
      <c r="B6" s="41" t="s">
        <v>50</v>
      </c>
      <c r="C6" s="41" t="s">
        <v>106</v>
      </c>
      <c r="D6" s="41" t="s">
        <v>42</v>
      </c>
      <c r="E6" s="41" t="s">
        <v>43</v>
      </c>
      <c r="F6" s="41">
        <v>1</v>
      </c>
      <c r="G6" s="42">
        <v>8.4700000000000006</v>
      </c>
      <c r="H6" s="41" t="s">
        <v>44</v>
      </c>
      <c r="I6" s="41" t="s">
        <v>54</v>
      </c>
      <c r="J6" s="41" t="s">
        <v>55</v>
      </c>
      <c r="K6" s="41" t="s">
        <v>27</v>
      </c>
      <c r="L6" s="41" t="s">
        <v>28</v>
      </c>
      <c r="M6" s="41" t="s">
        <v>56</v>
      </c>
      <c r="N6" s="42">
        <v>54.76</v>
      </c>
      <c r="O6" s="41">
        <v>2023</v>
      </c>
      <c r="P6" s="41">
        <v>1</v>
      </c>
      <c r="Q6" s="41" t="s">
        <v>30</v>
      </c>
      <c r="R6" s="41" t="s">
        <v>31</v>
      </c>
      <c r="S6" s="42">
        <v>54.76</v>
      </c>
      <c r="T6" s="43">
        <v>13.69</v>
      </c>
    </row>
    <row r="7" spans="1:20" x14ac:dyDescent="0.35">
      <c r="A7" s="44">
        <v>44932</v>
      </c>
      <c r="B7" s="9" t="s">
        <v>57</v>
      </c>
      <c r="C7" s="9" t="s">
        <v>106</v>
      </c>
      <c r="D7" s="9" t="s">
        <v>42</v>
      </c>
      <c r="E7" s="9" t="s">
        <v>43</v>
      </c>
      <c r="F7" s="9">
        <v>1</v>
      </c>
      <c r="G7" s="10">
        <v>9.0500000000000007</v>
      </c>
      <c r="H7" s="9" t="s">
        <v>58</v>
      </c>
      <c r="I7" s="9" t="s">
        <v>59</v>
      </c>
      <c r="J7" s="9" t="s">
        <v>55</v>
      </c>
      <c r="K7" s="9" t="s">
        <v>27</v>
      </c>
      <c r="L7" s="9" t="s">
        <v>28</v>
      </c>
      <c r="M7" s="9" t="s">
        <v>61</v>
      </c>
      <c r="N7" s="10">
        <v>1186.5899999999999</v>
      </c>
      <c r="O7" s="9">
        <v>2023</v>
      </c>
      <c r="P7" s="9">
        <v>1</v>
      </c>
      <c r="Q7" s="9" t="s">
        <v>30</v>
      </c>
      <c r="R7" s="9" t="s">
        <v>31</v>
      </c>
      <c r="S7" s="10">
        <v>1186.5899999999999</v>
      </c>
      <c r="T7" s="45">
        <v>395.53</v>
      </c>
    </row>
    <row r="8" spans="1:20" x14ac:dyDescent="0.35">
      <c r="A8" s="40">
        <v>44937</v>
      </c>
      <c r="B8" s="41" t="s">
        <v>62</v>
      </c>
      <c r="C8" s="41" t="s">
        <v>106</v>
      </c>
      <c r="D8" s="41" t="s">
        <v>42</v>
      </c>
      <c r="E8" s="41" t="s">
        <v>43</v>
      </c>
      <c r="F8" s="41">
        <v>1</v>
      </c>
      <c r="G8" s="42">
        <v>10.26</v>
      </c>
      <c r="H8" s="41" t="s">
        <v>64</v>
      </c>
      <c r="I8" s="41" t="s">
        <v>65</v>
      </c>
      <c r="J8" s="41" t="s">
        <v>55</v>
      </c>
      <c r="K8" s="41" t="s">
        <v>27</v>
      </c>
      <c r="L8" s="41" t="s">
        <v>66</v>
      </c>
      <c r="M8" s="41" t="s">
        <v>67</v>
      </c>
      <c r="N8" s="42">
        <v>3331.1</v>
      </c>
      <c r="O8" s="41">
        <v>2023</v>
      </c>
      <c r="P8" s="41">
        <v>1</v>
      </c>
      <c r="Q8" s="41" t="s">
        <v>30</v>
      </c>
      <c r="R8" s="41" t="s">
        <v>31</v>
      </c>
      <c r="S8" s="42">
        <v>3331.1</v>
      </c>
      <c r="T8" s="43">
        <v>333.11</v>
      </c>
    </row>
    <row r="9" spans="1:20" x14ac:dyDescent="0.35">
      <c r="A9" s="44">
        <v>44937</v>
      </c>
      <c r="B9" s="9" t="s">
        <v>68</v>
      </c>
      <c r="C9" s="9" t="s">
        <v>106</v>
      </c>
      <c r="D9" s="9" t="s">
        <v>42</v>
      </c>
      <c r="E9" s="9" t="s">
        <v>43</v>
      </c>
      <c r="F9" s="9">
        <v>1</v>
      </c>
      <c r="G9" s="10">
        <v>11.02</v>
      </c>
      <c r="H9" s="9" t="s">
        <v>58</v>
      </c>
      <c r="I9" s="9" t="s">
        <v>69</v>
      </c>
      <c r="J9" s="9" t="s">
        <v>55</v>
      </c>
      <c r="K9" s="9" t="s">
        <v>27</v>
      </c>
      <c r="L9" s="9" t="s">
        <v>28</v>
      </c>
      <c r="M9" s="9" t="s">
        <v>67</v>
      </c>
      <c r="N9" s="10">
        <v>1427.46</v>
      </c>
      <c r="O9" s="9">
        <v>2023</v>
      </c>
      <c r="P9" s="9">
        <v>1</v>
      </c>
      <c r="Q9" s="9" t="s">
        <v>30</v>
      </c>
      <c r="R9" s="9" t="s">
        <v>31</v>
      </c>
      <c r="S9" s="10">
        <v>1427.46</v>
      </c>
      <c r="T9" s="45">
        <v>237.91</v>
      </c>
    </row>
    <row r="10" spans="1:20" x14ac:dyDescent="0.35">
      <c r="A10" s="40">
        <v>44937</v>
      </c>
      <c r="B10" s="41" t="s">
        <v>70</v>
      </c>
      <c r="C10" s="41" t="s">
        <v>106</v>
      </c>
      <c r="D10" s="41" t="s">
        <v>42</v>
      </c>
      <c r="E10" s="41" t="s">
        <v>43</v>
      </c>
      <c r="F10" s="41">
        <v>1</v>
      </c>
      <c r="G10" s="42">
        <v>11.7</v>
      </c>
      <c r="H10" s="41" t="s">
        <v>58</v>
      </c>
      <c r="I10" s="41" t="s">
        <v>72</v>
      </c>
      <c r="J10" s="41" t="s">
        <v>55</v>
      </c>
      <c r="K10" s="41" t="s">
        <v>27</v>
      </c>
      <c r="L10" s="41" t="s">
        <v>28</v>
      </c>
      <c r="M10" s="41" t="s">
        <v>67</v>
      </c>
      <c r="N10" s="42">
        <v>334.88</v>
      </c>
      <c r="O10" s="41">
        <v>2023</v>
      </c>
      <c r="P10" s="41">
        <v>1</v>
      </c>
      <c r="Q10" s="41" t="s">
        <v>30</v>
      </c>
      <c r="R10" s="41" t="s">
        <v>31</v>
      </c>
      <c r="S10" s="42">
        <v>334.88</v>
      </c>
      <c r="T10" s="43">
        <v>47.84</v>
      </c>
    </row>
    <row r="11" spans="1:20" x14ac:dyDescent="0.35">
      <c r="A11" s="44">
        <v>44939</v>
      </c>
      <c r="B11" s="9" t="s">
        <v>73</v>
      </c>
      <c r="C11" s="9" t="s">
        <v>106</v>
      </c>
      <c r="D11" s="9" t="s">
        <v>42</v>
      </c>
      <c r="E11" s="9" t="s">
        <v>43</v>
      </c>
      <c r="F11" s="9">
        <v>1</v>
      </c>
      <c r="G11" s="10">
        <v>11.91</v>
      </c>
      <c r="H11" s="9" t="s">
        <v>58</v>
      </c>
      <c r="I11" s="9" t="s">
        <v>75</v>
      </c>
      <c r="J11" s="9" t="s">
        <v>55</v>
      </c>
      <c r="K11" s="9" t="s">
        <v>27</v>
      </c>
      <c r="L11" s="9" t="s">
        <v>39</v>
      </c>
      <c r="M11" s="9" t="s">
        <v>61</v>
      </c>
      <c r="N11" s="10">
        <v>1068.08</v>
      </c>
      <c r="O11" s="9">
        <v>2023</v>
      </c>
      <c r="P11" s="9">
        <v>1</v>
      </c>
      <c r="Q11" s="9" t="s">
        <v>30</v>
      </c>
      <c r="R11" s="9" t="s">
        <v>31</v>
      </c>
      <c r="S11" s="10">
        <v>1068.08</v>
      </c>
      <c r="T11" s="45">
        <v>133.51</v>
      </c>
    </row>
    <row r="12" spans="1:20" x14ac:dyDescent="0.35">
      <c r="A12" s="40">
        <v>44940</v>
      </c>
      <c r="B12" s="41" t="s">
        <v>76</v>
      </c>
      <c r="C12" s="41" t="s">
        <v>106</v>
      </c>
      <c r="D12" s="41" t="s">
        <v>42</v>
      </c>
      <c r="E12" s="41" t="s">
        <v>43</v>
      </c>
      <c r="F12" s="41">
        <v>1</v>
      </c>
      <c r="G12" s="42">
        <v>11.95</v>
      </c>
      <c r="H12" s="41" t="s">
        <v>35</v>
      </c>
      <c r="I12" s="41" t="s">
        <v>77</v>
      </c>
      <c r="J12" s="41" t="s">
        <v>55</v>
      </c>
      <c r="K12" s="41" t="s">
        <v>27</v>
      </c>
      <c r="L12" s="41" t="s">
        <v>28</v>
      </c>
      <c r="M12" s="41" t="s">
        <v>79</v>
      </c>
      <c r="N12" s="42">
        <v>446.46</v>
      </c>
      <c r="O12" s="41">
        <v>2023</v>
      </c>
      <c r="P12" s="41">
        <v>1</v>
      </c>
      <c r="Q12" s="41" t="s">
        <v>30</v>
      </c>
      <c r="R12" s="41" t="s">
        <v>31</v>
      </c>
      <c r="S12" s="42">
        <v>446.46</v>
      </c>
      <c r="T12" s="43">
        <v>223.23</v>
      </c>
    </row>
    <row r="13" spans="1:20" x14ac:dyDescent="0.35">
      <c r="A13" s="44">
        <v>44945</v>
      </c>
      <c r="B13" s="9" t="s">
        <v>80</v>
      </c>
      <c r="C13" s="9" t="s">
        <v>106</v>
      </c>
      <c r="D13" s="9" t="s">
        <v>42</v>
      </c>
      <c r="E13" s="9" t="s">
        <v>43</v>
      </c>
      <c r="F13" s="9">
        <v>1</v>
      </c>
      <c r="G13" s="10">
        <v>12.84</v>
      </c>
      <c r="H13" s="9" t="s">
        <v>58</v>
      </c>
      <c r="I13" s="9" t="s">
        <v>82</v>
      </c>
      <c r="J13" s="9" t="s">
        <v>55</v>
      </c>
      <c r="K13" s="9" t="s">
        <v>27</v>
      </c>
      <c r="L13" s="9" t="s">
        <v>39</v>
      </c>
      <c r="M13" s="9" t="s">
        <v>56</v>
      </c>
      <c r="N13" s="10">
        <v>925.36</v>
      </c>
      <c r="O13" s="9">
        <v>2023</v>
      </c>
      <c r="P13" s="9">
        <v>1</v>
      </c>
      <c r="Q13" s="9" t="s">
        <v>30</v>
      </c>
      <c r="R13" s="9" t="s">
        <v>31</v>
      </c>
      <c r="S13" s="10">
        <v>925.36</v>
      </c>
      <c r="T13" s="45">
        <v>115.67</v>
      </c>
    </row>
    <row r="14" spans="1:20" x14ac:dyDescent="0.35">
      <c r="A14" s="40">
        <v>44947</v>
      </c>
      <c r="B14" s="41" t="s">
        <v>73</v>
      </c>
      <c r="C14" s="41" t="s">
        <v>106</v>
      </c>
      <c r="D14" s="41" t="s">
        <v>42</v>
      </c>
      <c r="E14" s="41" t="s">
        <v>43</v>
      </c>
      <c r="F14" s="41">
        <v>1</v>
      </c>
      <c r="G14" s="42">
        <v>12.93</v>
      </c>
      <c r="H14" s="41" t="s">
        <v>44</v>
      </c>
      <c r="I14" s="41" t="s">
        <v>84</v>
      </c>
      <c r="J14" s="41" t="s">
        <v>55</v>
      </c>
      <c r="K14" s="41" t="s">
        <v>27</v>
      </c>
      <c r="L14" s="41" t="s">
        <v>39</v>
      </c>
      <c r="M14" s="41" t="s">
        <v>79</v>
      </c>
      <c r="N14" s="42">
        <v>1784.23</v>
      </c>
      <c r="O14" s="41">
        <v>2023</v>
      </c>
      <c r="P14" s="41">
        <v>1</v>
      </c>
      <c r="Q14" s="41" t="s">
        <v>30</v>
      </c>
      <c r="R14" s="41" t="s">
        <v>31</v>
      </c>
      <c r="S14" s="42">
        <v>1784.23</v>
      </c>
      <c r="T14" s="43">
        <v>254.89</v>
      </c>
    </row>
    <row r="15" spans="1:20" x14ac:dyDescent="0.35">
      <c r="A15" s="44">
        <v>44947</v>
      </c>
      <c r="B15" s="9" t="s">
        <v>85</v>
      </c>
      <c r="C15" s="9" t="s">
        <v>106</v>
      </c>
      <c r="D15" s="9" t="s">
        <v>42</v>
      </c>
      <c r="E15" s="9" t="s">
        <v>43</v>
      </c>
      <c r="F15" s="9">
        <v>1</v>
      </c>
      <c r="G15" s="10">
        <v>13.69</v>
      </c>
      <c r="H15" s="9" t="s">
        <v>35</v>
      </c>
      <c r="I15" s="9" t="s">
        <v>87</v>
      </c>
      <c r="J15" s="9" t="s">
        <v>55</v>
      </c>
      <c r="K15" s="9" t="s">
        <v>27</v>
      </c>
      <c r="L15" s="9" t="s">
        <v>39</v>
      </c>
      <c r="M15" s="9" t="s">
        <v>79</v>
      </c>
      <c r="N15" s="10">
        <v>659.64</v>
      </c>
      <c r="O15" s="9">
        <v>2023</v>
      </c>
      <c r="P15" s="9">
        <v>1</v>
      </c>
      <c r="Q15" s="9" t="s">
        <v>30</v>
      </c>
      <c r="R15" s="9" t="s">
        <v>31</v>
      </c>
      <c r="S15" s="10">
        <v>659.64</v>
      </c>
      <c r="T15" s="45">
        <v>329.82</v>
      </c>
    </row>
    <row r="16" spans="1:20" x14ac:dyDescent="0.35">
      <c r="A16" s="40">
        <v>44950</v>
      </c>
      <c r="B16" s="41" t="s">
        <v>88</v>
      </c>
      <c r="C16" s="41" t="s">
        <v>106</v>
      </c>
      <c r="D16" s="41" t="s">
        <v>42</v>
      </c>
      <c r="E16" s="41" t="s">
        <v>43</v>
      </c>
      <c r="F16" s="41">
        <v>1</v>
      </c>
      <c r="G16" s="42">
        <v>17.98</v>
      </c>
      <c r="H16" s="41" t="s">
        <v>24</v>
      </c>
      <c r="I16" s="41" t="s">
        <v>90</v>
      </c>
      <c r="J16" s="41" t="s">
        <v>55</v>
      </c>
      <c r="K16" s="41" t="s">
        <v>27</v>
      </c>
      <c r="L16" s="41" t="s">
        <v>39</v>
      </c>
      <c r="M16" s="41" t="s">
        <v>49</v>
      </c>
      <c r="N16" s="42">
        <v>296.3</v>
      </c>
      <c r="O16" s="41">
        <v>2023</v>
      </c>
      <c r="P16" s="41">
        <v>1</v>
      </c>
      <c r="Q16" s="41" t="s">
        <v>30</v>
      </c>
      <c r="R16" s="41" t="s">
        <v>31</v>
      </c>
      <c r="S16" s="42">
        <v>296.3</v>
      </c>
      <c r="T16" s="43">
        <v>59.26</v>
      </c>
    </row>
    <row r="17" spans="1:20" x14ac:dyDescent="0.35">
      <c r="A17" s="44">
        <v>44951</v>
      </c>
      <c r="B17" s="9" t="s">
        <v>91</v>
      </c>
      <c r="C17" s="9" t="s">
        <v>106</v>
      </c>
      <c r="D17" s="9" t="s">
        <v>42</v>
      </c>
      <c r="E17" s="9" t="s">
        <v>43</v>
      </c>
      <c r="F17" s="9">
        <v>1</v>
      </c>
      <c r="G17" s="10">
        <v>18.59</v>
      </c>
      <c r="H17" s="9" t="s">
        <v>58</v>
      </c>
      <c r="I17" s="9" t="s">
        <v>93</v>
      </c>
      <c r="J17" s="9" t="s">
        <v>55</v>
      </c>
      <c r="K17" s="9" t="s">
        <v>27</v>
      </c>
      <c r="L17" s="9" t="s">
        <v>39</v>
      </c>
      <c r="M17" s="9" t="s">
        <v>67</v>
      </c>
      <c r="N17" s="10">
        <v>55.77</v>
      </c>
      <c r="O17" s="9">
        <v>2023</v>
      </c>
      <c r="P17" s="9">
        <v>1</v>
      </c>
      <c r="Q17" s="9" t="s">
        <v>30</v>
      </c>
      <c r="R17" s="9" t="s">
        <v>31</v>
      </c>
      <c r="S17" s="10">
        <v>55.77</v>
      </c>
      <c r="T17" s="45">
        <v>18.59</v>
      </c>
    </row>
    <row r="18" spans="1:20" x14ac:dyDescent="0.35">
      <c r="A18" s="40">
        <v>44952</v>
      </c>
      <c r="B18" s="41" t="s">
        <v>95</v>
      </c>
      <c r="C18" s="41" t="s">
        <v>106</v>
      </c>
      <c r="D18" s="41" t="s">
        <v>42</v>
      </c>
      <c r="E18" s="41" t="s">
        <v>43</v>
      </c>
      <c r="F18" s="41">
        <v>1</v>
      </c>
      <c r="G18" s="42">
        <v>19.21</v>
      </c>
      <c r="H18" s="41" t="s">
        <v>64</v>
      </c>
      <c r="I18" s="41" t="s">
        <v>96</v>
      </c>
      <c r="J18" s="41" t="s">
        <v>55</v>
      </c>
      <c r="K18" s="41" t="s">
        <v>27</v>
      </c>
      <c r="L18" s="41" t="s">
        <v>28</v>
      </c>
      <c r="M18" s="41" t="s">
        <v>56</v>
      </c>
      <c r="N18" s="42">
        <v>359.59</v>
      </c>
      <c r="O18" s="41">
        <v>2023</v>
      </c>
      <c r="P18" s="41">
        <v>1</v>
      </c>
      <c r="Q18" s="41" t="s">
        <v>30</v>
      </c>
      <c r="R18" s="41" t="s">
        <v>31</v>
      </c>
      <c r="S18" s="42">
        <v>359.59</v>
      </c>
      <c r="T18" s="43">
        <v>51.37</v>
      </c>
    </row>
    <row r="19" spans="1:20" x14ac:dyDescent="0.35">
      <c r="A19" s="44">
        <v>44953</v>
      </c>
      <c r="B19" s="9" t="s">
        <v>70</v>
      </c>
      <c r="C19" s="9" t="s">
        <v>106</v>
      </c>
      <c r="D19" s="9" t="s">
        <v>42</v>
      </c>
      <c r="E19" s="9" t="s">
        <v>43</v>
      </c>
      <c r="F19" s="9">
        <v>1</v>
      </c>
      <c r="G19" s="10">
        <v>19.489999999999998</v>
      </c>
      <c r="H19" s="9" t="s">
        <v>58</v>
      </c>
      <c r="I19" s="9" t="s">
        <v>98</v>
      </c>
      <c r="J19" s="9" t="s">
        <v>55</v>
      </c>
      <c r="K19" s="9" t="s">
        <v>27</v>
      </c>
      <c r="L19" s="9" t="s">
        <v>28</v>
      </c>
      <c r="M19" s="9" t="s">
        <v>61</v>
      </c>
      <c r="N19" s="10">
        <v>1025.0999999999999</v>
      </c>
      <c r="O19" s="9">
        <v>2023</v>
      </c>
      <c r="P19" s="9">
        <v>1</v>
      </c>
      <c r="Q19" s="9" t="s">
        <v>30</v>
      </c>
      <c r="R19" s="9" t="s">
        <v>31</v>
      </c>
      <c r="S19" s="10">
        <v>1025.0999999999999</v>
      </c>
      <c r="T19" s="45">
        <v>113.9</v>
      </c>
    </row>
    <row r="20" spans="1:20" x14ac:dyDescent="0.35">
      <c r="A20" s="40">
        <v>44955</v>
      </c>
      <c r="B20" s="41" t="s">
        <v>99</v>
      </c>
      <c r="C20" s="41" t="s">
        <v>106</v>
      </c>
      <c r="D20" s="41" t="s">
        <v>42</v>
      </c>
      <c r="E20" s="41" t="s">
        <v>43</v>
      </c>
      <c r="F20" s="41">
        <v>1</v>
      </c>
      <c r="G20" s="42">
        <v>19.72</v>
      </c>
      <c r="H20" s="41" t="s">
        <v>35</v>
      </c>
      <c r="I20" s="41" t="s">
        <v>100</v>
      </c>
      <c r="J20" s="41" t="s">
        <v>55</v>
      </c>
      <c r="K20" s="41" t="s">
        <v>27</v>
      </c>
      <c r="L20" s="41" t="s">
        <v>28</v>
      </c>
      <c r="M20" s="41" t="s">
        <v>101</v>
      </c>
      <c r="N20" s="42">
        <v>169.14</v>
      </c>
      <c r="O20" s="41">
        <v>2023</v>
      </c>
      <c r="P20" s="41">
        <v>1</v>
      </c>
      <c r="Q20" s="41" t="s">
        <v>30</v>
      </c>
      <c r="R20" s="41" t="s">
        <v>31</v>
      </c>
      <c r="S20" s="42">
        <v>169.14</v>
      </c>
      <c r="T20" s="43">
        <v>169.14</v>
      </c>
    </row>
    <row r="21" spans="1:20" x14ac:dyDescent="0.35">
      <c r="A21" s="44">
        <v>44955</v>
      </c>
      <c r="B21" s="9" t="s">
        <v>102</v>
      </c>
      <c r="C21" s="9" t="s">
        <v>106</v>
      </c>
      <c r="D21" s="9" t="s">
        <v>42</v>
      </c>
      <c r="E21" s="9" t="s">
        <v>43</v>
      </c>
      <c r="F21" s="9">
        <v>1</v>
      </c>
      <c r="G21" s="10">
        <v>19.88</v>
      </c>
      <c r="H21" s="9" t="s">
        <v>58</v>
      </c>
      <c r="I21" s="9" t="s">
        <v>103</v>
      </c>
      <c r="J21" s="9" t="s">
        <v>55</v>
      </c>
      <c r="K21" s="9" t="s">
        <v>27</v>
      </c>
      <c r="L21" s="9" t="s">
        <v>39</v>
      </c>
      <c r="M21" s="9" t="s">
        <v>101</v>
      </c>
      <c r="N21" s="10">
        <v>1425.33</v>
      </c>
      <c r="O21" s="9">
        <v>2023</v>
      </c>
      <c r="P21" s="9">
        <v>1</v>
      </c>
      <c r="Q21" s="9" t="s">
        <v>30</v>
      </c>
      <c r="R21" s="9" t="s">
        <v>31</v>
      </c>
      <c r="S21" s="10">
        <v>1425.33</v>
      </c>
      <c r="T21" s="45">
        <v>158.37</v>
      </c>
    </row>
    <row r="22" spans="1:20" x14ac:dyDescent="0.35">
      <c r="A22" s="40">
        <v>44955</v>
      </c>
      <c r="B22" s="41" t="s">
        <v>104</v>
      </c>
      <c r="C22" s="41" t="s">
        <v>106</v>
      </c>
      <c r="D22" s="41" t="s">
        <v>42</v>
      </c>
      <c r="E22" s="41" t="s">
        <v>43</v>
      </c>
      <c r="F22" s="41">
        <v>1</v>
      </c>
      <c r="G22" s="42">
        <v>20.47</v>
      </c>
      <c r="H22" s="41" t="s">
        <v>58</v>
      </c>
      <c r="I22" s="41" t="s">
        <v>105</v>
      </c>
      <c r="J22" s="41" t="s">
        <v>55</v>
      </c>
      <c r="K22" s="41" t="s">
        <v>27</v>
      </c>
      <c r="L22" s="41" t="s">
        <v>28</v>
      </c>
      <c r="M22" s="41" t="s">
        <v>101</v>
      </c>
      <c r="N22" s="42">
        <v>1320.16</v>
      </c>
      <c r="O22" s="41">
        <v>2023</v>
      </c>
      <c r="P22" s="41">
        <v>1</v>
      </c>
      <c r="Q22" s="41" t="s">
        <v>30</v>
      </c>
      <c r="R22" s="41" t="s">
        <v>31</v>
      </c>
      <c r="S22" s="42">
        <v>1320.16</v>
      </c>
      <c r="T22" s="43">
        <v>165.02</v>
      </c>
    </row>
    <row r="23" spans="1:20" x14ac:dyDescent="0.35">
      <c r="A23" s="44">
        <v>44956</v>
      </c>
      <c r="B23" s="9" t="s">
        <v>85</v>
      </c>
      <c r="C23" s="9" t="s">
        <v>106</v>
      </c>
      <c r="D23" s="9" t="s">
        <v>42</v>
      </c>
      <c r="E23" s="9" t="s">
        <v>43</v>
      </c>
      <c r="F23" s="9">
        <v>1</v>
      </c>
      <c r="G23" s="10">
        <v>20.98</v>
      </c>
      <c r="H23" s="9" t="s">
        <v>44</v>
      </c>
      <c r="I23" s="9" t="s">
        <v>107</v>
      </c>
      <c r="J23" s="9" t="s">
        <v>55</v>
      </c>
      <c r="K23" s="9" t="s">
        <v>27</v>
      </c>
      <c r="L23" s="9" t="s">
        <v>39</v>
      </c>
      <c r="M23" s="9" t="s">
        <v>29</v>
      </c>
      <c r="N23" s="10">
        <v>141.82</v>
      </c>
      <c r="O23" s="9">
        <v>2023</v>
      </c>
      <c r="P23" s="9">
        <v>1</v>
      </c>
      <c r="Q23" s="9" t="s">
        <v>30</v>
      </c>
      <c r="R23" s="9" t="s">
        <v>31</v>
      </c>
      <c r="S23" s="10">
        <v>141.82</v>
      </c>
      <c r="T23" s="45">
        <v>141.82</v>
      </c>
    </row>
    <row r="24" spans="1:20" x14ac:dyDescent="0.35">
      <c r="A24" s="40">
        <v>44956</v>
      </c>
      <c r="B24" s="41" t="s">
        <v>108</v>
      </c>
      <c r="C24" s="41" t="s">
        <v>106</v>
      </c>
      <c r="D24" s="41" t="s">
        <v>42</v>
      </c>
      <c r="E24" s="41" t="s">
        <v>43</v>
      </c>
      <c r="F24" s="41">
        <v>1</v>
      </c>
      <c r="G24" s="42">
        <v>20.98</v>
      </c>
      <c r="H24" s="41" t="s">
        <v>24</v>
      </c>
      <c r="I24" s="41" t="s">
        <v>109</v>
      </c>
      <c r="J24" s="41" t="s">
        <v>55</v>
      </c>
      <c r="K24" s="41" t="s">
        <v>27</v>
      </c>
      <c r="L24" s="41" t="s">
        <v>39</v>
      </c>
      <c r="M24" s="41" t="s">
        <v>29</v>
      </c>
      <c r="N24" s="42">
        <v>921.42</v>
      </c>
      <c r="O24" s="41">
        <v>2023</v>
      </c>
      <c r="P24" s="41">
        <v>1</v>
      </c>
      <c r="Q24" s="41" t="s">
        <v>30</v>
      </c>
      <c r="R24" s="41" t="s">
        <v>31</v>
      </c>
      <c r="S24" s="42">
        <v>921.42</v>
      </c>
      <c r="T24" s="43">
        <v>102.38</v>
      </c>
    </row>
    <row r="25" spans="1:20" x14ac:dyDescent="0.35">
      <c r="A25" s="44">
        <v>44957</v>
      </c>
      <c r="B25" s="9" t="s">
        <v>110</v>
      </c>
      <c r="C25" s="9" t="s">
        <v>106</v>
      </c>
      <c r="D25" s="9" t="s">
        <v>42</v>
      </c>
      <c r="E25" s="9" t="s">
        <v>43</v>
      </c>
      <c r="F25" s="9">
        <v>1</v>
      </c>
      <c r="G25" s="10">
        <v>24.19</v>
      </c>
      <c r="H25" s="9" t="s">
        <v>35</v>
      </c>
      <c r="I25" s="9" t="s">
        <v>111</v>
      </c>
      <c r="J25" s="9" t="s">
        <v>55</v>
      </c>
      <c r="K25" s="9" t="s">
        <v>27</v>
      </c>
      <c r="L25" s="9" t="s">
        <v>28</v>
      </c>
      <c r="M25" s="9" t="s">
        <v>49</v>
      </c>
      <c r="N25" s="10">
        <v>2135.2199999999998</v>
      </c>
      <c r="O25" s="9">
        <v>2023</v>
      </c>
      <c r="P25" s="9">
        <v>1</v>
      </c>
      <c r="Q25" s="9" t="s">
        <v>30</v>
      </c>
      <c r="R25" s="9" t="s">
        <v>31</v>
      </c>
      <c r="S25" s="10">
        <v>2135.2199999999998</v>
      </c>
      <c r="T25" s="45">
        <v>355.87</v>
      </c>
    </row>
    <row r="26" spans="1:20" x14ac:dyDescent="0.35">
      <c r="A26" s="40">
        <v>44957</v>
      </c>
      <c r="B26" s="41" t="s">
        <v>112</v>
      </c>
      <c r="C26" s="41" t="s">
        <v>106</v>
      </c>
      <c r="D26" s="41" t="s">
        <v>42</v>
      </c>
      <c r="E26" s="41" t="s">
        <v>43</v>
      </c>
      <c r="F26" s="41">
        <v>1</v>
      </c>
      <c r="G26" s="42">
        <v>24.39</v>
      </c>
      <c r="H26" s="41" t="s">
        <v>58</v>
      </c>
      <c r="I26" s="41" t="s">
        <v>113</v>
      </c>
      <c r="J26" s="41" t="s">
        <v>55</v>
      </c>
      <c r="K26" s="41" t="s">
        <v>27</v>
      </c>
      <c r="L26" s="41" t="s">
        <v>28</v>
      </c>
      <c r="M26" s="41" t="s">
        <v>49</v>
      </c>
      <c r="N26" s="42">
        <v>775.26</v>
      </c>
      <c r="O26" s="41">
        <v>2023</v>
      </c>
      <c r="P26" s="41">
        <v>1</v>
      </c>
      <c r="Q26" s="41" t="s">
        <v>30</v>
      </c>
      <c r="R26" s="41" t="s">
        <v>31</v>
      </c>
      <c r="S26" s="42">
        <v>775.26</v>
      </c>
      <c r="T26" s="43">
        <v>129.21</v>
      </c>
    </row>
    <row r="27" spans="1:20" x14ac:dyDescent="0.35">
      <c r="A27" s="44">
        <v>44957</v>
      </c>
      <c r="B27" s="9" t="s">
        <v>114</v>
      </c>
      <c r="C27" s="9" t="s">
        <v>106</v>
      </c>
      <c r="D27" s="9" t="s">
        <v>42</v>
      </c>
      <c r="E27" s="9" t="s">
        <v>43</v>
      </c>
      <c r="F27" s="9">
        <v>1</v>
      </c>
      <c r="G27" s="10">
        <v>24.61</v>
      </c>
      <c r="H27" s="9" t="s">
        <v>35</v>
      </c>
      <c r="I27" s="9" t="s">
        <v>115</v>
      </c>
      <c r="J27" s="9" t="s">
        <v>55</v>
      </c>
      <c r="K27" s="9" t="s">
        <v>27</v>
      </c>
      <c r="L27" s="9" t="s">
        <v>39</v>
      </c>
      <c r="M27" s="9" t="s">
        <v>49</v>
      </c>
      <c r="N27" s="10">
        <v>2416</v>
      </c>
      <c r="O27" s="9">
        <v>2023</v>
      </c>
      <c r="P27" s="9">
        <v>1</v>
      </c>
      <c r="Q27" s="9" t="s">
        <v>30</v>
      </c>
      <c r="R27" s="9" t="s">
        <v>31</v>
      </c>
      <c r="S27" s="10">
        <v>2416</v>
      </c>
      <c r="T27" s="45">
        <v>241.6</v>
      </c>
    </row>
    <row r="28" spans="1:20" x14ac:dyDescent="0.35">
      <c r="A28" s="40">
        <v>44958</v>
      </c>
      <c r="B28" s="41" t="s">
        <v>116</v>
      </c>
      <c r="C28" s="41" t="s">
        <v>106</v>
      </c>
      <c r="D28" s="41" t="s">
        <v>42</v>
      </c>
      <c r="E28" s="41" t="s">
        <v>43</v>
      </c>
      <c r="F28" s="41">
        <v>1</v>
      </c>
      <c r="G28" s="42">
        <v>26.32</v>
      </c>
      <c r="H28" s="41" t="s">
        <v>35</v>
      </c>
      <c r="I28" s="41" t="s">
        <v>117</v>
      </c>
      <c r="J28" s="41" t="s">
        <v>55</v>
      </c>
      <c r="K28" s="41" t="s">
        <v>27</v>
      </c>
      <c r="L28" s="41" t="s">
        <v>66</v>
      </c>
      <c r="M28" s="41" t="s">
        <v>67</v>
      </c>
      <c r="N28" s="42">
        <v>2523.6799999999998</v>
      </c>
      <c r="O28" s="41">
        <v>2023</v>
      </c>
      <c r="P28" s="41">
        <v>2</v>
      </c>
      <c r="Q28" s="41" t="s">
        <v>118</v>
      </c>
      <c r="R28" s="41" t="s">
        <v>31</v>
      </c>
      <c r="S28" s="42">
        <v>2523.6799999999998</v>
      </c>
      <c r="T28" s="43">
        <v>315.45999999999998</v>
      </c>
    </row>
    <row r="29" spans="1:20" x14ac:dyDescent="0.35">
      <c r="A29" s="44">
        <v>44958</v>
      </c>
      <c r="B29" s="9" t="s">
        <v>119</v>
      </c>
      <c r="C29" s="9" t="s">
        <v>106</v>
      </c>
      <c r="D29" s="9" t="s">
        <v>42</v>
      </c>
      <c r="E29" s="9" t="s">
        <v>43</v>
      </c>
      <c r="F29" s="9">
        <v>1</v>
      </c>
      <c r="G29" s="10">
        <v>26.78</v>
      </c>
      <c r="H29" s="9" t="s">
        <v>58</v>
      </c>
      <c r="I29" s="9" t="s">
        <v>120</v>
      </c>
      <c r="J29" s="9" t="s">
        <v>55</v>
      </c>
      <c r="K29" s="9" t="s">
        <v>27</v>
      </c>
      <c r="L29" s="9" t="s">
        <v>66</v>
      </c>
      <c r="M29" s="9" t="s">
        <v>67</v>
      </c>
      <c r="N29" s="10">
        <v>993.99</v>
      </c>
      <c r="O29" s="9">
        <v>2023</v>
      </c>
      <c r="P29" s="9">
        <v>2</v>
      </c>
      <c r="Q29" s="9" t="s">
        <v>118</v>
      </c>
      <c r="R29" s="9" t="s">
        <v>31</v>
      </c>
      <c r="S29" s="10">
        <v>993.99</v>
      </c>
      <c r="T29" s="45">
        <v>331.33</v>
      </c>
    </row>
    <row r="30" spans="1:20" x14ac:dyDescent="0.35">
      <c r="A30" s="40">
        <v>44959</v>
      </c>
      <c r="B30" s="41" t="s">
        <v>121</v>
      </c>
      <c r="C30" s="41" t="s">
        <v>106</v>
      </c>
      <c r="D30" s="41" t="s">
        <v>42</v>
      </c>
      <c r="E30" s="41" t="s">
        <v>43</v>
      </c>
      <c r="F30" s="41">
        <v>1</v>
      </c>
      <c r="G30" s="42">
        <v>27.43</v>
      </c>
      <c r="H30" s="41" t="s">
        <v>64</v>
      </c>
      <c r="I30" s="41" t="s">
        <v>122</v>
      </c>
      <c r="J30" s="41" t="s">
        <v>55</v>
      </c>
      <c r="K30" s="41" t="s">
        <v>27</v>
      </c>
      <c r="L30" s="41" t="s">
        <v>28</v>
      </c>
      <c r="M30" s="41" t="s">
        <v>56</v>
      </c>
      <c r="N30" s="42">
        <v>391.72</v>
      </c>
      <c r="O30" s="41">
        <v>2023</v>
      </c>
      <c r="P30" s="41">
        <v>2</v>
      </c>
      <c r="Q30" s="41" t="s">
        <v>118</v>
      </c>
      <c r="R30" s="41" t="s">
        <v>31</v>
      </c>
      <c r="S30" s="42">
        <v>391.72</v>
      </c>
      <c r="T30" s="43">
        <v>195.86</v>
      </c>
    </row>
    <row r="31" spans="1:20" x14ac:dyDescent="0.35">
      <c r="A31" s="44">
        <v>44960</v>
      </c>
      <c r="B31" s="9" t="s">
        <v>123</v>
      </c>
      <c r="C31" s="9" t="s">
        <v>106</v>
      </c>
      <c r="D31" s="9" t="s">
        <v>42</v>
      </c>
      <c r="E31" s="9" t="s">
        <v>43</v>
      </c>
      <c r="F31" s="9">
        <v>1</v>
      </c>
      <c r="G31" s="10">
        <v>27.94</v>
      </c>
      <c r="H31" s="9" t="s">
        <v>58</v>
      </c>
      <c r="I31" s="9" t="s">
        <v>124</v>
      </c>
      <c r="J31" s="9" t="s">
        <v>55</v>
      </c>
      <c r="K31" s="9" t="s">
        <v>27</v>
      </c>
      <c r="L31" s="9" t="s">
        <v>66</v>
      </c>
      <c r="M31" s="9" t="s">
        <v>61</v>
      </c>
      <c r="N31" s="10">
        <v>88.74</v>
      </c>
      <c r="O31" s="9">
        <v>2023</v>
      </c>
      <c r="P31" s="9">
        <v>2</v>
      </c>
      <c r="Q31" s="9" t="s">
        <v>118</v>
      </c>
      <c r="R31" s="9" t="s">
        <v>31</v>
      </c>
      <c r="S31" s="10">
        <v>88.74</v>
      </c>
      <c r="T31" s="45">
        <v>88.74</v>
      </c>
    </row>
    <row r="32" spans="1:20" x14ac:dyDescent="0.35">
      <c r="A32" s="40">
        <v>44965</v>
      </c>
      <c r="B32" s="41" t="s">
        <v>125</v>
      </c>
      <c r="C32" s="41" t="s">
        <v>106</v>
      </c>
      <c r="D32" s="41" t="s">
        <v>42</v>
      </c>
      <c r="E32" s="41" t="s">
        <v>43</v>
      </c>
      <c r="F32" s="41">
        <v>1</v>
      </c>
      <c r="G32" s="42">
        <v>28.73</v>
      </c>
      <c r="H32" s="41" t="s">
        <v>58</v>
      </c>
      <c r="I32" s="41" t="s">
        <v>126</v>
      </c>
      <c r="J32" s="41" t="s">
        <v>55</v>
      </c>
      <c r="K32" s="41" t="s">
        <v>27</v>
      </c>
      <c r="L32" s="41" t="s">
        <v>39</v>
      </c>
      <c r="M32" s="41" t="s">
        <v>67</v>
      </c>
      <c r="N32" s="42">
        <v>1810.83</v>
      </c>
      <c r="O32" s="41">
        <v>2023</v>
      </c>
      <c r="P32" s="41">
        <v>2</v>
      </c>
      <c r="Q32" s="41" t="s">
        <v>118</v>
      </c>
      <c r="R32" s="41" t="s">
        <v>31</v>
      </c>
      <c r="S32" s="42">
        <v>1810.83</v>
      </c>
      <c r="T32" s="43">
        <v>258.69</v>
      </c>
    </row>
    <row r="33" spans="1:20" x14ac:dyDescent="0.35">
      <c r="A33" s="44">
        <v>44965</v>
      </c>
      <c r="B33" s="9" t="s">
        <v>127</v>
      </c>
      <c r="C33" s="9" t="s">
        <v>106</v>
      </c>
      <c r="D33" s="9" t="s">
        <v>42</v>
      </c>
      <c r="E33" s="9" t="s">
        <v>43</v>
      </c>
      <c r="F33" s="9">
        <v>1</v>
      </c>
      <c r="G33" s="10">
        <v>29.05</v>
      </c>
      <c r="H33" s="9" t="s">
        <v>64</v>
      </c>
      <c r="I33" s="9" t="s">
        <v>128</v>
      </c>
      <c r="J33" s="9" t="s">
        <v>55</v>
      </c>
      <c r="K33" s="9" t="s">
        <v>27</v>
      </c>
      <c r="L33" s="9" t="s">
        <v>39</v>
      </c>
      <c r="M33" s="9" t="s">
        <v>67</v>
      </c>
      <c r="N33" s="10">
        <v>283.26</v>
      </c>
      <c r="O33" s="9">
        <v>2023</v>
      </c>
      <c r="P33" s="9">
        <v>2</v>
      </c>
      <c r="Q33" s="9" t="s">
        <v>118</v>
      </c>
      <c r="R33" s="9" t="s">
        <v>31</v>
      </c>
      <c r="S33" s="10">
        <v>283.26</v>
      </c>
      <c r="T33" s="45">
        <v>94.42</v>
      </c>
    </row>
    <row r="34" spans="1:20" x14ac:dyDescent="0.35">
      <c r="A34" s="40">
        <v>44974</v>
      </c>
      <c r="B34" s="41" t="s">
        <v>129</v>
      </c>
      <c r="C34" s="41" t="s">
        <v>106</v>
      </c>
      <c r="D34" s="41" t="s">
        <v>42</v>
      </c>
      <c r="E34" s="41" t="s">
        <v>43</v>
      </c>
      <c r="F34" s="41">
        <v>1</v>
      </c>
      <c r="G34" s="42">
        <v>30.8</v>
      </c>
      <c r="H34" s="41" t="s">
        <v>58</v>
      </c>
      <c r="I34" s="41" t="s">
        <v>130</v>
      </c>
      <c r="J34" s="41" t="s">
        <v>55</v>
      </c>
      <c r="K34" s="41" t="s">
        <v>27</v>
      </c>
      <c r="L34" s="41" t="s">
        <v>39</v>
      </c>
      <c r="M34" s="41" t="s">
        <v>61</v>
      </c>
      <c r="N34" s="42">
        <v>835.92</v>
      </c>
      <c r="O34" s="41">
        <v>2023</v>
      </c>
      <c r="P34" s="41">
        <v>2</v>
      </c>
      <c r="Q34" s="41" t="s">
        <v>118</v>
      </c>
      <c r="R34" s="41" t="s">
        <v>31</v>
      </c>
      <c r="S34" s="42">
        <v>835.92</v>
      </c>
      <c r="T34" s="43">
        <v>139.32</v>
      </c>
    </row>
    <row r="35" spans="1:20" x14ac:dyDescent="0.35">
      <c r="A35" s="44">
        <v>44974</v>
      </c>
      <c r="B35" s="9" t="s">
        <v>131</v>
      </c>
      <c r="C35" s="9" t="s">
        <v>106</v>
      </c>
      <c r="D35" s="9" t="s">
        <v>42</v>
      </c>
      <c r="E35" s="9" t="s">
        <v>43</v>
      </c>
      <c r="F35" s="9">
        <v>1</v>
      </c>
      <c r="G35" s="10">
        <v>31.5</v>
      </c>
      <c r="H35" s="9" t="s">
        <v>58</v>
      </c>
      <c r="I35" s="9" t="s">
        <v>132</v>
      </c>
      <c r="J35" s="9" t="s">
        <v>55</v>
      </c>
      <c r="K35" s="9" t="s">
        <v>27</v>
      </c>
      <c r="L35" s="9" t="s">
        <v>66</v>
      </c>
      <c r="M35" s="9" t="s">
        <v>61</v>
      </c>
      <c r="N35" s="10">
        <v>1010.97</v>
      </c>
      <c r="O35" s="9">
        <v>2023</v>
      </c>
      <c r="P35" s="9">
        <v>2</v>
      </c>
      <c r="Q35" s="9" t="s">
        <v>118</v>
      </c>
      <c r="R35" s="9" t="s">
        <v>31</v>
      </c>
      <c r="S35" s="10">
        <v>1010.97</v>
      </c>
      <c r="T35" s="45">
        <v>336.99</v>
      </c>
    </row>
    <row r="36" spans="1:20" x14ac:dyDescent="0.35">
      <c r="A36" s="40">
        <v>44977</v>
      </c>
      <c r="B36" s="41" t="s">
        <v>133</v>
      </c>
      <c r="C36" s="41" t="s">
        <v>106</v>
      </c>
      <c r="D36" s="41" t="s">
        <v>42</v>
      </c>
      <c r="E36" s="41" t="s">
        <v>43</v>
      </c>
      <c r="F36" s="41">
        <v>1</v>
      </c>
      <c r="G36" s="42">
        <v>32.119999999999997</v>
      </c>
      <c r="H36" s="41" t="s">
        <v>44</v>
      </c>
      <c r="I36" s="41" t="s">
        <v>134</v>
      </c>
      <c r="J36" s="41" t="s">
        <v>55</v>
      </c>
      <c r="K36" s="41" t="s">
        <v>27</v>
      </c>
      <c r="L36" s="41" t="s">
        <v>39</v>
      </c>
      <c r="M36" s="41" t="s">
        <v>29</v>
      </c>
      <c r="N36" s="42">
        <v>1185.45</v>
      </c>
      <c r="O36" s="41">
        <v>2023</v>
      </c>
      <c r="P36" s="41">
        <v>2</v>
      </c>
      <c r="Q36" s="41" t="s">
        <v>118</v>
      </c>
      <c r="R36" s="41" t="s">
        <v>31</v>
      </c>
      <c r="S36" s="42">
        <v>1185.45</v>
      </c>
      <c r="T36" s="43">
        <v>237.09</v>
      </c>
    </row>
    <row r="37" spans="1:20" x14ac:dyDescent="0.35">
      <c r="A37" s="44">
        <v>44977</v>
      </c>
      <c r="B37" s="9" t="s">
        <v>135</v>
      </c>
      <c r="C37" s="9" t="s">
        <v>106</v>
      </c>
      <c r="D37" s="9" t="s">
        <v>42</v>
      </c>
      <c r="E37" s="9" t="s">
        <v>43</v>
      </c>
      <c r="F37" s="9">
        <v>1</v>
      </c>
      <c r="G37" s="10">
        <v>32.590000000000003</v>
      </c>
      <c r="H37" s="9" t="s">
        <v>44</v>
      </c>
      <c r="I37" s="9" t="s">
        <v>136</v>
      </c>
      <c r="J37" s="9" t="s">
        <v>55</v>
      </c>
      <c r="K37" s="9" t="s">
        <v>27</v>
      </c>
      <c r="L37" s="9" t="s">
        <v>39</v>
      </c>
      <c r="M37" s="9" t="s">
        <v>29</v>
      </c>
      <c r="N37" s="10">
        <v>1211.0999999999999</v>
      </c>
      <c r="O37" s="9">
        <v>2023</v>
      </c>
      <c r="P37" s="9">
        <v>2</v>
      </c>
      <c r="Q37" s="9" t="s">
        <v>118</v>
      </c>
      <c r="R37" s="9" t="s">
        <v>31</v>
      </c>
      <c r="S37" s="10">
        <v>1211.0999999999999</v>
      </c>
      <c r="T37" s="45">
        <v>201.85</v>
      </c>
    </row>
    <row r="38" spans="1:20" x14ac:dyDescent="0.35">
      <c r="A38" s="40">
        <v>44978</v>
      </c>
      <c r="B38" s="41" t="s">
        <v>137</v>
      </c>
      <c r="C38" s="41" t="s">
        <v>106</v>
      </c>
      <c r="D38" s="41" t="s">
        <v>42</v>
      </c>
      <c r="E38" s="41" t="s">
        <v>43</v>
      </c>
      <c r="F38" s="41">
        <v>1</v>
      </c>
      <c r="G38" s="42">
        <v>33.46</v>
      </c>
      <c r="H38" s="41" t="s">
        <v>24</v>
      </c>
      <c r="I38" s="41" t="s">
        <v>138</v>
      </c>
      <c r="J38" s="41" t="s">
        <v>55</v>
      </c>
      <c r="K38" s="41" t="s">
        <v>27</v>
      </c>
      <c r="L38" s="41" t="s">
        <v>28</v>
      </c>
      <c r="M38" s="41" t="s">
        <v>49</v>
      </c>
      <c r="N38" s="42">
        <v>3583.8</v>
      </c>
      <c r="O38" s="41">
        <v>2023</v>
      </c>
      <c r="P38" s="41">
        <v>2</v>
      </c>
      <c r="Q38" s="41" t="s">
        <v>118</v>
      </c>
      <c r="R38" s="41" t="s">
        <v>31</v>
      </c>
      <c r="S38" s="42">
        <v>3583.8</v>
      </c>
      <c r="T38" s="43">
        <v>358.38</v>
      </c>
    </row>
    <row r="39" spans="1:20" x14ac:dyDescent="0.35">
      <c r="A39" s="44">
        <v>44979</v>
      </c>
      <c r="B39" s="9" t="s">
        <v>139</v>
      </c>
      <c r="C39" s="9" t="s">
        <v>106</v>
      </c>
      <c r="D39" s="9" t="s">
        <v>42</v>
      </c>
      <c r="E39" s="9" t="s">
        <v>43</v>
      </c>
      <c r="F39" s="9">
        <v>1</v>
      </c>
      <c r="G39" s="10">
        <v>33.64</v>
      </c>
      <c r="H39" s="9" t="s">
        <v>44</v>
      </c>
      <c r="I39" s="9" t="s">
        <v>140</v>
      </c>
      <c r="J39" s="9" t="s">
        <v>55</v>
      </c>
      <c r="K39" s="9" t="s">
        <v>27</v>
      </c>
      <c r="L39" s="9" t="s">
        <v>66</v>
      </c>
      <c r="M39" s="9" t="s">
        <v>67</v>
      </c>
      <c r="N39" s="10">
        <v>659.84</v>
      </c>
      <c r="O39" s="9">
        <v>2023</v>
      </c>
      <c r="P39" s="9">
        <v>2</v>
      </c>
      <c r="Q39" s="9" t="s">
        <v>118</v>
      </c>
      <c r="R39" s="9" t="s">
        <v>31</v>
      </c>
      <c r="S39" s="10">
        <v>659.84</v>
      </c>
      <c r="T39" s="45">
        <v>82.48</v>
      </c>
    </row>
    <row r="40" spans="1:20" x14ac:dyDescent="0.35">
      <c r="A40" s="40">
        <v>44980</v>
      </c>
      <c r="B40" s="41" t="s">
        <v>141</v>
      </c>
      <c r="C40" s="41" t="s">
        <v>106</v>
      </c>
      <c r="D40" s="41" t="s">
        <v>42</v>
      </c>
      <c r="E40" s="41" t="s">
        <v>43</v>
      </c>
      <c r="F40" s="41">
        <v>1</v>
      </c>
      <c r="G40" s="42">
        <v>33.81</v>
      </c>
      <c r="H40" s="41" t="s">
        <v>35</v>
      </c>
      <c r="I40" s="41" t="s">
        <v>142</v>
      </c>
      <c r="J40" s="41" t="s">
        <v>55</v>
      </c>
      <c r="K40" s="41" t="s">
        <v>27</v>
      </c>
      <c r="L40" s="41" t="s">
        <v>28</v>
      </c>
      <c r="M40" s="41" t="s">
        <v>56</v>
      </c>
      <c r="N40" s="42">
        <v>502.64</v>
      </c>
      <c r="O40" s="41">
        <v>2023</v>
      </c>
      <c r="P40" s="41">
        <v>2</v>
      </c>
      <c r="Q40" s="41" t="s">
        <v>118</v>
      </c>
      <c r="R40" s="41" t="s">
        <v>31</v>
      </c>
      <c r="S40" s="42">
        <v>502.64</v>
      </c>
      <c r="T40" s="43">
        <v>125.66</v>
      </c>
    </row>
    <row r="41" spans="1:20" x14ac:dyDescent="0.35">
      <c r="A41" s="44">
        <v>44981</v>
      </c>
      <c r="B41" s="9" t="s">
        <v>143</v>
      </c>
      <c r="C41" s="9" t="s">
        <v>106</v>
      </c>
      <c r="D41" s="9" t="s">
        <v>42</v>
      </c>
      <c r="E41" s="9" t="s">
        <v>43</v>
      </c>
      <c r="F41" s="9">
        <v>1</v>
      </c>
      <c r="G41" s="10">
        <v>34.950000000000003</v>
      </c>
      <c r="H41" s="9" t="s">
        <v>58</v>
      </c>
      <c r="I41" s="9" t="s">
        <v>144</v>
      </c>
      <c r="J41" s="9" t="s">
        <v>55</v>
      </c>
      <c r="K41" s="9" t="s">
        <v>27</v>
      </c>
      <c r="L41" s="9" t="s">
        <v>39</v>
      </c>
      <c r="M41" s="9" t="s">
        <v>61</v>
      </c>
      <c r="N41" s="10">
        <v>801.18</v>
      </c>
      <c r="O41" s="9">
        <v>2023</v>
      </c>
      <c r="P41" s="9">
        <v>2</v>
      </c>
      <c r="Q41" s="9" t="s">
        <v>118</v>
      </c>
      <c r="R41" s="9" t="s">
        <v>31</v>
      </c>
      <c r="S41" s="10">
        <v>801.18</v>
      </c>
      <c r="T41" s="45">
        <v>267.06</v>
      </c>
    </row>
    <row r="42" spans="1:20" x14ac:dyDescent="0.35">
      <c r="A42" s="40">
        <v>44982</v>
      </c>
      <c r="B42" s="41" t="s">
        <v>145</v>
      </c>
      <c r="C42" s="41" t="s">
        <v>106</v>
      </c>
      <c r="D42" s="41" t="s">
        <v>42</v>
      </c>
      <c r="E42" s="41" t="s">
        <v>43</v>
      </c>
      <c r="F42" s="41">
        <v>1</v>
      </c>
      <c r="G42" s="42">
        <v>35.68</v>
      </c>
      <c r="H42" s="41" t="s">
        <v>24</v>
      </c>
      <c r="I42" s="41" t="s">
        <v>146</v>
      </c>
      <c r="J42" s="41" t="s">
        <v>55</v>
      </c>
      <c r="K42" s="41" t="s">
        <v>27</v>
      </c>
      <c r="L42" s="41" t="s">
        <v>28</v>
      </c>
      <c r="M42" s="41" t="s">
        <v>79</v>
      </c>
      <c r="N42" s="42">
        <v>1849.68</v>
      </c>
      <c r="O42" s="41">
        <v>2023</v>
      </c>
      <c r="P42" s="41">
        <v>2</v>
      </c>
      <c r="Q42" s="41" t="s">
        <v>118</v>
      </c>
      <c r="R42" s="41" t="s">
        <v>31</v>
      </c>
      <c r="S42" s="42">
        <v>1849.68</v>
      </c>
      <c r="T42" s="43">
        <v>308.27999999999997</v>
      </c>
    </row>
    <row r="43" spans="1:20" x14ac:dyDescent="0.35">
      <c r="A43" s="44">
        <v>44983</v>
      </c>
      <c r="B43" s="9" t="s">
        <v>147</v>
      </c>
      <c r="C43" s="9" t="s">
        <v>106</v>
      </c>
      <c r="D43" s="9" t="s">
        <v>42</v>
      </c>
      <c r="E43" s="9" t="s">
        <v>43</v>
      </c>
      <c r="F43" s="9">
        <v>1</v>
      </c>
      <c r="G43" s="10">
        <v>35.840000000000003</v>
      </c>
      <c r="H43" s="9" t="s">
        <v>44</v>
      </c>
      <c r="I43" s="9" t="s">
        <v>148</v>
      </c>
      <c r="J43" s="9" t="s">
        <v>55</v>
      </c>
      <c r="K43" s="9" t="s">
        <v>27</v>
      </c>
      <c r="L43" s="9" t="s">
        <v>28</v>
      </c>
      <c r="M43" s="9" t="s">
        <v>101</v>
      </c>
      <c r="N43" s="10">
        <v>458.25</v>
      </c>
      <c r="O43" s="9">
        <v>2023</v>
      </c>
      <c r="P43" s="9">
        <v>2</v>
      </c>
      <c r="Q43" s="9" t="s">
        <v>118</v>
      </c>
      <c r="R43" s="9" t="s">
        <v>31</v>
      </c>
      <c r="S43" s="10">
        <v>458.25</v>
      </c>
      <c r="T43" s="45">
        <v>152.75</v>
      </c>
    </row>
    <row r="44" spans="1:20" x14ac:dyDescent="0.35">
      <c r="A44" s="40">
        <v>44984</v>
      </c>
      <c r="B44" s="41" t="s">
        <v>149</v>
      </c>
      <c r="C44" s="41" t="s">
        <v>106</v>
      </c>
      <c r="D44" s="41" t="s">
        <v>42</v>
      </c>
      <c r="E44" s="41" t="s">
        <v>43</v>
      </c>
      <c r="F44" s="41">
        <v>1</v>
      </c>
      <c r="G44" s="42">
        <v>36.85</v>
      </c>
      <c r="H44" s="41" t="s">
        <v>58</v>
      </c>
      <c r="I44" s="41" t="s">
        <v>150</v>
      </c>
      <c r="J44" s="41" t="s">
        <v>55</v>
      </c>
      <c r="K44" s="41" t="s">
        <v>27</v>
      </c>
      <c r="L44" s="41" t="s">
        <v>39</v>
      </c>
      <c r="M44" s="41" t="s">
        <v>29</v>
      </c>
      <c r="N44" s="42">
        <v>3149.46</v>
      </c>
      <c r="O44" s="41">
        <v>2023</v>
      </c>
      <c r="P44" s="41">
        <v>2</v>
      </c>
      <c r="Q44" s="41" t="s">
        <v>118</v>
      </c>
      <c r="R44" s="41" t="s">
        <v>31</v>
      </c>
      <c r="S44" s="42">
        <v>3149.46</v>
      </c>
      <c r="T44" s="43">
        <v>349.94</v>
      </c>
    </row>
    <row r="45" spans="1:20" x14ac:dyDescent="0.35">
      <c r="A45" s="44">
        <v>44984</v>
      </c>
      <c r="B45" s="9" t="s">
        <v>151</v>
      </c>
      <c r="C45" s="9" t="s">
        <v>106</v>
      </c>
      <c r="D45" s="9" t="s">
        <v>42</v>
      </c>
      <c r="E45" s="9" t="s">
        <v>43</v>
      </c>
      <c r="F45" s="9">
        <v>1</v>
      </c>
      <c r="G45" s="10">
        <v>37.61</v>
      </c>
      <c r="H45" s="9" t="s">
        <v>24</v>
      </c>
      <c r="I45" s="9" t="s">
        <v>152</v>
      </c>
      <c r="J45" s="9" t="s">
        <v>55</v>
      </c>
      <c r="K45" s="9" t="s">
        <v>27</v>
      </c>
      <c r="L45" s="9" t="s">
        <v>39</v>
      </c>
      <c r="M45" s="9" t="s">
        <v>29</v>
      </c>
      <c r="N45" s="10">
        <v>201.06</v>
      </c>
      <c r="O45" s="9">
        <v>2023</v>
      </c>
      <c r="P45" s="9">
        <v>2</v>
      </c>
      <c r="Q45" s="9" t="s">
        <v>118</v>
      </c>
      <c r="R45" s="9" t="s">
        <v>31</v>
      </c>
      <c r="S45" s="10">
        <v>201.06</v>
      </c>
      <c r="T45" s="45">
        <v>67.02</v>
      </c>
    </row>
    <row r="46" spans="1:20" x14ac:dyDescent="0.35">
      <c r="A46" s="40">
        <v>44987</v>
      </c>
      <c r="B46" s="41" t="s">
        <v>153</v>
      </c>
      <c r="C46" s="41" t="s">
        <v>106</v>
      </c>
      <c r="D46" s="41" t="s">
        <v>42</v>
      </c>
      <c r="E46" s="41" t="s">
        <v>43</v>
      </c>
      <c r="F46" s="41">
        <v>1</v>
      </c>
      <c r="G46" s="42">
        <v>38.64</v>
      </c>
      <c r="H46" s="41" t="s">
        <v>58</v>
      </c>
      <c r="I46" s="41" t="s">
        <v>154</v>
      </c>
      <c r="J46" s="41" t="s">
        <v>55</v>
      </c>
      <c r="K46" s="41" t="s">
        <v>27</v>
      </c>
      <c r="L46" s="41" t="s">
        <v>39</v>
      </c>
      <c r="M46" s="41" t="s">
        <v>56</v>
      </c>
      <c r="N46" s="42">
        <v>169.87</v>
      </c>
      <c r="O46" s="41">
        <v>2023</v>
      </c>
      <c r="P46" s="41">
        <v>3</v>
      </c>
      <c r="Q46" s="41" t="s">
        <v>155</v>
      </c>
      <c r="R46" s="41" t="s">
        <v>31</v>
      </c>
      <c r="S46" s="42">
        <v>169.87</v>
      </c>
      <c r="T46" s="43">
        <v>169.87</v>
      </c>
    </row>
    <row r="47" spans="1:20" x14ac:dyDescent="0.35">
      <c r="A47" s="44">
        <v>44987</v>
      </c>
      <c r="B47" s="9" t="s">
        <v>156</v>
      </c>
      <c r="C47" s="9" t="s">
        <v>106</v>
      </c>
      <c r="D47" s="9" t="s">
        <v>42</v>
      </c>
      <c r="E47" s="9" t="s">
        <v>43</v>
      </c>
      <c r="F47" s="9">
        <v>1</v>
      </c>
      <c r="G47" s="10">
        <v>38.89</v>
      </c>
      <c r="H47" s="9" t="s">
        <v>64</v>
      </c>
      <c r="I47" s="9" t="s">
        <v>157</v>
      </c>
      <c r="J47" s="9" t="s">
        <v>55</v>
      </c>
      <c r="K47" s="9" t="s">
        <v>27</v>
      </c>
      <c r="L47" s="9" t="s">
        <v>39</v>
      </c>
      <c r="M47" s="9" t="s">
        <v>56</v>
      </c>
      <c r="N47" s="10">
        <v>481.7</v>
      </c>
      <c r="O47" s="9">
        <v>2023</v>
      </c>
      <c r="P47" s="9">
        <v>3</v>
      </c>
      <c r="Q47" s="9" t="s">
        <v>155</v>
      </c>
      <c r="R47" s="9" t="s">
        <v>31</v>
      </c>
      <c r="S47" s="10">
        <v>481.7</v>
      </c>
      <c r="T47" s="45">
        <v>48.17</v>
      </c>
    </row>
    <row r="48" spans="1:20" x14ac:dyDescent="0.35">
      <c r="A48" s="40">
        <v>44987</v>
      </c>
      <c r="B48" s="41" t="s">
        <v>158</v>
      </c>
      <c r="C48" s="41" t="s">
        <v>106</v>
      </c>
      <c r="D48" s="41" t="s">
        <v>42</v>
      </c>
      <c r="E48" s="41" t="s">
        <v>43</v>
      </c>
      <c r="F48" s="41">
        <v>1</v>
      </c>
      <c r="G48" s="42">
        <v>40.090000000000003</v>
      </c>
      <c r="H48" s="41" t="s">
        <v>24</v>
      </c>
      <c r="I48" s="41" t="s">
        <v>159</v>
      </c>
      <c r="J48" s="41" t="s">
        <v>55</v>
      </c>
      <c r="K48" s="41" t="s">
        <v>27</v>
      </c>
      <c r="L48" s="41" t="s">
        <v>28</v>
      </c>
      <c r="M48" s="41" t="s">
        <v>56</v>
      </c>
      <c r="N48" s="42">
        <v>1535.1</v>
      </c>
      <c r="O48" s="41">
        <v>2023</v>
      </c>
      <c r="P48" s="41">
        <v>3</v>
      </c>
      <c r="Q48" s="41" t="s">
        <v>155</v>
      </c>
      <c r="R48" s="41" t="s">
        <v>31</v>
      </c>
      <c r="S48" s="42">
        <v>1535.1</v>
      </c>
      <c r="T48" s="43">
        <v>219.3</v>
      </c>
    </row>
    <row r="49" spans="1:20" x14ac:dyDescent="0.35">
      <c r="A49" s="44">
        <v>44988</v>
      </c>
      <c r="B49" s="9" t="s">
        <v>160</v>
      </c>
      <c r="C49" s="9" t="s">
        <v>106</v>
      </c>
      <c r="D49" s="9" t="s">
        <v>42</v>
      </c>
      <c r="E49" s="9" t="s">
        <v>43</v>
      </c>
      <c r="F49" s="9">
        <v>1</v>
      </c>
      <c r="G49" s="10">
        <v>40.24</v>
      </c>
      <c r="H49" s="9" t="s">
        <v>24</v>
      </c>
      <c r="I49" s="9" t="s">
        <v>161</v>
      </c>
      <c r="J49" s="9" t="s">
        <v>55</v>
      </c>
      <c r="K49" s="9" t="s">
        <v>27</v>
      </c>
      <c r="L49" s="9" t="s">
        <v>39</v>
      </c>
      <c r="M49" s="9" t="s">
        <v>61</v>
      </c>
      <c r="N49" s="10">
        <v>1927.2</v>
      </c>
      <c r="O49" s="9">
        <v>2023</v>
      </c>
      <c r="P49" s="9">
        <v>3</v>
      </c>
      <c r="Q49" s="9" t="s">
        <v>155</v>
      </c>
      <c r="R49" s="9" t="s">
        <v>31</v>
      </c>
      <c r="S49" s="10">
        <v>1927.2</v>
      </c>
      <c r="T49" s="45">
        <v>321.2</v>
      </c>
    </row>
    <row r="50" spans="1:20" x14ac:dyDescent="0.35">
      <c r="A50" s="40">
        <v>44990</v>
      </c>
      <c r="B50" s="41" t="s">
        <v>162</v>
      </c>
      <c r="C50" s="41" t="s">
        <v>106</v>
      </c>
      <c r="D50" s="41" t="s">
        <v>42</v>
      </c>
      <c r="E50" s="41" t="s">
        <v>43</v>
      </c>
      <c r="F50" s="41">
        <v>1</v>
      </c>
      <c r="G50" s="42">
        <v>40.49</v>
      </c>
      <c r="H50" s="41" t="s">
        <v>44</v>
      </c>
      <c r="I50" s="41" t="s">
        <v>163</v>
      </c>
      <c r="J50" s="41" t="s">
        <v>55</v>
      </c>
      <c r="K50" s="41" t="s">
        <v>27</v>
      </c>
      <c r="L50" s="41" t="s">
        <v>66</v>
      </c>
      <c r="M50" s="41" t="s">
        <v>101</v>
      </c>
      <c r="N50" s="42">
        <v>1463.2</v>
      </c>
      <c r="O50" s="41">
        <v>2023</v>
      </c>
      <c r="P50" s="41">
        <v>3</v>
      </c>
      <c r="Q50" s="41" t="s">
        <v>155</v>
      </c>
      <c r="R50" s="41" t="s">
        <v>31</v>
      </c>
      <c r="S50" s="42">
        <v>1463.2</v>
      </c>
      <c r="T50" s="43">
        <v>182.9</v>
      </c>
    </row>
    <row r="51" spans="1:20" x14ac:dyDescent="0.35">
      <c r="A51" s="44">
        <v>44991</v>
      </c>
      <c r="B51" s="9" t="s">
        <v>164</v>
      </c>
      <c r="C51" s="9" t="s">
        <v>106</v>
      </c>
      <c r="D51" s="9" t="s">
        <v>42</v>
      </c>
      <c r="E51" s="9" t="s">
        <v>43</v>
      </c>
      <c r="F51" s="9">
        <v>1</v>
      </c>
      <c r="G51" s="10">
        <v>40.619999999999997</v>
      </c>
      <c r="H51" s="9" t="s">
        <v>35</v>
      </c>
      <c r="I51" s="9" t="s">
        <v>165</v>
      </c>
      <c r="J51" s="9" t="s">
        <v>55</v>
      </c>
      <c r="K51" s="9" t="s">
        <v>27</v>
      </c>
      <c r="L51" s="9" t="s">
        <v>28</v>
      </c>
      <c r="M51" s="9" t="s">
        <v>29</v>
      </c>
      <c r="N51" s="10">
        <v>658.8</v>
      </c>
      <c r="O51" s="9">
        <v>2023</v>
      </c>
      <c r="P51" s="9">
        <v>3</v>
      </c>
      <c r="Q51" s="9" t="s">
        <v>155</v>
      </c>
      <c r="R51" s="9" t="s">
        <v>31</v>
      </c>
      <c r="S51" s="10">
        <v>658.8</v>
      </c>
      <c r="T51" s="45">
        <v>219.6</v>
      </c>
    </row>
    <row r="52" spans="1:20" x14ac:dyDescent="0.35">
      <c r="A52" s="40">
        <v>44991</v>
      </c>
      <c r="B52" s="41" t="s">
        <v>166</v>
      </c>
      <c r="C52" s="41" t="s">
        <v>106</v>
      </c>
      <c r="D52" s="41" t="s">
        <v>42</v>
      </c>
      <c r="E52" s="41" t="s">
        <v>43</v>
      </c>
      <c r="F52" s="41">
        <v>1</v>
      </c>
      <c r="G52" s="42">
        <v>40.96</v>
      </c>
      <c r="H52" s="41" t="s">
        <v>24</v>
      </c>
      <c r="I52" s="41" t="s">
        <v>167</v>
      </c>
      <c r="J52" s="41" t="s">
        <v>55</v>
      </c>
      <c r="K52" s="41" t="s">
        <v>27</v>
      </c>
      <c r="L52" s="41" t="s">
        <v>39</v>
      </c>
      <c r="M52" s="41" t="s">
        <v>29</v>
      </c>
      <c r="N52" s="42">
        <v>3405.87</v>
      </c>
      <c r="O52" s="41">
        <v>2023</v>
      </c>
      <c r="P52" s="41">
        <v>3</v>
      </c>
      <c r="Q52" s="41" t="s">
        <v>155</v>
      </c>
      <c r="R52" s="41" t="s">
        <v>31</v>
      </c>
      <c r="S52" s="42">
        <v>3405.87</v>
      </c>
      <c r="T52" s="43">
        <v>378.43</v>
      </c>
    </row>
    <row r="53" spans="1:20" x14ac:dyDescent="0.35">
      <c r="A53" s="44">
        <v>44993</v>
      </c>
      <c r="B53" s="9" t="s">
        <v>168</v>
      </c>
      <c r="C53" s="9" t="s">
        <v>106</v>
      </c>
      <c r="D53" s="9" t="s">
        <v>42</v>
      </c>
      <c r="E53" s="9" t="s">
        <v>43</v>
      </c>
      <c r="F53" s="9">
        <v>1</v>
      </c>
      <c r="G53" s="10">
        <v>41.09</v>
      </c>
      <c r="H53" s="9" t="s">
        <v>24</v>
      </c>
      <c r="I53" s="9" t="s">
        <v>169</v>
      </c>
      <c r="J53" s="9" t="s">
        <v>55</v>
      </c>
      <c r="K53" s="9" t="s">
        <v>27</v>
      </c>
      <c r="L53" s="9" t="s">
        <v>28</v>
      </c>
      <c r="M53" s="9" t="s">
        <v>67</v>
      </c>
      <c r="N53" s="10">
        <v>119.82</v>
      </c>
      <c r="O53" s="9">
        <v>2023</v>
      </c>
      <c r="P53" s="9">
        <v>3</v>
      </c>
      <c r="Q53" s="9" t="s">
        <v>155</v>
      </c>
      <c r="R53" s="9" t="s">
        <v>31</v>
      </c>
      <c r="S53" s="10">
        <v>119.82</v>
      </c>
      <c r="T53" s="45">
        <v>119.82</v>
      </c>
    </row>
    <row r="54" spans="1:20" x14ac:dyDescent="0.35">
      <c r="A54" s="40">
        <v>44994</v>
      </c>
      <c r="B54" s="41" t="s">
        <v>170</v>
      </c>
      <c r="C54" s="41" t="s">
        <v>106</v>
      </c>
      <c r="D54" s="41" t="s">
        <v>42</v>
      </c>
      <c r="E54" s="41" t="s">
        <v>43</v>
      </c>
      <c r="F54" s="41">
        <v>1</v>
      </c>
      <c r="G54" s="42">
        <v>42.49</v>
      </c>
      <c r="H54" s="41" t="s">
        <v>58</v>
      </c>
      <c r="I54" s="41" t="s">
        <v>171</v>
      </c>
      <c r="J54" s="41" t="s">
        <v>55</v>
      </c>
      <c r="K54" s="41" t="s">
        <v>27</v>
      </c>
      <c r="L54" s="41" t="s">
        <v>39</v>
      </c>
      <c r="M54" s="41" t="s">
        <v>56</v>
      </c>
      <c r="N54" s="42">
        <v>3174.32</v>
      </c>
      <c r="O54" s="41">
        <v>2023</v>
      </c>
      <c r="P54" s="41">
        <v>3</v>
      </c>
      <c r="Q54" s="41" t="s">
        <v>155</v>
      </c>
      <c r="R54" s="41" t="s">
        <v>31</v>
      </c>
      <c r="S54" s="42">
        <v>3174.32</v>
      </c>
      <c r="T54" s="43">
        <v>396.79</v>
      </c>
    </row>
    <row r="55" spans="1:20" x14ac:dyDescent="0.35">
      <c r="A55" s="44">
        <v>44996</v>
      </c>
      <c r="B55" s="9" t="s">
        <v>172</v>
      </c>
      <c r="C55" s="9" t="s">
        <v>106</v>
      </c>
      <c r="D55" s="9" t="s">
        <v>42</v>
      </c>
      <c r="E55" s="9" t="s">
        <v>43</v>
      </c>
      <c r="F55" s="9">
        <v>1</v>
      </c>
      <c r="G55" s="10">
        <v>42.51</v>
      </c>
      <c r="H55" s="9" t="s">
        <v>58</v>
      </c>
      <c r="I55" s="9" t="s">
        <v>173</v>
      </c>
      <c r="J55" s="9" t="s">
        <v>55</v>
      </c>
      <c r="K55" s="9" t="s">
        <v>27</v>
      </c>
      <c r="L55" s="9" t="s">
        <v>28</v>
      </c>
      <c r="M55" s="9" t="s">
        <v>79</v>
      </c>
      <c r="N55" s="10">
        <v>1216.3800000000001</v>
      </c>
      <c r="O55" s="9">
        <v>2023</v>
      </c>
      <c r="P55" s="9">
        <v>3</v>
      </c>
      <c r="Q55" s="9" t="s">
        <v>155</v>
      </c>
      <c r="R55" s="9" t="s">
        <v>31</v>
      </c>
      <c r="S55" s="10">
        <v>1216.3800000000001</v>
      </c>
      <c r="T55" s="45">
        <v>202.73</v>
      </c>
    </row>
    <row r="56" spans="1:20" x14ac:dyDescent="0.35">
      <c r="A56" s="40">
        <v>44996</v>
      </c>
      <c r="B56" s="41" t="s">
        <v>174</v>
      </c>
      <c r="C56" s="41" t="s">
        <v>106</v>
      </c>
      <c r="D56" s="41" t="s">
        <v>42</v>
      </c>
      <c r="E56" s="41" t="s">
        <v>43</v>
      </c>
      <c r="F56" s="41">
        <v>1</v>
      </c>
      <c r="G56" s="42">
        <v>42.85</v>
      </c>
      <c r="H56" s="41" t="s">
        <v>64</v>
      </c>
      <c r="I56" s="41" t="s">
        <v>175</v>
      </c>
      <c r="J56" s="41" t="s">
        <v>55</v>
      </c>
      <c r="K56" s="41" t="s">
        <v>27</v>
      </c>
      <c r="L56" s="41" t="s">
        <v>28</v>
      </c>
      <c r="M56" s="41" t="s">
        <v>79</v>
      </c>
      <c r="N56" s="42">
        <v>840.36</v>
      </c>
      <c r="O56" s="41">
        <v>2023</v>
      </c>
      <c r="P56" s="41">
        <v>3</v>
      </c>
      <c r="Q56" s="41" t="s">
        <v>155</v>
      </c>
      <c r="R56" s="41" t="s">
        <v>31</v>
      </c>
      <c r="S56" s="42">
        <v>840.36</v>
      </c>
      <c r="T56" s="43">
        <v>280.12</v>
      </c>
    </row>
    <row r="57" spans="1:20" x14ac:dyDescent="0.35">
      <c r="A57" s="44">
        <v>44998</v>
      </c>
      <c r="B57" s="9" t="s">
        <v>176</v>
      </c>
      <c r="C57" s="9" t="s">
        <v>106</v>
      </c>
      <c r="D57" s="9" t="s">
        <v>42</v>
      </c>
      <c r="E57" s="9" t="s">
        <v>43</v>
      </c>
      <c r="F57" s="9">
        <v>2</v>
      </c>
      <c r="G57" s="10">
        <v>43.42</v>
      </c>
      <c r="H57" s="9" t="s">
        <v>35</v>
      </c>
      <c r="I57" s="9" t="s">
        <v>177</v>
      </c>
      <c r="J57" s="9" t="s">
        <v>55</v>
      </c>
      <c r="K57" s="9" t="s">
        <v>27</v>
      </c>
      <c r="L57" s="9" t="s">
        <v>28</v>
      </c>
      <c r="M57" s="9" t="s">
        <v>29</v>
      </c>
      <c r="N57" s="10">
        <v>1058.0999999999999</v>
      </c>
      <c r="O57" s="9">
        <v>2023</v>
      </c>
      <c r="P57" s="9">
        <v>3</v>
      </c>
      <c r="Q57" s="9" t="s">
        <v>155</v>
      </c>
      <c r="R57" s="9" t="s">
        <v>31</v>
      </c>
      <c r="S57" s="10">
        <v>1058.0999999999999</v>
      </c>
      <c r="T57" s="45">
        <v>176.35</v>
      </c>
    </row>
    <row r="58" spans="1:20" x14ac:dyDescent="0.35">
      <c r="A58" s="40">
        <v>44998</v>
      </c>
      <c r="B58" s="41" t="s">
        <v>178</v>
      </c>
      <c r="C58" s="41" t="s">
        <v>106</v>
      </c>
      <c r="D58" s="41" t="s">
        <v>42</v>
      </c>
      <c r="E58" s="41" t="s">
        <v>43</v>
      </c>
      <c r="F58" s="41">
        <v>2</v>
      </c>
      <c r="G58" s="42">
        <v>45.25</v>
      </c>
      <c r="H58" s="41" t="s">
        <v>58</v>
      </c>
      <c r="I58" s="41" t="s">
        <v>179</v>
      </c>
      <c r="J58" s="41" t="s">
        <v>55</v>
      </c>
      <c r="K58" s="41" t="s">
        <v>27</v>
      </c>
      <c r="L58" s="41" t="s">
        <v>66</v>
      </c>
      <c r="M58" s="41" t="s">
        <v>29</v>
      </c>
      <c r="N58" s="42">
        <v>188.28</v>
      </c>
      <c r="O58" s="41">
        <v>2023</v>
      </c>
      <c r="P58" s="41">
        <v>3</v>
      </c>
      <c r="Q58" s="41" t="s">
        <v>155</v>
      </c>
      <c r="R58" s="41" t="s">
        <v>31</v>
      </c>
      <c r="S58" s="42">
        <v>188.28</v>
      </c>
      <c r="T58" s="43">
        <v>188.28</v>
      </c>
    </row>
    <row r="59" spans="1:20" x14ac:dyDescent="0.35">
      <c r="A59" s="44">
        <v>44999</v>
      </c>
      <c r="B59" s="9" t="s">
        <v>180</v>
      </c>
      <c r="C59" s="9" t="s">
        <v>106</v>
      </c>
      <c r="D59" s="9" t="s">
        <v>42</v>
      </c>
      <c r="E59" s="9" t="s">
        <v>43</v>
      </c>
      <c r="F59" s="9">
        <v>2</v>
      </c>
      <c r="G59" s="10">
        <v>45.28</v>
      </c>
      <c r="H59" s="9" t="s">
        <v>35</v>
      </c>
      <c r="I59" s="9" t="s">
        <v>181</v>
      </c>
      <c r="J59" s="9" t="s">
        <v>55</v>
      </c>
      <c r="K59" s="9" t="s">
        <v>27</v>
      </c>
      <c r="L59" s="9" t="s">
        <v>39</v>
      </c>
      <c r="M59" s="9" t="s">
        <v>49</v>
      </c>
      <c r="N59" s="10">
        <v>1517.31</v>
      </c>
      <c r="O59" s="9">
        <v>2023</v>
      </c>
      <c r="P59" s="9">
        <v>3</v>
      </c>
      <c r="Q59" s="9" t="s">
        <v>155</v>
      </c>
      <c r="R59" s="9" t="s">
        <v>31</v>
      </c>
      <c r="S59" s="10">
        <v>1517.31</v>
      </c>
      <c r="T59" s="45">
        <v>168.59</v>
      </c>
    </row>
    <row r="60" spans="1:20" x14ac:dyDescent="0.35">
      <c r="A60" s="40">
        <v>45001</v>
      </c>
      <c r="B60" s="41" t="s">
        <v>182</v>
      </c>
      <c r="C60" s="41" t="s">
        <v>106</v>
      </c>
      <c r="D60" s="41" t="s">
        <v>42</v>
      </c>
      <c r="E60" s="41" t="s">
        <v>43</v>
      </c>
      <c r="F60" s="41">
        <v>2</v>
      </c>
      <c r="G60" s="42">
        <v>45.97</v>
      </c>
      <c r="H60" s="41" t="s">
        <v>35</v>
      </c>
      <c r="I60" s="41" t="s">
        <v>183</v>
      </c>
      <c r="J60" s="41" t="s">
        <v>55</v>
      </c>
      <c r="K60" s="41" t="s">
        <v>27</v>
      </c>
      <c r="L60" s="41" t="s">
        <v>66</v>
      </c>
      <c r="M60" s="41" t="s">
        <v>56</v>
      </c>
      <c r="N60" s="42">
        <v>532.04</v>
      </c>
      <c r="O60" s="41">
        <v>2023</v>
      </c>
      <c r="P60" s="41">
        <v>3</v>
      </c>
      <c r="Q60" s="41" t="s">
        <v>155</v>
      </c>
      <c r="R60" s="41" t="s">
        <v>31</v>
      </c>
      <c r="S60" s="42">
        <v>532.04</v>
      </c>
      <c r="T60" s="43">
        <v>133.01</v>
      </c>
    </row>
    <row r="61" spans="1:20" x14ac:dyDescent="0.35">
      <c r="A61" s="44">
        <v>45001</v>
      </c>
      <c r="B61" s="9" t="s">
        <v>184</v>
      </c>
      <c r="C61" s="9" t="s">
        <v>106</v>
      </c>
      <c r="D61" s="9" t="s">
        <v>42</v>
      </c>
      <c r="E61" s="9" t="s">
        <v>43</v>
      </c>
      <c r="F61" s="9">
        <v>2</v>
      </c>
      <c r="G61" s="10">
        <v>45.99</v>
      </c>
      <c r="H61" s="9" t="s">
        <v>44</v>
      </c>
      <c r="I61" s="9" t="s">
        <v>185</v>
      </c>
      <c r="J61" s="9" t="s">
        <v>55</v>
      </c>
      <c r="K61" s="9" t="s">
        <v>27</v>
      </c>
      <c r="L61" s="9" t="s">
        <v>39</v>
      </c>
      <c r="M61" s="9" t="s">
        <v>56</v>
      </c>
      <c r="N61" s="10">
        <v>3462.66</v>
      </c>
      <c r="O61" s="9">
        <v>2023</v>
      </c>
      <c r="P61" s="9">
        <v>3</v>
      </c>
      <c r="Q61" s="9" t="s">
        <v>155</v>
      </c>
      <c r="R61" s="9" t="s">
        <v>31</v>
      </c>
      <c r="S61" s="10">
        <v>3462.66</v>
      </c>
      <c r="T61" s="45">
        <v>384.74</v>
      </c>
    </row>
    <row r="62" spans="1:20" x14ac:dyDescent="0.35">
      <c r="A62" s="40">
        <v>45003</v>
      </c>
      <c r="B62" s="41" t="s">
        <v>76</v>
      </c>
      <c r="C62" s="41" t="s">
        <v>106</v>
      </c>
      <c r="D62" s="41" t="s">
        <v>42</v>
      </c>
      <c r="E62" s="41" t="s">
        <v>43</v>
      </c>
      <c r="F62" s="41">
        <v>2</v>
      </c>
      <c r="G62" s="42">
        <v>46.17</v>
      </c>
      <c r="H62" s="41" t="s">
        <v>64</v>
      </c>
      <c r="I62" s="41" t="s">
        <v>186</v>
      </c>
      <c r="J62" s="41" t="s">
        <v>55</v>
      </c>
      <c r="K62" s="41" t="s">
        <v>27</v>
      </c>
      <c r="L62" s="41" t="s">
        <v>28</v>
      </c>
      <c r="M62" s="41" t="s">
        <v>79</v>
      </c>
      <c r="N62" s="42">
        <v>305.19</v>
      </c>
      <c r="O62" s="41">
        <v>2023</v>
      </c>
      <c r="P62" s="41">
        <v>3</v>
      </c>
      <c r="Q62" s="41" t="s">
        <v>155</v>
      </c>
      <c r="R62" s="41" t="s">
        <v>31</v>
      </c>
      <c r="S62" s="42">
        <v>305.19</v>
      </c>
      <c r="T62" s="43">
        <v>305.19</v>
      </c>
    </row>
    <row r="63" spans="1:20" x14ac:dyDescent="0.35">
      <c r="A63" s="44">
        <v>45003</v>
      </c>
      <c r="B63" s="9" t="s">
        <v>187</v>
      </c>
      <c r="C63" s="9" t="s">
        <v>106</v>
      </c>
      <c r="D63" s="9" t="s">
        <v>42</v>
      </c>
      <c r="E63" s="9" t="s">
        <v>43</v>
      </c>
      <c r="F63" s="9">
        <v>2</v>
      </c>
      <c r="G63" s="10">
        <v>46.55</v>
      </c>
      <c r="H63" s="9" t="s">
        <v>44</v>
      </c>
      <c r="I63" s="9" t="s">
        <v>188</v>
      </c>
      <c r="J63" s="9" t="s">
        <v>55</v>
      </c>
      <c r="K63" s="9" t="s">
        <v>27</v>
      </c>
      <c r="L63" s="9" t="s">
        <v>28</v>
      </c>
      <c r="M63" s="9" t="s">
        <v>79</v>
      </c>
      <c r="N63" s="10">
        <v>1875.16</v>
      </c>
      <c r="O63" s="9">
        <v>2023</v>
      </c>
      <c r="P63" s="9">
        <v>3</v>
      </c>
      <c r="Q63" s="9" t="s">
        <v>155</v>
      </c>
      <c r="R63" s="9" t="s">
        <v>31</v>
      </c>
      <c r="S63" s="10">
        <v>1875.16</v>
      </c>
      <c r="T63" s="45">
        <v>267.88</v>
      </c>
    </row>
    <row r="64" spans="1:20" x14ac:dyDescent="0.35">
      <c r="A64" s="40">
        <v>45004</v>
      </c>
      <c r="B64" s="41" t="s">
        <v>189</v>
      </c>
      <c r="C64" s="41" t="s">
        <v>106</v>
      </c>
      <c r="D64" s="41" t="s">
        <v>42</v>
      </c>
      <c r="E64" s="41" t="s">
        <v>43</v>
      </c>
      <c r="F64" s="41">
        <v>2</v>
      </c>
      <c r="G64" s="42">
        <v>47.84</v>
      </c>
      <c r="H64" s="41" t="s">
        <v>58</v>
      </c>
      <c r="I64" s="41" t="s">
        <v>190</v>
      </c>
      <c r="J64" s="41" t="s">
        <v>55</v>
      </c>
      <c r="K64" s="41" t="s">
        <v>27</v>
      </c>
      <c r="L64" s="41" t="s">
        <v>39</v>
      </c>
      <c r="M64" s="41" t="s">
        <v>101</v>
      </c>
      <c r="N64" s="42">
        <v>1334.82</v>
      </c>
      <c r="O64" s="41">
        <v>2023</v>
      </c>
      <c r="P64" s="41">
        <v>3</v>
      </c>
      <c r="Q64" s="41" t="s">
        <v>155</v>
      </c>
      <c r="R64" s="41" t="s">
        <v>31</v>
      </c>
      <c r="S64" s="42">
        <v>1334.82</v>
      </c>
      <c r="T64" s="43">
        <v>222.47</v>
      </c>
    </row>
    <row r="65" spans="1:20" x14ac:dyDescent="0.35">
      <c r="A65" s="44">
        <v>45005</v>
      </c>
      <c r="B65" s="9" t="s">
        <v>191</v>
      </c>
      <c r="C65" s="9" t="s">
        <v>106</v>
      </c>
      <c r="D65" s="9" t="s">
        <v>42</v>
      </c>
      <c r="E65" s="9" t="s">
        <v>43</v>
      </c>
      <c r="F65" s="9">
        <v>2</v>
      </c>
      <c r="G65" s="10">
        <v>48.17</v>
      </c>
      <c r="H65" s="9" t="s">
        <v>44</v>
      </c>
      <c r="I65" s="9" t="s">
        <v>192</v>
      </c>
      <c r="J65" s="9" t="s">
        <v>55</v>
      </c>
      <c r="K65" s="9" t="s">
        <v>27</v>
      </c>
      <c r="L65" s="9" t="s">
        <v>39</v>
      </c>
      <c r="M65" s="9" t="s">
        <v>29</v>
      </c>
      <c r="N65" s="10">
        <v>2012.72</v>
      </c>
      <c r="O65" s="9">
        <v>2023</v>
      </c>
      <c r="P65" s="9">
        <v>3</v>
      </c>
      <c r="Q65" s="9" t="s">
        <v>155</v>
      </c>
      <c r="R65" s="9" t="s">
        <v>31</v>
      </c>
      <c r="S65" s="10">
        <v>2012.72</v>
      </c>
      <c r="T65" s="45">
        <v>251.59</v>
      </c>
    </row>
    <row r="66" spans="1:20" x14ac:dyDescent="0.35">
      <c r="A66" s="40">
        <v>45006</v>
      </c>
      <c r="B66" s="41" t="s">
        <v>193</v>
      </c>
      <c r="C66" s="41" t="s">
        <v>47</v>
      </c>
      <c r="D66" s="41" t="s">
        <v>42</v>
      </c>
      <c r="E66" s="41" t="s">
        <v>43</v>
      </c>
      <c r="F66" s="41">
        <v>2</v>
      </c>
      <c r="G66" s="42">
        <v>49.99</v>
      </c>
      <c r="H66" s="41" t="s">
        <v>44</v>
      </c>
      <c r="I66" s="41" t="s">
        <v>194</v>
      </c>
      <c r="J66" s="41" t="s">
        <v>55</v>
      </c>
      <c r="K66" s="41" t="s">
        <v>27</v>
      </c>
      <c r="L66" s="41" t="s">
        <v>28</v>
      </c>
      <c r="M66" s="41" t="s">
        <v>49</v>
      </c>
      <c r="N66" s="42">
        <v>170.73</v>
      </c>
      <c r="O66" s="41">
        <v>2023</v>
      </c>
      <c r="P66" s="41">
        <v>3</v>
      </c>
      <c r="Q66" s="41" t="s">
        <v>155</v>
      </c>
      <c r="R66" s="41" t="s">
        <v>31</v>
      </c>
      <c r="S66" s="42">
        <v>170.73</v>
      </c>
      <c r="T66" s="43">
        <v>24.39</v>
      </c>
    </row>
    <row r="67" spans="1:20" x14ac:dyDescent="0.35">
      <c r="A67" s="44">
        <v>45006</v>
      </c>
      <c r="B67" s="9" t="s">
        <v>195</v>
      </c>
      <c r="C67" s="9" t="s">
        <v>47</v>
      </c>
      <c r="D67" s="9" t="s">
        <v>42</v>
      </c>
      <c r="E67" s="9" t="s">
        <v>43</v>
      </c>
      <c r="F67" s="9">
        <v>2</v>
      </c>
      <c r="G67" s="10">
        <v>51.37</v>
      </c>
      <c r="H67" s="9" t="s">
        <v>58</v>
      </c>
      <c r="I67" s="9" t="s">
        <v>196</v>
      </c>
      <c r="J67" s="9" t="s">
        <v>55</v>
      </c>
      <c r="K67" s="9" t="s">
        <v>27</v>
      </c>
      <c r="L67" s="9" t="s">
        <v>39</v>
      </c>
      <c r="M67" s="9" t="s">
        <v>49</v>
      </c>
      <c r="N67" s="10">
        <v>886.83</v>
      </c>
      <c r="O67" s="9">
        <v>2023</v>
      </c>
      <c r="P67" s="9">
        <v>3</v>
      </c>
      <c r="Q67" s="9" t="s">
        <v>155</v>
      </c>
      <c r="R67" s="9" t="s">
        <v>31</v>
      </c>
      <c r="S67" s="10">
        <v>886.83</v>
      </c>
      <c r="T67" s="45">
        <v>126.69</v>
      </c>
    </row>
    <row r="68" spans="1:20" x14ac:dyDescent="0.35">
      <c r="A68" s="40">
        <v>45007</v>
      </c>
      <c r="B68" s="41" t="s">
        <v>62</v>
      </c>
      <c r="C68" s="41" t="s">
        <v>47</v>
      </c>
      <c r="D68" s="41" t="s">
        <v>42</v>
      </c>
      <c r="E68" s="41" t="s">
        <v>43</v>
      </c>
      <c r="F68" s="41">
        <v>2</v>
      </c>
      <c r="G68" s="42">
        <v>51.55</v>
      </c>
      <c r="H68" s="41" t="s">
        <v>58</v>
      </c>
      <c r="I68" s="41" t="s">
        <v>197</v>
      </c>
      <c r="J68" s="41" t="s">
        <v>55</v>
      </c>
      <c r="K68" s="41" t="s">
        <v>27</v>
      </c>
      <c r="L68" s="41" t="s">
        <v>66</v>
      </c>
      <c r="M68" s="41" t="s">
        <v>67</v>
      </c>
      <c r="N68" s="42">
        <v>1971.4</v>
      </c>
      <c r="O68" s="41">
        <v>2023</v>
      </c>
      <c r="P68" s="41">
        <v>3</v>
      </c>
      <c r="Q68" s="41" t="s">
        <v>155</v>
      </c>
      <c r="R68" s="41" t="s">
        <v>31</v>
      </c>
      <c r="S68" s="42">
        <v>1971.4</v>
      </c>
      <c r="T68" s="43">
        <v>394.28</v>
      </c>
    </row>
    <row r="69" spans="1:20" x14ac:dyDescent="0.35">
      <c r="A69" s="44">
        <v>45008</v>
      </c>
      <c r="B69" s="9" t="s">
        <v>198</v>
      </c>
      <c r="C69" s="9" t="s">
        <v>47</v>
      </c>
      <c r="D69" s="9" t="s">
        <v>42</v>
      </c>
      <c r="E69" s="9" t="s">
        <v>43</v>
      </c>
      <c r="F69" s="9">
        <v>2</v>
      </c>
      <c r="G69" s="10">
        <v>51.87</v>
      </c>
      <c r="H69" s="9" t="s">
        <v>58</v>
      </c>
      <c r="I69" s="9" t="s">
        <v>199</v>
      </c>
      <c r="J69" s="9" t="s">
        <v>55</v>
      </c>
      <c r="K69" s="9" t="s">
        <v>27</v>
      </c>
      <c r="L69" s="9" t="s">
        <v>66</v>
      </c>
      <c r="M69" s="9" t="s">
        <v>56</v>
      </c>
      <c r="N69" s="10">
        <v>2911.32</v>
      </c>
      <c r="O69" s="9">
        <v>2023</v>
      </c>
      <c r="P69" s="9">
        <v>3</v>
      </c>
      <c r="Q69" s="9" t="s">
        <v>155</v>
      </c>
      <c r="R69" s="9" t="s">
        <v>31</v>
      </c>
      <c r="S69" s="10">
        <v>2911.32</v>
      </c>
      <c r="T69" s="45">
        <v>323.48</v>
      </c>
    </row>
    <row r="70" spans="1:20" x14ac:dyDescent="0.35">
      <c r="A70" s="40">
        <v>45008</v>
      </c>
      <c r="B70" s="41" t="s">
        <v>200</v>
      </c>
      <c r="C70" s="41" t="s">
        <v>47</v>
      </c>
      <c r="D70" s="41" t="s">
        <v>42</v>
      </c>
      <c r="E70" s="41" t="s">
        <v>43</v>
      </c>
      <c r="F70" s="41">
        <v>2</v>
      </c>
      <c r="G70" s="42">
        <v>52.68</v>
      </c>
      <c r="H70" s="41" t="s">
        <v>24</v>
      </c>
      <c r="I70" s="41" t="s">
        <v>201</v>
      </c>
      <c r="J70" s="41" t="s">
        <v>55</v>
      </c>
      <c r="K70" s="41" t="s">
        <v>27</v>
      </c>
      <c r="L70" s="41" t="s">
        <v>28</v>
      </c>
      <c r="M70" s="41" t="s">
        <v>56</v>
      </c>
      <c r="N70" s="42">
        <v>797.6</v>
      </c>
      <c r="O70" s="41">
        <v>2023</v>
      </c>
      <c r="P70" s="41">
        <v>3</v>
      </c>
      <c r="Q70" s="41" t="s">
        <v>155</v>
      </c>
      <c r="R70" s="41" t="s">
        <v>31</v>
      </c>
      <c r="S70" s="42">
        <v>797.6</v>
      </c>
      <c r="T70" s="43">
        <v>199.4</v>
      </c>
    </row>
    <row r="71" spans="1:20" x14ac:dyDescent="0.35">
      <c r="A71" s="44">
        <v>45009</v>
      </c>
      <c r="B71" s="9" t="s">
        <v>202</v>
      </c>
      <c r="C71" s="9" t="s">
        <v>47</v>
      </c>
      <c r="D71" s="9" t="s">
        <v>42</v>
      </c>
      <c r="E71" s="9" t="s">
        <v>43</v>
      </c>
      <c r="F71" s="9">
        <v>2</v>
      </c>
      <c r="G71" s="10">
        <v>53.75</v>
      </c>
      <c r="H71" s="9" t="s">
        <v>24</v>
      </c>
      <c r="I71" s="9" t="s">
        <v>203</v>
      </c>
      <c r="J71" s="9" t="s">
        <v>55</v>
      </c>
      <c r="K71" s="9" t="s">
        <v>27</v>
      </c>
      <c r="L71" s="9" t="s">
        <v>66</v>
      </c>
      <c r="M71" s="9" t="s">
        <v>61</v>
      </c>
      <c r="N71" s="10">
        <v>454.38</v>
      </c>
      <c r="O71" s="9">
        <v>2023</v>
      </c>
      <c r="P71" s="9">
        <v>3</v>
      </c>
      <c r="Q71" s="9" t="s">
        <v>155</v>
      </c>
      <c r="R71" s="9" t="s">
        <v>31</v>
      </c>
      <c r="S71" s="10">
        <v>454.38</v>
      </c>
      <c r="T71" s="45">
        <v>75.73</v>
      </c>
    </row>
    <row r="72" spans="1:20" x14ac:dyDescent="0.35">
      <c r="A72" s="40">
        <v>45009</v>
      </c>
      <c r="B72" s="41" t="s">
        <v>204</v>
      </c>
      <c r="C72" s="41" t="s">
        <v>47</v>
      </c>
      <c r="D72" s="41" t="s">
        <v>42</v>
      </c>
      <c r="E72" s="41" t="s">
        <v>43</v>
      </c>
      <c r="F72" s="41">
        <v>2</v>
      </c>
      <c r="G72" s="42">
        <v>54.47</v>
      </c>
      <c r="H72" s="41" t="s">
        <v>64</v>
      </c>
      <c r="I72" s="41" t="s">
        <v>205</v>
      </c>
      <c r="J72" s="41" t="s">
        <v>55</v>
      </c>
      <c r="K72" s="41" t="s">
        <v>27</v>
      </c>
      <c r="L72" s="41" t="s">
        <v>39</v>
      </c>
      <c r="M72" s="41" t="s">
        <v>61</v>
      </c>
      <c r="N72" s="42">
        <v>1475.96</v>
      </c>
      <c r="O72" s="41">
        <v>2023</v>
      </c>
      <c r="P72" s="41">
        <v>3</v>
      </c>
      <c r="Q72" s="41" t="s">
        <v>155</v>
      </c>
      <c r="R72" s="41" t="s">
        <v>31</v>
      </c>
      <c r="S72" s="42">
        <v>1475.96</v>
      </c>
      <c r="T72" s="43">
        <v>368.99</v>
      </c>
    </row>
    <row r="73" spans="1:20" x14ac:dyDescent="0.35">
      <c r="A73" s="44">
        <v>45010</v>
      </c>
      <c r="B73" s="9" t="s">
        <v>206</v>
      </c>
      <c r="C73" s="9" t="s">
        <v>47</v>
      </c>
      <c r="D73" s="9" t="s">
        <v>42</v>
      </c>
      <c r="E73" s="9" t="s">
        <v>43</v>
      </c>
      <c r="F73" s="9">
        <v>2</v>
      </c>
      <c r="G73" s="10">
        <v>55.64</v>
      </c>
      <c r="H73" s="9" t="s">
        <v>58</v>
      </c>
      <c r="I73" s="9" t="s">
        <v>207</v>
      </c>
      <c r="J73" s="9" t="s">
        <v>55</v>
      </c>
      <c r="K73" s="9" t="s">
        <v>27</v>
      </c>
      <c r="L73" s="9" t="s">
        <v>28</v>
      </c>
      <c r="M73" s="9" t="s">
        <v>79</v>
      </c>
      <c r="N73" s="10">
        <v>471.24</v>
      </c>
      <c r="O73" s="9">
        <v>2023</v>
      </c>
      <c r="P73" s="9">
        <v>3</v>
      </c>
      <c r="Q73" s="9" t="s">
        <v>155</v>
      </c>
      <c r="R73" s="9" t="s">
        <v>31</v>
      </c>
      <c r="S73" s="10">
        <v>471.24</v>
      </c>
      <c r="T73" s="45">
        <v>117.81</v>
      </c>
    </row>
    <row r="74" spans="1:20" x14ac:dyDescent="0.35">
      <c r="A74" s="40">
        <v>45011</v>
      </c>
      <c r="B74" s="41" t="s">
        <v>208</v>
      </c>
      <c r="C74" s="41" t="s">
        <v>47</v>
      </c>
      <c r="D74" s="41" t="s">
        <v>42</v>
      </c>
      <c r="E74" s="41" t="s">
        <v>43</v>
      </c>
      <c r="F74" s="41">
        <v>2</v>
      </c>
      <c r="G74" s="42">
        <v>56.43</v>
      </c>
      <c r="H74" s="41" t="s">
        <v>24</v>
      </c>
      <c r="I74" s="41" t="s">
        <v>209</v>
      </c>
      <c r="J74" s="41" t="s">
        <v>55</v>
      </c>
      <c r="K74" s="41" t="s">
        <v>27</v>
      </c>
      <c r="L74" s="41" t="s">
        <v>39</v>
      </c>
      <c r="M74" s="41" t="s">
        <v>101</v>
      </c>
      <c r="N74" s="42">
        <v>770.07</v>
      </c>
      <c r="O74" s="41">
        <v>2023</v>
      </c>
      <c r="P74" s="41">
        <v>3</v>
      </c>
      <c r="Q74" s="41" t="s">
        <v>155</v>
      </c>
      <c r="R74" s="41" t="s">
        <v>31</v>
      </c>
      <c r="S74" s="42">
        <v>770.07</v>
      </c>
      <c r="T74" s="43">
        <v>256.69</v>
      </c>
    </row>
    <row r="75" spans="1:20" x14ac:dyDescent="0.35">
      <c r="A75" s="44">
        <v>45011</v>
      </c>
      <c r="B75" s="9" t="s">
        <v>210</v>
      </c>
      <c r="C75" s="9" t="s">
        <v>47</v>
      </c>
      <c r="D75" s="9" t="s">
        <v>42</v>
      </c>
      <c r="E75" s="9" t="s">
        <v>43</v>
      </c>
      <c r="F75" s="9">
        <v>2</v>
      </c>
      <c r="G75" s="10">
        <v>58.28</v>
      </c>
      <c r="H75" s="9" t="s">
        <v>58</v>
      </c>
      <c r="I75" s="9" t="s">
        <v>211</v>
      </c>
      <c r="J75" s="9" t="s">
        <v>55</v>
      </c>
      <c r="K75" s="9" t="s">
        <v>27</v>
      </c>
      <c r="L75" s="9" t="s">
        <v>66</v>
      </c>
      <c r="M75" s="9" t="s">
        <v>101</v>
      </c>
      <c r="N75" s="10">
        <v>668.6</v>
      </c>
      <c r="O75" s="9">
        <v>2023</v>
      </c>
      <c r="P75" s="9">
        <v>3</v>
      </c>
      <c r="Q75" s="9" t="s">
        <v>155</v>
      </c>
      <c r="R75" s="9" t="s">
        <v>31</v>
      </c>
      <c r="S75" s="10">
        <v>668.6</v>
      </c>
      <c r="T75" s="45">
        <v>133.72</v>
      </c>
    </row>
    <row r="76" spans="1:20" x14ac:dyDescent="0.35">
      <c r="A76" s="40">
        <v>45011</v>
      </c>
      <c r="B76" s="41" t="s">
        <v>212</v>
      </c>
      <c r="C76" s="41" t="s">
        <v>47</v>
      </c>
      <c r="D76" s="41" t="s">
        <v>42</v>
      </c>
      <c r="E76" s="41" t="s">
        <v>43</v>
      </c>
      <c r="F76" s="41">
        <v>2</v>
      </c>
      <c r="G76" s="42">
        <v>58.36</v>
      </c>
      <c r="H76" s="41" t="s">
        <v>64</v>
      </c>
      <c r="I76" s="41" t="s">
        <v>213</v>
      </c>
      <c r="J76" s="41" t="s">
        <v>55</v>
      </c>
      <c r="K76" s="41" t="s">
        <v>27</v>
      </c>
      <c r="L76" s="41" t="s">
        <v>39</v>
      </c>
      <c r="M76" s="41" t="s">
        <v>101</v>
      </c>
      <c r="N76" s="42">
        <v>2921.67</v>
      </c>
      <c r="O76" s="41">
        <v>2023</v>
      </c>
      <c r="P76" s="41">
        <v>3</v>
      </c>
      <c r="Q76" s="41" t="s">
        <v>155</v>
      </c>
      <c r="R76" s="41" t="s">
        <v>31</v>
      </c>
      <c r="S76" s="42">
        <v>2921.67</v>
      </c>
      <c r="T76" s="43">
        <v>324.63</v>
      </c>
    </row>
    <row r="77" spans="1:20" x14ac:dyDescent="0.35">
      <c r="A77" s="44">
        <v>45017</v>
      </c>
      <c r="B77" s="9" t="s">
        <v>214</v>
      </c>
      <c r="C77" s="9" t="s">
        <v>47</v>
      </c>
      <c r="D77" s="9" t="s">
        <v>42</v>
      </c>
      <c r="E77" s="9" t="s">
        <v>43</v>
      </c>
      <c r="F77" s="9">
        <v>2</v>
      </c>
      <c r="G77" s="10">
        <v>58.45</v>
      </c>
      <c r="H77" s="9" t="s">
        <v>64</v>
      </c>
      <c r="I77" s="9" t="s">
        <v>215</v>
      </c>
      <c r="J77" s="9" t="s">
        <v>55</v>
      </c>
      <c r="K77" s="9" t="s">
        <v>27</v>
      </c>
      <c r="L77" s="9" t="s">
        <v>28</v>
      </c>
      <c r="M77" s="9" t="s">
        <v>79</v>
      </c>
      <c r="N77" s="10">
        <v>1819.1</v>
      </c>
      <c r="O77" s="9">
        <v>2023</v>
      </c>
      <c r="P77" s="9">
        <v>4</v>
      </c>
      <c r="Q77" s="9" t="s">
        <v>216</v>
      </c>
      <c r="R77" s="9" t="s">
        <v>217</v>
      </c>
      <c r="S77" s="10">
        <v>1819.1</v>
      </c>
      <c r="T77" s="45">
        <v>363.82</v>
      </c>
    </row>
    <row r="78" spans="1:20" x14ac:dyDescent="0.35">
      <c r="A78" s="40">
        <v>45020</v>
      </c>
      <c r="B78" s="41" t="s">
        <v>218</v>
      </c>
      <c r="C78" s="41" t="s">
        <v>47</v>
      </c>
      <c r="D78" s="41" t="s">
        <v>42</v>
      </c>
      <c r="E78" s="41" t="s">
        <v>43</v>
      </c>
      <c r="F78" s="41">
        <v>2</v>
      </c>
      <c r="G78" s="42">
        <v>58.51</v>
      </c>
      <c r="H78" s="41" t="s">
        <v>24</v>
      </c>
      <c r="I78" s="41" t="s">
        <v>219</v>
      </c>
      <c r="J78" s="41" t="s">
        <v>55</v>
      </c>
      <c r="K78" s="41" t="s">
        <v>27</v>
      </c>
      <c r="L78" s="41" t="s">
        <v>28</v>
      </c>
      <c r="M78" s="41" t="s">
        <v>49</v>
      </c>
      <c r="N78" s="42">
        <v>425.94</v>
      </c>
      <c r="O78" s="41">
        <v>2023</v>
      </c>
      <c r="P78" s="41">
        <v>4</v>
      </c>
      <c r="Q78" s="41" t="s">
        <v>216</v>
      </c>
      <c r="R78" s="41" t="s">
        <v>217</v>
      </c>
      <c r="S78" s="42">
        <v>425.94</v>
      </c>
      <c r="T78" s="43">
        <v>141.97999999999999</v>
      </c>
    </row>
    <row r="79" spans="1:20" x14ac:dyDescent="0.35">
      <c r="A79" s="44">
        <v>45021</v>
      </c>
      <c r="B79" s="9" t="s">
        <v>220</v>
      </c>
      <c r="C79" s="9" t="s">
        <v>47</v>
      </c>
      <c r="D79" s="9" t="s">
        <v>42</v>
      </c>
      <c r="E79" s="9" t="s">
        <v>43</v>
      </c>
      <c r="F79" s="9">
        <v>2</v>
      </c>
      <c r="G79" s="10">
        <v>58.92</v>
      </c>
      <c r="H79" s="9" t="s">
        <v>58</v>
      </c>
      <c r="I79" s="9" t="s">
        <v>221</v>
      </c>
      <c r="J79" s="9" t="s">
        <v>55</v>
      </c>
      <c r="K79" s="9" t="s">
        <v>27</v>
      </c>
      <c r="L79" s="9" t="s">
        <v>39</v>
      </c>
      <c r="M79" s="9" t="s">
        <v>67</v>
      </c>
      <c r="N79" s="10">
        <v>129.30000000000001</v>
      </c>
      <c r="O79" s="9">
        <v>2023</v>
      </c>
      <c r="P79" s="9">
        <v>4</v>
      </c>
      <c r="Q79" s="9" t="s">
        <v>216</v>
      </c>
      <c r="R79" s="9" t="s">
        <v>217</v>
      </c>
      <c r="S79" s="10">
        <v>129.30000000000001</v>
      </c>
      <c r="T79" s="45">
        <v>12.93</v>
      </c>
    </row>
    <row r="80" spans="1:20" x14ac:dyDescent="0.35">
      <c r="A80" s="40">
        <v>45021</v>
      </c>
      <c r="B80" s="41" t="s">
        <v>222</v>
      </c>
      <c r="C80" s="41" t="s">
        <v>47</v>
      </c>
      <c r="D80" s="41" t="s">
        <v>42</v>
      </c>
      <c r="E80" s="41" t="s">
        <v>43</v>
      </c>
      <c r="F80" s="41">
        <v>2</v>
      </c>
      <c r="G80" s="42">
        <v>59.26</v>
      </c>
      <c r="H80" s="41" t="s">
        <v>24</v>
      </c>
      <c r="I80" s="41" t="s">
        <v>223</v>
      </c>
      <c r="J80" s="41" t="s">
        <v>55</v>
      </c>
      <c r="K80" s="41" t="s">
        <v>27</v>
      </c>
      <c r="L80" s="41" t="s">
        <v>28</v>
      </c>
      <c r="M80" s="41" t="s">
        <v>67</v>
      </c>
      <c r="N80" s="42">
        <v>893.16</v>
      </c>
      <c r="O80" s="41">
        <v>2023</v>
      </c>
      <c r="P80" s="41">
        <v>4</v>
      </c>
      <c r="Q80" s="41" t="s">
        <v>216</v>
      </c>
      <c r="R80" s="41" t="s">
        <v>217</v>
      </c>
      <c r="S80" s="42">
        <v>893.16</v>
      </c>
      <c r="T80" s="43">
        <v>297.72000000000003</v>
      </c>
    </row>
    <row r="81" spans="1:20" x14ac:dyDescent="0.35">
      <c r="A81" s="44">
        <v>45021</v>
      </c>
      <c r="B81" s="9" t="s">
        <v>224</v>
      </c>
      <c r="C81" s="9" t="s">
        <v>47</v>
      </c>
      <c r="D81" s="9" t="s">
        <v>42</v>
      </c>
      <c r="E81" s="9" t="s">
        <v>43</v>
      </c>
      <c r="F81" s="9">
        <v>2</v>
      </c>
      <c r="G81" s="10">
        <v>60.07</v>
      </c>
      <c r="H81" s="9" t="s">
        <v>64</v>
      </c>
      <c r="I81" s="9" t="s">
        <v>225</v>
      </c>
      <c r="J81" s="9" t="s">
        <v>55</v>
      </c>
      <c r="K81" s="9" t="s">
        <v>27</v>
      </c>
      <c r="L81" s="9" t="s">
        <v>39</v>
      </c>
      <c r="M81" s="9" t="s">
        <v>67</v>
      </c>
      <c r="N81" s="10">
        <v>35.840000000000003</v>
      </c>
      <c r="O81" s="9">
        <v>2023</v>
      </c>
      <c r="P81" s="9">
        <v>4</v>
      </c>
      <c r="Q81" s="9" t="s">
        <v>216</v>
      </c>
      <c r="R81" s="9" t="s">
        <v>217</v>
      </c>
      <c r="S81" s="10">
        <v>35.840000000000003</v>
      </c>
      <c r="T81" s="45">
        <v>35.840000000000003</v>
      </c>
    </row>
    <row r="82" spans="1:20" x14ac:dyDescent="0.35">
      <c r="A82" s="40">
        <v>45022</v>
      </c>
      <c r="B82" s="41" t="s">
        <v>226</v>
      </c>
      <c r="C82" s="41" t="s">
        <v>47</v>
      </c>
      <c r="D82" s="41" t="s">
        <v>42</v>
      </c>
      <c r="E82" s="41" t="s">
        <v>43</v>
      </c>
      <c r="F82" s="41">
        <v>2</v>
      </c>
      <c r="G82" s="42">
        <v>61.14</v>
      </c>
      <c r="H82" s="41" t="s">
        <v>35</v>
      </c>
      <c r="I82" s="41" t="s">
        <v>227</v>
      </c>
      <c r="J82" s="41" t="s">
        <v>55</v>
      </c>
      <c r="K82" s="41" t="s">
        <v>27</v>
      </c>
      <c r="L82" s="41" t="s">
        <v>28</v>
      </c>
      <c r="M82" s="41" t="s">
        <v>56</v>
      </c>
      <c r="N82" s="42">
        <v>1003.02</v>
      </c>
      <c r="O82" s="41">
        <v>2023</v>
      </c>
      <c r="P82" s="41">
        <v>4</v>
      </c>
      <c r="Q82" s="41" t="s">
        <v>216</v>
      </c>
      <c r="R82" s="41" t="s">
        <v>217</v>
      </c>
      <c r="S82" s="42">
        <v>1003.02</v>
      </c>
      <c r="T82" s="43">
        <v>167.17</v>
      </c>
    </row>
    <row r="83" spans="1:20" x14ac:dyDescent="0.35">
      <c r="A83" s="44">
        <v>45023</v>
      </c>
      <c r="B83" s="9" t="s">
        <v>228</v>
      </c>
      <c r="C83" s="9" t="s">
        <v>47</v>
      </c>
      <c r="D83" s="9" t="s">
        <v>42</v>
      </c>
      <c r="E83" s="9" t="s">
        <v>43</v>
      </c>
      <c r="F83" s="9">
        <v>2</v>
      </c>
      <c r="G83" s="10">
        <v>61.24</v>
      </c>
      <c r="H83" s="9" t="s">
        <v>58</v>
      </c>
      <c r="I83" s="9" t="s">
        <v>229</v>
      </c>
      <c r="J83" s="9" t="s">
        <v>55</v>
      </c>
      <c r="K83" s="9" t="s">
        <v>27</v>
      </c>
      <c r="L83" s="9" t="s">
        <v>39</v>
      </c>
      <c r="M83" s="9" t="s">
        <v>61</v>
      </c>
      <c r="N83" s="10">
        <v>279.72000000000003</v>
      </c>
      <c r="O83" s="9">
        <v>2023</v>
      </c>
      <c r="P83" s="9">
        <v>4</v>
      </c>
      <c r="Q83" s="9" t="s">
        <v>216</v>
      </c>
      <c r="R83" s="9" t="s">
        <v>217</v>
      </c>
      <c r="S83" s="10">
        <v>279.72000000000003</v>
      </c>
      <c r="T83" s="45">
        <v>69.930000000000007</v>
      </c>
    </row>
    <row r="84" spans="1:20" x14ac:dyDescent="0.35">
      <c r="A84" s="40">
        <v>45024</v>
      </c>
      <c r="B84" s="41" t="s">
        <v>230</v>
      </c>
      <c r="C84" s="41" t="s">
        <v>47</v>
      </c>
      <c r="D84" s="41" t="s">
        <v>42</v>
      </c>
      <c r="E84" s="41" t="s">
        <v>43</v>
      </c>
      <c r="F84" s="41">
        <v>2</v>
      </c>
      <c r="G84" s="42">
        <v>61.68</v>
      </c>
      <c r="H84" s="41" t="s">
        <v>24</v>
      </c>
      <c r="I84" s="41" t="s">
        <v>231</v>
      </c>
      <c r="J84" s="41" t="s">
        <v>55</v>
      </c>
      <c r="K84" s="41" t="s">
        <v>27</v>
      </c>
      <c r="L84" s="41" t="s">
        <v>39</v>
      </c>
      <c r="M84" s="41" t="s">
        <v>79</v>
      </c>
      <c r="N84" s="42">
        <v>2858.16</v>
      </c>
      <c r="O84" s="41">
        <v>2023</v>
      </c>
      <c r="P84" s="41">
        <v>4</v>
      </c>
      <c r="Q84" s="41" t="s">
        <v>216</v>
      </c>
      <c r="R84" s="41" t="s">
        <v>217</v>
      </c>
      <c r="S84" s="42">
        <v>2858.16</v>
      </c>
      <c r="T84" s="43">
        <v>357.27</v>
      </c>
    </row>
    <row r="85" spans="1:20" x14ac:dyDescent="0.35">
      <c r="A85" s="44">
        <v>45025</v>
      </c>
      <c r="B85" s="9" t="s">
        <v>232</v>
      </c>
      <c r="C85" s="9" t="s">
        <v>47</v>
      </c>
      <c r="D85" s="9" t="s">
        <v>42</v>
      </c>
      <c r="E85" s="9" t="s">
        <v>43</v>
      </c>
      <c r="F85" s="9">
        <v>2</v>
      </c>
      <c r="G85" s="10">
        <v>62.29</v>
      </c>
      <c r="H85" s="9" t="s">
        <v>35</v>
      </c>
      <c r="I85" s="9" t="s">
        <v>233</v>
      </c>
      <c r="J85" s="9" t="s">
        <v>55</v>
      </c>
      <c r="K85" s="9" t="s">
        <v>27</v>
      </c>
      <c r="L85" s="9" t="s">
        <v>39</v>
      </c>
      <c r="M85" s="9" t="s">
        <v>101</v>
      </c>
      <c r="N85" s="10">
        <v>897.92</v>
      </c>
      <c r="O85" s="9">
        <v>2023</v>
      </c>
      <c r="P85" s="9">
        <v>4</v>
      </c>
      <c r="Q85" s="9" t="s">
        <v>216</v>
      </c>
      <c r="R85" s="9" t="s">
        <v>217</v>
      </c>
      <c r="S85" s="10">
        <v>897.92</v>
      </c>
      <c r="T85" s="45">
        <v>224.48</v>
      </c>
    </row>
    <row r="86" spans="1:20" x14ac:dyDescent="0.35">
      <c r="A86" s="40">
        <v>45027</v>
      </c>
      <c r="B86" s="41" t="s">
        <v>234</v>
      </c>
      <c r="C86" s="41" t="s">
        <v>47</v>
      </c>
      <c r="D86" s="41" t="s">
        <v>42</v>
      </c>
      <c r="E86" s="41" t="s">
        <v>43</v>
      </c>
      <c r="F86" s="41">
        <v>2</v>
      </c>
      <c r="G86" s="42">
        <v>62.96</v>
      </c>
      <c r="H86" s="41" t="s">
        <v>44</v>
      </c>
      <c r="I86" s="41" t="s">
        <v>235</v>
      </c>
      <c r="J86" s="41" t="s">
        <v>55</v>
      </c>
      <c r="K86" s="41" t="s">
        <v>27</v>
      </c>
      <c r="L86" s="41" t="s">
        <v>39</v>
      </c>
      <c r="M86" s="41" t="s">
        <v>49</v>
      </c>
      <c r="N86" s="42">
        <v>81.88</v>
      </c>
      <c r="O86" s="41">
        <v>2023</v>
      </c>
      <c r="P86" s="41">
        <v>4</v>
      </c>
      <c r="Q86" s="41" t="s">
        <v>216</v>
      </c>
      <c r="R86" s="41" t="s">
        <v>217</v>
      </c>
      <c r="S86" s="42">
        <v>81.88</v>
      </c>
      <c r="T86" s="43">
        <v>20.47</v>
      </c>
    </row>
    <row r="87" spans="1:20" x14ac:dyDescent="0.35">
      <c r="A87" s="44">
        <v>45029</v>
      </c>
      <c r="B87" s="9" t="s">
        <v>236</v>
      </c>
      <c r="C87" s="9" t="s">
        <v>47</v>
      </c>
      <c r="D87" s="9" t="s">
        <v>42</v>
      </c>
      <c r="E87" s="9" t="s">
        <v>43</v>
      </c>
      <c r="F87" s="9">
        <v>2</v>
      </c>
      <c r="G87" s="10">
        <v>63.06</v>
      </c>
      <c r="H87" s="9" t="s">
        <v>44</v>
      </c>
      <c r="I87" s="9" t="s">
        <v>237</v>
      </c>
      <c r="J87" s="9" t="s">
        <v>55</v>
      </c>
      <c r="K87" s="9" t="s">
        <v>27</v>
      </c>
      <c r="L87" s="9" t="s">
        <v>66</v>
      </c>
      <c r="M87" s="9" t="s">
        <v>56</v>
      </c>
      <c r="N87" s="10">
        <v>3012.88</v>
      </c>
      <c r="O87" s="9">
        <v>2023</v>
      </c>
      <c r="P87" s="9">
        <v>4</v>
      </c>
      <c r="Q87" s="9" t="s">
        <v>216</v>
      </c>
      <c r="R87" s="9" t="s">
        <v>217</v>
      </c>
      <c r="S87" s="10">
        <v>3012.88</v>
      </c>
      <c r="T87" s="45">
        <v>376.61</v>
      </c>
    </row>
    <row r="88" spans="1:20" x14ac:dyDescent="0.35">
      <c r="A88" s="40">
        <v>45029</v>
      </c>
      <c r="B88" s="41" t="s">
        <v>238</v>
      </c>
      <c r="C88" s="41" t="s">
        <v>47</v>
      </c>
      <c r="D88" s="41" t="s">
        <v>42</v>
      </c>
      <c r="E88" s="41" t="s">
        <v>92</v>
      </c>
      <c r="F88" s="41">
        <v>2</v>
      </c>
      <c r="G88" s="42">
        <v>63.15</v>
      </c>
      <c r="H88" s="41" t="s">
        <v>24</v>
      </c>
      <c r="I88" s="41" t="s">
        <v>239</v>
      </c>
      <c r="J88" s="41" t="s">
        <v>55</v>
      </c>
      <c r="K88" s="41" t="s">
        <v>27</v>
      </c>
      <c r="L88" s="41" t="s">
        <v>39</v>
      </c>
      <c r="M88" s="41" t="s">
        <v>56</v>
      </c>
      <c r="N88" s="42">
        <v>116.72</v>
      </c>
      <c r="O88" s="41">
        <v>2023</v>
      </c>
      <c r="P88" s="41">
        <v>4</v>
      </c>
      <c r="Q88" s="41" t="s">
        <v>216</v>
      </c>
      <c r="R88" s="41" t="s">
        <v>217</v>
      </c>
      <c r="S88" s="42">
        <v>116.72</v>
      </c>
      <c r="T88" s="43">
        <v>58.36</v>
      </c>
    </row>
    <row r="89" spans="1:20" x14ac:dyDescent="0.35">
      <c r="A89" s="44">
        <v>45030</v>
      </c>
      <c r="B89" s="9" t="s">
        <v>240</v>
      </c>
      <c r="C89" s="9" t="s">
        <v>47</v>
      </c>
      <c r="D89" s="9" t="s">
        <v>42</v>
      </c>
      <c r="E89" s="9" t="s">
        <v>92</v>
      </c>
      <c r="F89" s="9">
        <v>2</v>
      </c>
      <c r="G89" s="10">
        <v>63.78</v>
      </c>
      <c r="H89" s="9" t="s">
        <v>35</v>
      </c>
      <c r="I89" s="9" t="s">
        <v>241</v>
      </c>
      <c r="J89" s="9" t="s">
        <v>55</v>
      </c>
      <c r="K89" s="9" t="s">
        <v>27</v>
      </c>
      <c r="L89" s="9" t="s">
        <v>28</v>
      </c>
      <c r="M89" s="9" t="s">
        <v>61</v>
      </c>
      <c r="N89" s="10">
        <v>231.84</v>
      </c>
      <c r="O89" s="9">
        <v>2023</v>
      </c>
      <c r="P89" s="9">
        <v>4</v>
      </c>
      <c r="Q89" s="9" t="s">
        <v>216</v>
      </c>
      <c r="R89" s="9" t="s">
        <v>217</v>
      </c>
      <c r="S89" s="10">
        <v>231.84</v>
      </c>
      <c r="T89" s="45">
        <v>38.64</v>
      </c>
    </row>
    <row r="90" spans="1:20" x14ac:dyDescent="0.35">
      <c r="A90" s="40">
        <v>45031</v>
      </c>
      <c r="B90" s="41" t="s">
        <v>242</v>
      </c>
      <c r="C90" s="41" t="s">
        <v>47</v>
      </c>
      <c r="D90" s="41" t="s">
        <v>42</v>
      </c>
      <c r="E90" s="41" t="s">
        <v>92</v>
      </c>
      <c r="F90" s="41">
        <v>2</v>
      </c>
      <c r="G90" s="42">
        <v>64.25</v>
      </c>
      <c r="H90" s="41" t="s">
        <v>44</v>
      </c>
      <c r="I90" s="41" t="s">
        <v>243</v>
      </c>
      <c r="J90" s="41" t="s">
        <v>55</v>
      </c>
      <c r="K90" s="41" t="s">
        <v>27</v>
      </c>
      <c r="L90" s="41" t="s">
        <v>28</v>
      </c>
      <c r="M90" s="41" t="s">
        <v>79</v>
      </c>
      <c r="N90" s="42">
        <v>695.42</v>
      </c>
      <c r="O90" s="41">
        <v>2023</v>
      </c>
      <c r="P90" s="41">
        <v>4</v>
      </c>
      <c r="Q90" s="41" t="s">
        <v>216</v>
      </c>
      <c r="R90" s="41" t="s">
        <v>217</v>
      </c>
      <c r="S90" s="42">
        <v>695.42</v>
      </c>
      <c r="T90" s="43">
        <v>347.71</v>
      </c>
    </row>
    <row r="91" spans="1:20" x14ac:dyDescent="0.35">
      <c r="A91" s="44">
        <v>45032</v>
      </c>
      <c r="B91" s="9" t="s">
        <v>244</v>
      </c>
      <c r="C91" s="9" t="s">
        <v>47</v>
      </c>
      <c r="D91" s="9" t="s">
        <v>42</v>
      </c>
      <c r="E91" s="9" t="s">
        <v>92</v>
      </c>
      <c r="F91" s="9">
        <v>2</v>
      </c>
      <c r="G91" s="10">
        <v>65.569999999999993</v>
      </c>
      <c r="H91" s="9" t="s">
        <v>24</v>
      </c>
      <c r="I91" s="9" t="s">
        <v>245</v>
      </c>
      <c r="J91" s="9" t="s">
        <v>55</v>
      </c>
      <c r="K91" s="9" t="s">
        <v>27</v>
      </c>
      <c r="L91" s="9" t="s">
        <v>39</v>
      </c>
      <c r="M91" s="9" t="s">
        <v>101</v>
      </c>
      <c r="N91" s="10">
        <v>2778.96</v>
      </c>
      <c r="O91" s="9">
        <v>2023</v>
      </c>
      <c r="P91" s="9">
        <v>4</v>
      </c>
      <c r="Q91" s="9" t="s">
        <v>216</v>
      </c>
      <c r="R91" s="9" t="s">
        <v>217</v>
      </c>
      <c r="S91" s="10">
        <v>2778.96</v>
      </c>
      <c r="T91" s="45">
        <v>347.37</v>
      </c>
    </row>
    <row r="92" spans="1:20" x14ac:dyDescent="0.35">
      <c r="A92" s="40">
        <v>45035</v>
      </c>
      <c r="B92" s="41" t="s">
        <v>246</v>
      </c>
      <c r="C92" s="41" t="s">
        <v>47</v>
      </c>
      <c r="D92" s="41" t="s">
        <v>42</v>
      </c>
      <c r="E92" s="41" t="s">
        <v>92</v>
      </c>
      <c r="F92" s="41">
        <v>2</v>
      </c>
      <c r="G92" s="42">
        <v>66.95</v>
      </c>
      <c r="H92" s="41" t="s">
        <v>64</v>
      </c>
      <c r="I92" s="41" t="s">
        <v>247</v>
      </c>
      <c r="J92" s="41" t="s">
        <v>55</v>
      </c>
      <c r="K92" s="41" t="s">
        <v>27</v>
      </c>
      <c r="L92" s="41" t="s">
        <v>39</v>
      </c>
      <c r="M92" s="41" t="s">
        <v>67</v>
      </c>
      <c r="N92" s="42">
        <v>90.99</v>
      </c>
      <c r="O92" s="41">
        <v>2023</v>
      </c>
      <c r="P92" s="41">
        <v>4</v>
      </c>
      <c r="Q92" s="41" t="s">
        <v>216</v>
      </c>
      <c r="R92" s="41" t="s">
        <v>217</v>
      </c>
      <c r="S92" s="42">
        <v>90.99</v>
      </c>
      <c r="T92" s="43">
        <v>90.99</v>
      </c>
    </row>
    <row r="93" spans="1:20" x14ac:dyDescent="0.35">
      <c r="A93" s="44">
        <v>45035</v>
      </c>
      <c r="B93" s="9" t="s">
        <v>248</v>
      </c>
      <c r="C93" s="9" t="s">
        <v>47</v>
      </c>
      <c r="D93" s="9" t="s">
        <v>42</v>
      </c>
      <c r="E93" s="9" t="s">
        <v>92</v>
      </c>
      <c r="F93" s="9">
        <v>2</v>
      </c>
      <c r="G93" s="10">
        <v>67.02</v>
      </c>
      <c r="H93" s="9" t="s">
        <v>58</v>
      </c>
      <c r="I93" s="9" t="s">
        <v>249</v>
      </c>
      <c r="J93" s="9" t="s">
        <v>55</v>
      </c>
      <c r="K93" s="9" t="s">
        <v>27</v>
      </c>
      <c r="L93" s="9" t="s">
        <v>66</v>
      </c>
      <c r="M93" s="9" t="s">
        <v>67</v>
      </c>
      <c r="N93" s="10">
        <v>133.9</v>
      </c>
      <c r="O93" s="9">
        <v>2023</v>
      </c>
      <c r="P93" s="9">
        <v>4</v>
      </c>
      <c r="Q93" s="9" t="s">
        <v>216</v>
      </c>
      <c r="R93" s="9" t="s">
        <v>217</v>
      </c>
      <c r="S93" s="10">
        <v>133.9</v>
      </c>
      <c r="T93" s="45">
        <v>66.95</v>
      </c>
    </row>
    <row r="94" spans="1:20" x14ac:dyDescent="0.35">
      <c r="A94" s="40">
        <v>45036</v>
      </c>
      <c r="B94" s="41" t="s">
        <v>250</v>
      </c>
      <c r="C94" s="41" t="s">
        <v>47</v>
      </c>
      <c r="D94" s="41" t="s">
        <v>42</v>
      </c>
      <c r="E94" s="41" t="s">
        <v>92</v>
      </c>
      <c r="F94" s="41">
        <v>2</v>
      </c>
      <c r="G94" s="42">
        <v>67.36</v>
      </c>
      <c r="H94" s="41" t="s">
        <v>35</v>
      </c>
      <c r="I94" s="41" t="s">
        <v>251</v>
      </c>
      <c r="J94" s="41" t="s">
        <v>55</v>
      </c>
      <c r="K94" s="41" t="s">
        <v>27</v>
      </c>
      <c r="L94" s="41" t="s">
        <v>66</v>
      </c>
      <c r="M94" s="41" t="s">
        <v>56</v>
      </c>
      <c r="N94" s="42">
        <v>1605.12</v>
      </c>
      <c r="O94" s="41">
        <v>2023</v>
      </c>
      <c r="P94" s="41">
        <v>4</v>
      </c>
      <c r="Q94" s="41" t="s">
        <v>216</v>
      </c>
      <c r="R94" s="41" t="s">
        <v>217</v>
      </c>
      <c r="S94" s="42">
        <v>1605.12</v>
      </c>
      <c r="T94" s="43">
        <v>200.64</v>
      </c>
    </row>
    <row r="95" spans="1:20" x14ac:dyDescent="0.35">
      <c r="A95" s="44">
        <v>45037</v>
      </c>
      <c r="B95" s="9" t="s">
        <v>252</v>
      </c>
      <c r="C95" s="9" t="s">
        <v>47</v>
      </c>
      <c r="D95" s="9" t="s">
        <v>42</v>
      </c>
      <c r="E95" s="9" t="s">
        <v>92</v>
      </c>
      <c r="F95" s="9">
        <v>2</v>
      </c>
      <c r="G95" s="10">
        <v>67.39</v>
      </c>
      <c r="H95" s="9" t="s">
        <v>64</v>
      </c>
      <c r="I95" s="9" t="s">
        <v>253</v>
      </c>
      <c r="J95" s="9" t="s">
        <v>55</v>
      </c>
      <c r="K95" s="9" t="s">
        <v>27</v>
      </c>
      <c r="L95" s="9" t="s">
        <v>39</v>
      </c>
      <c r="M95" s="9" t="s">
        <v>61</v>
      </c>
      <c r="N95" s="10">
        <v>3100.2</v>
      </c>
      <c r="O95" s="9">
        <v>2023</v>
      </c>
      <c r="P95" s="9">
        <v>4</v>
      </c>
      <c r="Q95" s="9" t="s">
        <v>216</v>
      </c>
      <c r="R95" s="9" t="s">
        <v>217</v>
      </c>
      <c r="S95" s="10">
        <v>3100.2</v>
      </c>
      <c r="T95" s="45">
        <v>310.02</v>
      </c>
    </row>
    <row r="96" spans="1:20" x14ac:dyDescent="0.35">
      <c r="A96" s="40">
        <v>45038</v>
      </c>
      <c r="B96" s="41" t="s">
        <v>254</v>
      </c>
      <c r="C96" s="41" t="s">
        <v>47</v>
      </c>
      <c r="D96" s="41" t="s">
        <v>42</v>
      </c>
      <c r="E96" s="41" t="s">
        <v>92</v>
      </c>
      <c r="F96" s="41">
        <v>2</v>
      </c>
      <c r="G96" s="42">
        <v>67.61</v>
      </c>
      <c r="H96" s="41" t="s">
        <v>24</v>
      </c>
      <c r="I96" s="41" t="s">
        <v>255</v>
      </c>
      <c r="J96" s="41" t="s">
        <v>55</v>
      </c>
      <c r="K96" s="41" t="s">
        <v>27</v>
      </c>
      <c r="L96" s="41" t="s">
        <v>66</v>
      </c>
      <c r="M96" s="41" t="s">
        <v>79</v>
      </c>
      <c r="N96" s="42">
        <v>1876.1</v>
      </c>
      <c r="O96" s="41">
        <v>2023</v>
      </c>
      <c r="P96" s="41">
        <v>4</v>
      </c>
      <c r="Q96" s="41" t="s">
        <v>216</v>
      </c>
      <c r="R96" s="41" t="s">
        <v>217</v>
      </c>
      <c r="S96" s="42">
        <v>1876.1</v>
      </c>
      <c r="T96" s="43">
        <v>375.22</v>
      </c>
    </row>
    <row r="97" spans="1:20" x14ac:dyDescent="0.35">
      <c r="A97" s="44">
        <v>45038</v>
      </c>
      <c r="B97" s="9" t="s">
        <v>256</v>
      </c>
      <c r="C97" s="9" t="s">
        <v>47</v>
      </c>
      <c r="D97" s="9" t="s">
        <v>42</v>
      </c>
      <c r="E97" s="9" t="s">
        <v>92</v>
      </c>
      <c r="F97" s="9">
        <v>2</v>
      </c>
      <c r="G97" s="10">
        <v>68.88</v>
      </c>
      <c r="H97" s="9" t="s">
        <v>58</v>
      </c>
      <c r="I97" s="9" t="s">
        <v>257</v>
      </c>
      <c r="J97" s="9" t="s">
        <v>55</v>
      </c>
      <c r="K97" s="9" t="s">
        <v>27</v>
      </c>
      <c r="L97" s="9" t="s">
        <v>28</v>
      </c>
      <c r="M97" s="9" t="s">
        <v>79</v>
      </c>
      <c r="N97" s="10">
        <v>19.88</v>
      </c>
      <c r="O97" s="9">
        <v>2023</v>
      </c>
      <c r="P97" s="9">
        <v>4</v>
      </c>
      <c r="Q97" s="9" t="s">
        <v>216</v>
      </c>
      <c r="R97" s="9" t="s">
        <v>217</v>
      </c>
      <c r="S97" s="10">
        <v>19.88</v>
      </c>
      <c r="T97" s="45">
        <v>19.88</v>
      </c>
    </row>
    <row r="98" spans="1:20" x14ac:dyDescent="0.35">
      <c r="A98" s="40">
        <v>45040</v>
      </c>
      <c r="B98" s="41" t="s">
        <v>127</v>
      </c>
      <c r="C98" s="41" t="s">
        <v>47</v>
      </c>
      <c r="D98" s="41" t="s">
        <v>42</v>
      </c>
      <c r="E98" s="41" t="s">
        <v>92</v>
      </c>
      <c r="F98" s="41">
        <v>2</v>
      </c>
      <c r="G98" s="42">
        <v>69.33</v>
      </c>
      <c r="H98" s="41" t="s">
        <v>58</v>
      </c>
      <c r="I98" s="41" t="s">
        <v>258</v>
      </c>
      <c r="J98" s="41" t="s">
        <v>55</v>
      </c>
      <c r="K98" s="41" t="s">
        <v>27</v>
      </c>
      <c r="L98" s="41" t="s">
        <v>39</v>
      </c>
      <c r="M98" s="41" t="s">
        <v>29</v>
      </c>
      <c r="N98" s="42">
        <v>429.78</v>
      </c>
      <c r="O98" s="41">
        <v>2023</v>
      </c>
      <c r="P98" s="41">
        <v>4</v>
      </c>
      <c r="Q98" s="41" t="s">
        <v>216</v>
      </c>
      <c r="R98" s="41" t="s">
        <v>217</v>
      </c>
      <c r="S98" s="42">
        <v>429.78</v>
      </c>
      <c r="T98" s="43">
        <v>214.89</v>
      </c>
    </row>
    <row r="99" spans="1:20" x14ac:dyDescent="0.35">
      <c r="A99" s="44">
        <v>45041</v>
      </c>
      <c r="B99" s="9" t="s">
        <v>259</v>
      </c>
      <c r="C99" s="9" t="s">
        <v>47</v>
      </c>
      <c r="D99" s="9" t="s">
        <v>42</v>
      </c>
      <c r="E99" s="9" t="s">
        <v>92</v>
      </c>
      <c r="F99" s="9">
        <v>2</v>
      </c>
      <c r="G99" s="10">
        <v>69.930000000000007</v>
      </c>
      <c r="H99" s="9" t="s">
        <v>35</v>
      </c>
      <c r="I99" s="9" t="s">
        <v>260</v>
      </c>
      <c r="J99" s="9" t="s">
        <v>55</v>
      </c>
      <c r="K99" s="9" t="s">
        <v>27</v>
      </c>
      <c r="L99" s="9" t="s">
        <v>28</v>
      </c>
      <c r="M99" s="9" t="s">
        <v>49</v>
      </c>
      <c r="N99" s="10">
        <v>405.66</v>
      </c>
      <c r="O99" s="9">
        <v>2023</v>
      </c>
      <c r="P99" s="9">
        <v>4</v>
      </c>
      <c r="Q99" s="9" t="s">
        <v>216</v>
      </c>
      <c r="R99" s="9" t="s">
        <v>217</v>
      </c>
      <c r="S99" s="10">
        <v>405.66</v>
      </c>
      <c r="T99" s="45">
        <v>67.61</v>
      </c>
    </row>
    <row r="100" spans="1:20" x14ac:dyDescent="0.35">
      <c r="A100" s="40">
        <v>45044</v>
      </c>
      <c r="B100" s="41" t="s">
        <v>261</v>
      </c>
      <c r="C100" s="41" t="s">
        <v>47</v>
      </c>
      <c r="D100" s="41" t="s">
        <v>42</v>
      </c>
      <c r="E100" s="41" t="s">
        <v>92</v>
      </c>
      <c r="F100" s="41">
        <v>2</v>
      </c>
      <c r="G100" s="42">
        <v>72</v>
      </c>
      <c r="H100" s="41" t="s">
        <v>64</v>
      </c>
      <c r="I100" s="41" t="s">
        <v>262</v>
      </c>
      <c r="J100" s="41" t="s">
        <v>55</v>
      </c>
      <c r="K100" s="41" t="s">
        <v>27</v>
      </c>
      <c r="L100" s="41" t="s">
        <v>39</v>
      </c>
      <c r="M100" s="41" t="s">
        <v>61</v>
      </c>
      <c r="N100" s="42">
        <v>1088.3499999999999</v>
      </c>
      <c r="O100" s="41">
        <v>2023</v>
      </c>
      <c r="P100" s="41">
        <v>4</v>
      </c>
      <c r="Q100" s="41" t="s">
        <v>216</v>
      </c>
      <c r="R100" s="41" t="s">
        <v>217</v>
      </c>
      <c r="S100" s="42">
        <v>1088.3499999999999</v>
      </c>
      <c r="T100" s="43">
        <v>217.67</v>
      </c>
    </row>
    <row r="101" spans="1:20" x14ac:dyDescent="0.35">
      <c r="A101" s="44">
        <v>45046</v>
      </c>
      <c r="B101" s="9" t="s">
        <v>263</v>
      </c>
      <c r="C101" s="9" t="s">
        <v>47</v>
      </c>
      <c r="D101" s="9" t="s">
        <v>42</v>
      </c>
      <c r="E101" s="9" t="s">
        <v>92</v>
      </c>
      <c r="F101" s="9">
        <v>2</v>
      </c>
      <c r="G101" s="10">
        <v>72.37</v>
      </c>
      <c r="H101" s="9" t="s">
        <v>58</v>
      </c>
      <c r="I101" s="9" t="s">
        <v>264</v>
      </c>
      <c r="J101" s="9" t="s">
        <v>55</v>
      </c>
      <c r="K101" s="9" t="s">
        <v>27</v>
      </c>
      <c r="L101" s="9" t="s">
        <v>39</v>
      </c>
      <c r="M101" s="9" t="s">
        <v>101</v>
      </c>
      <c r="N101" s="10">
        <v>2146.06</v>
      </c>
      <c r="O101" s="9">
        <v>2023</v>
      </c>
      <c r="P101" s="9">
        <v>4</v>
      </c>
      <c r="Q101" s="9" t="s">
        <v>216</v>
      </c>
      <c r="R101" s="9" t="s">
        <v>217</v>
      </c>
      <c r="S101" s="10">
        <v>2146.06</v>
      </c>
      <c r="T101" s="45">
        <v>306.58</v>
      </c>
    </row>
    <row r="102" spans="1:20" x14ac:dyDescent="0.35">
      <c r="A102" s="40">
        <v>45047</v>
      </c>
      <c r="B102" s="41" t="s">
        <v>265</v>
      </c>
      <c r="C102" s="41" t="s">
        <v>47</v>
      </c>
      <c r="D102" s="41" t="s">
        <v>42</v>
      </c>
      <c r="E102" s="41" t="s">
        <v>92</v>
      </c>
      <c r="F102" s="41">
        <v>2</v>
      </c>
      <c r="G102" s="42">
        <v>72.55</v>
      </c>
      <c r="H102" s="41" t="s">
        <v>64</v>
      </c>
      <c r="I102" s="41" t="s">
        <v>266</v>
      </c>
      <c r="J102" s="41" t="s">
        <v>55</v>
      </c>
      <c r="K102" s="41" t="s">
        <v>27</v>
      </c>
      <c r="L102" s="41" t="s">
        <v>66</v>
      </c>
      <c r="M102" s="41" t="s">
        <v>29</v>
      </c>
      <c r="N102" s="42">
        <v>251.84</v>
      </c>
      <c r="O102" s="41">
        <v>2023</v>
      </c>
      <c r="P102" s="41">
        <v>5</v>
      </c>
      <c r="Q102" s="41" t="s">
        <v>267</v>
      </c>
      <c r="R102" s="41" t="s">
        <v>217</v>
      </c>
      <c r="S102" s="42">
        <v>251.84</v>
      </c>
      <c r="T102" s="43">
        <v>62.96</v>
      </c>
    </row>
    <row r="103" spans="1:20" x14ac:dyDescent="0.35">
      <c r="A103" s="44">
        <v>45049</v>
      </c>
      <c r="B103" s="9" t="s">
        <v>268</v>
      </c>
      <c r="C103" s="9" t="s">
        <v>47</v>
      </c>
      <c r="D103" s="9" t="s">
        <v>42</v>
      </c>
      <c r="E103" s="9" t="s">
        <v>92</v>
      </c>
      <c r="F103" s="9">
        <v>2</v>
      </c>
      <c r="G103" s="10">
        <v>72.67</v>
      </c>
      <c r="H103" s="9" t="s">
        <v>58</v>
      </c>
      <c r="I103" s="9" t="s">
        <v>269</v>
      </c>
      <c r="J103" s="9" t="s">
        <v>55</v>
      </c>
      <c r="K103" s="9" t="s">
        <v>27</v>
      </c>
      <c r="L103" s="9" t="s">
        <v>28</v>
      </c>
      <c r="M103" s="9" t="s">
        <v>67</v>
      </c>
      <c r="N103" s="10">
        <v>3636.3</v>
      </c>
      <c r="O103" s="9">
        <v>2023</v>
      </c>
      <c r="P103" s="9">
        <v>5</v>
      </c>
      <c r="Q103" s="9" t="s">
        <v>267</v>
      </c>
      <c r="R103" s="9" t="s">
        <v>217</v>
      </c>
      <c r="S103" s="10">
        <v>3636.3</v>
      </c>
      <c r="T103" s="45">
        <v>363.63</v>
      </c>
    </row>
    <row r="104" spans="1:20" x14ac:dyDescent="0.35">
      <c r="A104" s="40">
        <v>45049</v>
      </c>
      <c r="B104" s="41" t="s">
        <v>153</v>
      </c>
      <c r="C104" s="41" t="s">
        <v>47</v>
      </c>
      <c r="D104" s="41" t="s">
        <v>42</v>
      </c>
      <c r="E104" s="41" t="s">
        <v>92</v>
      </c>
      <c r="F104" s="41">
        <v>2</v>
      </c>
      <c r="G104" s="42">
        <v>73</v>
      </c>
      <c r="H104" s="41" t="s">
        <v>64</v>
      </c>
      <c r="I104" s="41" t="s">
        <v>270</v>
      </c>
      <c r="J104" s="41" t="s">
        <v>55</v>
      </c>
      <c r="K104" s="41" t="s">
        <v>27</v>
      </c>
      <c r="L104" s="41" t="s">
        <v>39</v>
      </c>
      <c r="M104" s="41" t="s">
        <v>67</v>
      </c>
      <c r="N104" s="42">
        <v>2876.4</v>
      </c>
      <c r="O104" s="41">
        <v>2023</v>
      </c>
      <c r="P104" s="41">
        <v>5</v>
      </c>
      <c r="Q104" s="41" t="s">
        <v>267</v>
      </c>
      <c r="R104" s="41" t="s">
        <v>217</v>
      </c>
      <c r="S104" s="42">
        <v>2876.4</v>
      </c>
      <c r="T104" s="43">
        <v>359.55</v>
      </c>
    </row>
    <row r="105" spans="1:20" x14ac:dyDescent="0.35">
      <c r="A105" s="44">
        <v>45050</v>
      </c>
      <c r="B105" s="9" t="s">
        <v>271</v>
      </c>
      <c r="C105" s="9" t="s">
        <v>47</v>
      </c>
      <c r="D105" s="9" t="s">
        <v>42</v>
      </c>
      <c r="E105" s="9" t="s">
        <v>92</v>
      </c>
      <c r="F105" s="9">
        <v>2</v>
      </c>
      <c r="G105" s="10">
        <v>73.62</v>
      </c>
      <c r="H105" s="9" t="s">
        <v>58</v>
      </c>
      <c r="I105" s="9" t="s">
        <v>272</v>
      </c>
      <c r="J105" s="9" t="s">
        <v>55</v>
      </c>
      <c r="K105" s="9" t="s">
        <v>27</v>
      </c>
      <c r="L105" s="9" t="s">
        <v>66</v>
      </c>
      <c r="M105" s="9" t="s">
        <v>56</v>
      </c>
      <c r="N105" s="10">
        <v>466.24</v>
      </c>
      <c r="O105" s="9">
        <v>2023</v>
      </c>
      <c r="P105" s="9">
        <v>5</v>
      </c>
      <c r="Q105" s="9" t="s">
        <v>267</v>
      </c>
      <c r="R105" s="9" t="s">
        <v>217</v>
      </c>
      <c r="S105" s="10">
        <v>466.24</v>
      </c>
      <c r="T105" s="45">
        <v>58.28</v>
      </c>
    </row>
    <row r="106" spans="1:20" x14ac:dyDescent="0.35">
      <c r="A106" s="40">
        <v>45051</v>
      </c>
      <c r="B106" s="41" t="s">
        <v>273</v>
      </c>
      <c r="C106" s="41" t="s">
        <v>47</v>
      </c>
      <c r="D106" s="41" t="s">
        <v>42</v>
      </c>
      <c r="E106" s="41" t="s">
        <v>92</v>
      </c>
      <c r="F106" s="41">
        <v>3</v>
      </c>
      <c r="G106" s="42">
        <v>75.44</v>
      </c>
      <c r="H106" s="41" t="s">
        <v>35</v>
      </c>
      <c r="I106" s="41" t="s">
        <v>274</v>
      </c>
      <c r="J106" s="41" t="s">
        <v>55</v>
      </c>
      <c r="K106" s="41" t="s">
        <v>27</v>
      </c>
      <c r="L106" s="41" t="s">
        <v>39</v>
      </c>
      <c r="M106" s="41" t="s">
        <v>61</v>
      </c>
      <c r="N106" s="42">
        <v>132.06</v>
      </c>
      <c r="O106" s="41">
        <v>2023</v>
      </c>
      <c r="P106" s="41">
        <v>5</v>
      </c>
      <c r="Q106" s="41" t="s">
        <v>267</v>
      </c>
      <c r="R106" s="41" t="s">
        <v>217</v>
      </c>
      <c r="S106" s="42">
        <v>132.06</v>
      </c>
      <c r="T106" s="43">
        <v>132.06</v>
      </c>
    </row>
    <row r="107" spans="1:20" x14ac:dyDescent="0.35">
      <c r="A107" s="44">
        <v>45052</v>
      </c>
      <c r="B107" s="9" t="s">
        <v>275</v>
      </c>
      <c r="C107" s="9" t="s">
        <v>47</v>
      </c>
      <c r="D107" s="9" t="s">
        <v>42</v>
      </c>
      <c r="E107" s="9" t="s">
        <v>92</v>
      </c>
      <c r="F107" s="9">
        <v>3</v>
      </c>
      <c r="G107" s="10">
        <v>75.73</v>
      </c>
      <c r="H107" s="9" t="s">
        <v>35</v>
      </c>
      <c r="I107" s="9" t="s">
        <v>276</v>
      </c>
      <c r="J107" s="9" t="s">
        <v>55</v>
      </c>
      <c r="K107" s="9" t="s">
        <v>27</v>
      </c>
      <c r="L107" s="9" t="s">
        <v>39</v>
      </c>
      <c r="M107" s="9" t="s">
        <v>79</v>
      </c>
      <c r="N107" s="10">
        <v>523.86</v>
      </c>
      <c r="O107" s="9">
        <v>2023</v>
      </c>
      <c r="P107" s="9">
        <v>5</v>
      </c>
      <c r="Q107" s="9" t="s">
        <v>267</v>
      </c>
      <c r="R107" s="9" t="s">
        <v>217</v>
      </c>
      <c r="S107" s="10">
        <v>523.86</v>
      </c>
      <c r="T107" s="45">
        <v>174.62</v>
      </c>
    </row>
    <row r="108" spans="1:20" x14ac:dyDescent="0.35">
      <c r="A108" s="40">
        <v>45054</v>
      </c>
      <c r="B108" s="41" t="s">
        <v>277</v>
      </c>
      <c r="C108" s="41" t="s">
        <v>47</v>
      </c>
      <c r="D108" s="41" t="s">
        <v>42</v>
      </c>
      <c r="E108" s="41" t="s">
        <v>92</v>
      </c>
      <c r="F108" s="41">
        <v>3</v>
      </c>
      <c r="G108" s="42">
        <v>76.92</v>
      </c>
      <c r="H108" s="41" t="s">
        <v>58</v>
      </c>
      <c r="I108" s="41" t="s">
        <v>278</v>
      </c>
      <c r="J108" s="41" t="s">
        <v>55</v>
      </c>
      <c r="K108" s="41" t="s">
        <v>27</v>
      </c>
      <c r="L108" s="41" t="s">
        <v>66</v>
      </c>
      <c r="M108" s="41" t="s">
        <v>29</v>
      </c>
      <c r="N108" s="42">
        <v>1633.25</v>
      </c>
      <c r="O108" s="41">
        <v>2023</v>
      </c>
      <c r="P108" s="41">
        <v>5</v>
      </c>
      <c r="Q108" s="41" t="s">
        <v>267</v>
      </c>
      <c r="R108" s="41" t="s">
        <v>217</v>
      </c>
      <c r="S108" s="42">
        <v>1633.25</v>
      </c>
      <c r="T108" s="43">
        <v>326.64999999999998</v>
      </c>
    </row>
    <row r="109" spans="1:20" x14ac:dyDescent="0.35">
      <c r="A109" s="44">
        <v>45055</v>
      </c>
      <c r="B109" s="9" t="s">
        <v>279</v>
      </c>
      <c r="C109" s="9" t="s">
        <v>47</v>
      </c>
      <c r="D109" s="9" t="s">
        <v>42</v>
      </c>
      <c r="E109" s="9" t="s">
        <v>92</v>
      </c>
      <c r="F109" s="9">
        <v>3</v>
      </c>
      <c r="G109" s="10">
        <v>77.17</v>
      </c>
      <c r="H109" s="9" t="s">
        <v>64</v>
      </c>
      <c r="I109" s="9" t="s">
        <v>280</v>
      </c>
      <c r="J109" s="9" t="s">
        <v>55</v>
      </c>
      <c r="K109" s="9" t="s">
        <v>27</v>
      </c>
      <c r="L109" s="9" t="s">
        <v>28</v>
      </c>
      <c r="M109" s="9" t="s">
        <v>49</v>
      </c>
      <c r="N109" s="10">
        <v>577.44000000000005</v>
      </c>
      <c r="O109" s="9">
        <v>2023</v>
      </c>
      <c r="P109" s="9">
        <v>5</v>
      </c>
      <c r="Q109" s="9" t="s">
        <v>267</v>
      </c>
      <c r="R109" s="9" t="s">
        <v>217</v>
      </c>
      <c r="S109" s="10">
        <v>577.44000000000005</v>
      </c>
      <c r="T109" s="45">
        <v>96.24</v>
      </c>
    </row>
    <row r="110" spans="1:20" x14ac:dyDescent="0.35">
      <c r="A110" s="40">
        <v>45057</v>
      </c>
      <c r="B110" s="41" t="s">
        <v>281</v>
      </c>
      <c r="C110" s="41" t="s">
        <v>47</v>
      </c>
      <c r="D110" s="41" t="s">
        <v>42</v>
      </c>
      <c r="E110" s="41" t="s">
        <v>92</v>
      </c>
      <c r="F110" s="41">
        <v>3</v>
      </c>
      <c r="G110" s="42">
        <v>77.63</v>
      </c>
      <c r="H110" s="41" t="s">
        <v>64</v>
      </c>
      <c r="I110" s="41" t="s">
        <v>282</v>
      </c>
      <c r="J110" s="41" t="s">
        <v>55</v>
      </c>
      <c r="K110" s="41" t="s">
        <v>27</v>
      </c>
      <c r="L110" s="41" t="s">
        <v>66</v>
      </c>
      <c r="M110" s="41" t="s">
        <v>56</v>
      </c>
      <c r="N110" s="42">
        <v>505.89</v>
      </c>
      <c r="O110" s="41">
        <v>2023</v>
      </c>
      <c r="P110" s="41">
        <v>5</v>
      </c>
      <c r="Q110" s="41" t="s">
        <v>267</v>
      </c>
      <c r="R110" s="41" t="s">
        <v>217</v>
      </c>
      <c r="S110" s="42">
        <v>505.89</v>
      </c>
      <c r="T110" s="43">
        <v>168.63</v>
      </c>
    </row>
    <row r="111" spans="1:20" x14ac:dyDescent="0.35">
      <c r="A111" s="44">
        <v>45059</v>
      </c>
      <c r="B111" s="9" t="s">
        <v>283</v>
      </c>
      <c r="C111" s="9" t="s">
        <v>47</v>
      </c>
      <c r="D111" s="9" t="s">
        <v>42</v>
      </c>
      <c r="E111" s="9" t="s">
        <v>92</v>
      </c>
      <c r="F111" s="9">
        <v>3</v>
      </c>
      <c r="G111" s="10">
        <v>78.56</v>
      </c>
      <c r="H111" s="9" t="s">
        <v>35</v>
      </c>
      <c r="I111" s="9" t="s">
        <v>284</v>
      </c>
      <c r="J111" s="9" t="s">
        <v>55</v>
      </c>
      <c r="K111" s="9" t="s">
        <v>27</v>
      </c>
      <c r="L111" s="9" t="s">
        <v>39</v>
      </c>
      <c r="M111" s="9" t="s">
        <v>79</v>
      </c>
      <c r="N111" s="10">
        <v>1806.6</v>
      </c>
      <c r="O111" s="9">
        <v>2023</v>
      </c>
      <c r="P111" s="9">
        <v>5</v>
      </c>
      <c r="Q111" s="9" t="s">
        <v>267</v>
      </c>
      <c r="R111" s="9" t="s">
        <v>217</v>
      </c>
      <c r="S111" s="10">
        <v>1806.6</v>
      </c>
      <c r="T111" s="45">
        <v>301.10000000000002</v>
      </c>
    </row>
    <row r="112" spans="1:20" x14ac:dyDescent="0.35">
      <c r="A112" s="40">
        <v>45061</v>
      </c>
      <c r="B112" s="41" t="s">
        <v>285</v>
      </c>
      <c r="C112" s="41" t="s">
        <v>47</v>
      </c>
      <c r="D112" s="41" t="s">
        <v>42</v>
      </c>
      <c r="E112" s="41" t="s">
        <v>92</v>
      </c>
      <c r="F112" s="41">
        <v>3</v>
      </c>
      <c r="G112" s="42">
        <v>78.56</v>
      </c>
      <c r="H112" s="41" t="s">
        <v>24</v>
      </c>
      <c r="I112" s="41" t="s">
        <v>286</v>
      </c>
      <c r="J112" s="41" t="s">
        <v>55</v>
      </c>
      <c r="K112" s="41" t="s">
        <v>27</v>
      </c>
      <c r="L112" s="41" t="s">
        <v>28</v>
      </c>
      <c r="M112" s="41" t="s">
        <v>29</v>
      </c>
      <c r="N112" s="42">
        <v>2388.6999999999998</v>
      </c>
      <c r="O112" s="41">
        <v>2023</v>
      </c>
      <c r="P112" s="41">
        <v>5</v>
      </c>
      <c r="Q112" s="41" t="s">
        <v>267</v>
      </c>
      <c r="R112" s="41" t="s">
        <v>217</v>
      </c>
      <c r="S112" s="42">
        <v>2388.6999999999998</v>
      </c>
      <c r="T112" s="43">
        <v>238.87</v>
      </c>
    </row>
    <row r="113" spans="1:20" x14ac:dyDescent="0.35">
      <c r="A113" s="44">
        <v>45061</v>
      </c>
      <c r="B113" s="9" t="s">
        <v>287</v>
      </c>
      <c r="C113" s="9" t="s">
        <v>47</v>
      </c>
      <c r="D113" s="9" t="s">
        <v>42</v>
      </c>
      <c r="E113" s="9" t="s">
        <v>92</v>
      </c>
      <c r="F113" s="9">
        <v>3</v>
      </c>
      <c r="G113" s="10">
        <v>79.33</v>
      </c>
      <c r="H113" s="9" t="s">
        <v>58</v>
      </c>
      <c r="I113" s="9" t="s">
        <v>288</v>
      </c>
      <c r="J113" s="9" t="s">
        <v>55</v>
      </c>
      <c r="K113" s="9" t="s">
        <v>27</v>
      </c>
      <c r="L113" s="9" t="s">
        <v>39</v>
      </c>
      <c r="M113" s="9" t="s">
        <v>29</v>
      </c>
      <c r="N113" s="10">
        <v>711.13</v>
      </c>
      <c r="O113" s="9">
        <v>2023</v>
      </c>
      <c r="P113" s="9">
        <v>5</v>
      </c>
      <c r="Q113" s="9" t="s">
        <v>267</v>
      </c>
      <c r="R113" s="9" t="s">
        <v>217</v>
      </c>
      <c r="S113" s="10">
        <v>711.13</v>
      </c>
      <c r="T113" s="45">
        <v>101.59</v>
      </c>
    </row>
    <row r="114" spans="1:20" x14ac:dyDescent="0.35">
      <c r="A114" s="40">
        <v>45062</v>
      </c>
      <c r="B114" s="41" t="s">
        <v>289</v>
      </c>
      <c r="C114" s="41" t="s">
        <v>47</v>
      </c>
      <c r="D114" s="41" t="s">
        <v>42</v>
      </c>
      <c r="E114" s="41" t="s">
        <v>92</v>
      </c>
      <c r="F114" s="41">
        <v>3</v>
      </c>
      <c r="G114" s="42">
        <v>79.63</v>
      </c>
      <c r="H114" s="41" t="s">
        <v>35</v>
      </c>
      <c r="I114" s="41" t="s">
        <v>290</v>
      </c>
      <c r="J114" s="41" t="s">
        <v>55</v>
      </c>
      <c r="K114" s="41" t="s">
        <v>27</v>
      </c>
      <c r="L114" s="41" t="s">
        <v>28</v>
      </c>
      <c r="M114" s="41" t="s">
        <v>49</v>
      </c>
      <c r="N114" s="42">
        <v>1486.05</v>
      </c>
      <c r="O114" s="41">
        <v>2023</v>
      </c>
      <c r="P114" s="41">
        <v>5</v>
      </c>
      <c r="Q114" s="41" t="s">
        <v>267</v>
      </c>
      <c r="R114" s="41" t="s">
        <v>217</v>
      </c>
      <c r="S114" s="42">
        <v>1486.05</v>
      </c>
      <c r="T114" s="43">
        <v>297.20999999999998</v>
      </c>
    </row>
    <row r="115" spans="1:20" x14ac:dyDescent="0.35">
      <c r="A115" s="44">
        <v>45062</v>
      </c>
      <c r="B115" s="9" t="s">
        <v>291</v>
      </c>
      <c r="C115" s="9" t="s">
        <v>47</v>
      </c>
      <c r="D115" s="9" t="s">
        <v>42</v>
      </c>
      <c r="E115" s="9" t="s">
        <v>92</v>
      </c>
      <c r="F115" s="9">
        <v>3</v>
      </c>
      <c r="G115" s="10">
        <v>80.27</v>
      </c>
      <c r="H115" s="9" t="s">
        <v>24</v>
      </c>
      <c r="I115" s="9" t="s">
        <v>292</v>
      </c>
      <c r="J115" s="9" t="s">
        <v>55</v>
      </c>
      <c r="K115" s="9" t="s">
        <v>27</v>
      </c>
      <c r="L115" s="9" t="s">
        <v>66</v>
      </c>
      <c r="M115" s="9" t="s">
        <v>49</v>
      </c>
      <c r="N115" s="10">
        <v>1873.2</v>
      </c>
      <c r="O115" s="9">
        <v>2023</v>
      </c>
      <c r="P115" s="9">
        <v>5</v>
      </c>
      <c r="Q115" s="9" t="s">
        <v>267</v>
      </c>
      <c r="R115" s="9" t="s">
        <v>217</v>
      </c>
      <c r="S115" s="10">
        <v>1873.2</v>
      </c>
      <c r="T115" s="45">
        <v>312.2</v>
      </c>
    </row>
    <row r="116" spans="1:20" x14ac:dyDescent="0.35">
      <c r="A116" s="40">
        <v>45063</v>
      </c>
      <c r="B116" s="41" t="s">
        <v>131</v>
      </c>
      <c r="C116" s="41" t="s">
        <v>86</v>
      </c>
      <c r="D116" s="41" t="s">
        <v>42</v>
      </c>
      <c r="E116" s="41" t="s">
        <v>92</v>
      </c>
      <c r="F116" s="41">
        <v>3</v>
      </c>
      <c r="G116" s="42">
        <v>80.34</v>
      </c>
      <c r="H116" s="41" t="s">
        <v>35</v>
      </c>
      <c r="I116" s="41" t="s">
        <v>293</v>
      </c>
      <c r="J116" s="41" t="s">
        <v>55</v>
      </c>
      <c r="K116" s="41" t="s">
        <v>27</v>
      </c>
      <c r="L116" s="41" t="s">
        <v>66</v>
      </c>
      <c r="M116" s="41" t="s">
        <v>67</v>
      </c>
      <c r="N116" s="42">
        <v>3567.4</v>
      </c>
      <c r="O116" s="41">
        <v>2023</v>
      </c>
      <c r="P116" s="41">
        <v>5</v>
      </c>
      <c r="Q116" s="41" t="s">
        <v>267</v>
      </c>
      <c r="R116" s="41" t="s">
        <v>217</v>
      </c>
      <c r="S116" s="42">
        <v>3567.4</v>
      </c>
      <c r="T116" s="43">
        <v>356.74</v>
      </c>
    </row>
    <row r="117" spans="1:20" x14ac:dyDescent="0.35">
      <c r="A117" s="44">
        <v>45065</v>
      </c>
      <c r="B117" s="9" t="s">
        <v>294</v>
      </c>
      <c r="C117" s="9" t="s">
        <v>86</v>
      </c>
      <c r="D117" s="9" t="s">
        <v>42</v>
      </c>
      <c r="E117" s="9" t="s">
        <v>92</v>
      </c>
      <c r="F117" s="9">
        <v>3</v>
      </c>
      <c r="G117" s="10">
        <v>80.44</v>
      </c>
      <c r="H117" s="9" t="s">
        <v>64</v>
      </c>
      <c r="I117" s="9" t="s">
        <v>295</v>
      </c>
      <c r="J117" s="9" t="s">
        <v>55</v>
      </c>
      <c r="K117" s="9" t="s">
        <v>27</v>
      </c>
      <c r="L117" s="9" t="s">
        <v>39</v>
      </c>
      <c r="M117" s="9" t="s">
        <v>61</v>
      </c>
      <c r="N117" s="10">
        <v>607.29999999999995</v>
      </c>
      <c r="O117" s="9">
        <v>2023</v>
      </c>
      <c r="P117" s="9">
        <v>5</v>
      </c>
      <c r="Q117" s="9" t="s">
        <v>267</v>
      </c>
      <c r="R117" s="9" t="s">
        <v>217</v>
      </c>
      <c r="S117" s="10">
        <v>607.29999999999995</v>
      </c>
      <c r="T117" s="45">
        <v>303.64999999999998</v>
      </c>
    </row>
    <row r="118" spans="1:20" x14ac:dyDescent="0.35">
      <c r="A118" s="40">
        <v>45066</v>
      </c>
      <c r="B118" s="41" t="s">
        <v>296</v>
      </c>
      <c r="C118" s="41" t="s">
        <v>86</v>
      </c>
      <c r="D118" s="41" t="s">
        <v>42</v>
      </c>
      <c r="E118" s="41" t="s">
        <v>92</v>
      </c>
      <c r="F118" s="41">
        <v>3</v>
      </c>
      <c r="G118" s="42">
        <v>82.18</v>
      </c>
      <c r="H118" s="41" t="s">
        <v>64</v>
      </c>
      <c r="I118" s="41" t="s">
        <v>297</v>
      </c>
      <c r="J118" s="41" t="s">
        <v>55</v>
      </c>
      <c r="K118" s="41" t="s">
        <v>27</v>
      </c>
      <c r="L118" s="41" t="s">
        <v>28</v>
      </c>
      <c r="M118" s="41" t="s">
        <v>79</v>
      </c>
      <c r="N118" s="42">
        <v>2949.9</v>
      </c>
      <c r="O118" s="41">
        <v>2023</v>
      </c>
      <c r="P118" s="41">
        <v>5</v>
      </c>
      <c r="Q118" s="41" t="s">
        <v>267</v>
      </c>
      <c r="R118" s="41" t="s">
        <v>217</v>
      </c>
      <c r="S118" s="42">
        <v>2949.9</v>
      </c>
      <c r="T118" s="43">
        <v>294.99</v>
      </c>
    </row>
    <row r="119" spans="1:20" x14ac:dyDescent="0.35">
      <c r="A119" s="44">
        <v>45066</v>
      </c>
      <c r="B119" s="9" t="s">
        <v>57</v>
      </c>
      <c r="C119" s="9" t="s">
        <v>86</v>
      </c>
      <c r="D119" s="9" t="s">
        <v>42</v>
      </c>
      <c r="E119" s="9" t="s">
        <v>92</v>
      </c>
      <c r="F119" s="9">
        <v>3</v>
      </c>
      <c r="G119" s="10">
        <v>82.48</v>
      </c>
      <c r="H119" s="9" t="s">
        <v>64</v>
      </c>
      <c r="I119" s="9" t="s">
        <v>298</v>
      </c>
      <c r="J119" s="9" t="s">
        <v>55</v>
      </c>
      <c r="K119" s="9" t="s">
        <v>27</v>
      </c>
      <c r="L119" s="9" t="s">
        <v>28</v>
      </c>
      <c r="M119" s="9" t="s">
        <v>79</v>
      </c>
      <c r="N119" s="10">
        <v>1557.81</v>
      </c>
      <c r="O119" s="9">
        <v>2023</v>
      </c>
      <c r="P119" s="9">
        <v>5</v>
      </c>
      <c r="Q119" s="9" t="s">
        <v>267</v>
      </c>
      <c r="R119" s="9" t="s">
        <v>217</v>
      </c>
      <c r="S119" s="10">
        <v>1557.81</v>
      </c>
      <c r="T119" s="45">
        <v>173.09</v>
      </c>
    </row>
    <row r="120" spans="1:20" x14ac:dyDescent="0.35">
      <c r="A120" s="40">
        <v>45069</v>
      </c>
      <c r="B120" s="41" t="s">
        <v>299</v>
      </c>
      <c r="C120" s="41" t="s">
        <v>86</v>
      </c>
      <c r="D120" s="41" t="s">
        <v>42</v>
      </c>
      <c r="E120" s="41" t="s">
        <v>92</v>
      </c>
      <c r="F120" s="41">
        <v>3</v>
      </c>
      <c r="G120" s="42">
        <v>82.73</v>
      </c>
      <c r="H120" s="41" t="s">
        <v>58</v>
      </c>
      <c r="I120" s="41" t="s">
        <v>300</v>
      </c>
      <c r="J120" s="41" t="s">
        <v>55</v>
      </c>
      <c r="K120" s="41" t="s">
        <v>27</v>
      </c>
      <c r="L120" s="41" t="s">
        <v>28</v>
      </c>
      <c r="M120" s="41" t="s">
        <v>49</v>
      </c>
      <c r="N120" s="42">
        <v>2363.2199999999998</v>
      </c>
      <c r="O120" s="41">
        <v>2023</v>
      </c>
      <c r="P120" s="41">
        <v>5</v>
      </c>
      <c r="Q120" s="41" t="s">
        <v>267</v>
      </c>
      <c r="R120" s="41" t="s">
        <v>217</v>
      </c>
      <c r="S120" s="42">
        <v>2363.2199999999998</v>
      </c>
      <c r="T120" s="43">
        <v>393.87</v>
      </c>
    </row>
    <row r="121" spans="1:20" x14ac:dyDescent="0.35">
      <c r="A121" s="44">
        <v>45069</v>
      </c>
      <c r="B121" s="9" t="s">
        <v>279</v>
      </c>
      <c r="C121" s="9" t="s">
        <v>86</v>
      </c>
      <c r="D121" s="9" t="s">
        <v>42</v>
      </c>
      <c r="E121" s="9" t="s">
        <v>92</v>
      </c>
      <c r="F121" s="9">
        <v>3</v>
      </c>
      <c r="G121" s="10">
        <v>82.84</v>
      </c>
      <c r="H121" s="9" t="s">
        <v>35</v>
      </c>
      <c r="I121" s="9" t="s">
        <v>301</v>
      </c>
      <c r="J121" s="9" t="s">
        <v>55</v>
      </c>
      <c r="K121" s="9" t="s">
        <v>27</v>
      </c>
      <c r="L121" s="9" t="s">
        <v>28</v>
      </c>
      <c r="M121" s="9" t="s">
        <v>49</v>
      </c>
      <c r="N121" s="10">
        <v>225.72</v>
      </c>
      <c r="O121" s="9">
        <v>2023</v>
      </c>
      <c r="P121" s="9">
        <v>5</v>
      </c>
      <c r="Q121" s="9" t="s">
        <v>267</v>
      </c>
      <c r="R121" s="9" t="s">
        <v>217</v>
      </c>
      <c r="S121" s="10">
        <v>225.72</v>
      </c>
      <c r="T121" s="45">
        <v>56.43</v>
      </c>
    </row>
    <row r="122" spans="1:20" x14ac:dyDescent="0.35">
      <c r="A122" s="40">
        <v>45070</v>
      </c>
      <c r="B122" s="41" t="s">
        <v>153</v>
      </c>
      <c r="C122" s="41" t="s">
        <v>86</v>
      </c>
      <c r="D122" s="41" t="s">
        <v>42</v>
      </c>
      <c r="E122" s="41" t="s">
        <v>92</v>
      </c>
      <c r="F122" s="41">
        <v>3</v>
      </c>
      <c r="G122" s="42">
        <v>85.04</v>
      </c>
      <c r="H122" s="41" t="s">
        <v>35</v>
      </c>
      <c r="I122" s="41" t="s">
        <v>302</v>
      </c>
      <c r="J122" s="41" t="s">
        <v>55</v>
      </c>
      <c r="K122" s="41" t="s">
        <v>27</v>
      </c>
      <c r="L122" s="41" t="s">
        <v>39</v>
      </c>
      <c r="M122" s="41" t="s">
        <v>67</v>
      </c>
      <c r="N122" s="42">
        <v>1081.4000000000001</v>
      </c>
      <c r="O122" s="41">
        <v>2023</v>
      </c>
      <c r="P122" s="41">
        <v>5</v>
      </c>
      <c r="Q122" s="41" t="s">
        <v>267</v>
      </c>
      <c r="R122" s="41" t="s">
        <v>217</v>
      </c>
      <c r="S122" s="42">
        <v>1081.4000000000001</v>
      </c>
      <c r="T122" s="43">
        <v>216.28</v>
      </c>
    </row>
    <row r="123" spans="1:20" x14ac:dyDescent="0.35">
      <c r="A123" s="44">
        <v>45071</v>
      </c>
      <c r="B123" s="9" t="s">
        <v>303</v>
      </c>
      <c r="C123" s="9" t="s">
        <v>86</v>
      </c>
      <c r="D123" s="9" t="s">
        <v>42</v>
      </c>
      <c r="E123" s="9" t="s">
        <v>92</v>
      </c>
      <c r="F123" s="9">
        <v>3</v>
      </c>
      <c r="G123" s="10">
        <v>86.31</v>
      </c>
      <c r="H123" s="9" t="s">
        <v>64</v>
      </c>
      <c r="I123" s="9" t="s">
        <v>304</v>
      </c>
      <c r="J123" s="9" t="s">
        <v>55</v>
      </c>
      <c r="K123" s="9" t="s">
        <v>27</v>
      </c>
      <c r="L123" s="9" t="s">
        <v>28</v>
      </c>
      <c r="M123" s="9" t="s">
        <v>56</v>
      </c>
      <c r="N123" s="10">
        <v>1602.8</v>
      </c>
      <c r="O123" s="9">
        <v>2023</v>
      </c>
      <c r="P123" s="9">
        <v>5</v>
      </c>
      <c r="Q123" s="9" t="s">
        <v>267</v>
      </c>
      <c r="R123" s="9" t="s">
        <v>217</v>
      </c>
      <c r="S123" s="10">
        <v>1602.8</v>
      </c>
      <c r="T123" s="45">
        <v>320.56</v>
      </c>
    </row>
    <row r="124" spans="1:20" x14ac:dyDescent="0.35">
      <c r="A124" s="40">
        <v>45072</v>
      </c>
      <c r="B124" s="41" t="s">
        <v>305</v>
      </c>
      <c r="C124" s="41" t="s">
        <v>86</v>
      </c>
      <c r="D124" s="41" t="s">
        <v>42</v>
      </c>
      <c r="E124" s="41" t="s">
        <v>92</v>
      </c>
      <c r="F124" s="41">
        <v>3</v>
      </c>
      <c r="G124" s="42">
        <v>86.64</v>
      </c>
      <c r="H124" s="41" t="s">
        <v>58</v>
      </c>
      <c r="I124" s="41" t="s">
        <v>306</v>
      </c>
      <c r="J124" s="41" t="s">
        <v>55</v>
      </c>
      <c r="K124" s="41" t="s">
        <v>27</v>
      </c>
      <c r="L124" s="41" t="s">
        <v>66</v>
      </c>
      <c r="M124" s="41" t="s">
        <v>61</v>
      </c>
      <c r="N124" s="42">
        <v>1357.25</v>
      </c>
      <c r="O124" s="41">
        <v>2023</v>
      </c>
      <c r="P124" s="41">
        <v>5</v>
      </c>
      <c r="Q124" s="41" t="s">
        <v>267</v>
      </c>
      <c r="R124" s="41" t="s">
        <v>217</v>
      </c>
      <c r="S124" s="42">
        <v>1357.25</v>
      </c>
      <c r="T124" s="43">
        <v>271.45</v>
      </c>
    </row>
    <row r="125" spans="1:20" x14ac:dyDescent="0.35">
      <c r="A125" s="44">
        <v>45073</v>
      </c>
      <c r="B125" s="9" t="s">
        <v>307</v>
      </c>
      <c r="C125" s="9" t="s">
        <v>86</v>
      </c>
      <c r="D125" s="9" t="s">
        <v>42</v>
      </c>
      <c r="E125" s="9" t="s">
        <v>92</v>
      </c>
      <c r="F125" s="9">
        <v>3</v>
      </c>
      <c r="G125" s="10">
        <v>87.7</v>
      </c>
      <c r="H125" s="9" t="s">
        <v>64</v>
      </c>
      <c r="I125" s="9" t="s">
        <v>308</v>
      </c>
      <c r="J125" s="9" t="s">
        <v>55</v>
      </c>
      <c r="K125" s="9" t="s">
        <v>27</v>
      </c>
      <c r="L125" s="9" t="s">
        <v>39</v>
      </c>
      <c r="M125" s="9" t="s">
        <v>79</v>
      </c>
      <c r="N125" s="10">
        <v>175.35</v>
      </c>
      <c r="O125" s="9">
        <v>2023</v>
      </c>
      <c r="P125" s="9">
        <v>5</v>
      </c>
      <c r="Q125" s="9" t="s">
        <v>267</v>
      </c>
      <c r="R125" s="9" t="s">
        <v>217</v>
      </c>
      <c r="S125" s="10">
        <v>175.35</v>
      </c>
      <c r="T125" s="45">
        <v>58.45</v>
      </c>
    </row>
    <row r="126" spans="1:20" x14ac:dyDescent="0.35">
      <c r="A126" s="40">
        <v>45073</v>
      </c>
      <c r="B126" s="41" t="s">
        <v>309</v>
      </c>
      <c r="C126" s="41" t="s">
        <v>86</v>
      </c>
      <c r="D126" s="41" t="s">
        <v>42</v>
      </c>
      <c r="E126" s="41" t="s">
        <v>92</v>
      </c>
      <c r="F126" s="41">
        <v>3</v>
      </c>
      <c r="G126" s="42">
        <v>88.48</v>
      </c>
      <c r="H126" s="41" t="s">
        <v>24</v>
      </c>
      <c r="I126" s="41" t="s">
        <v>310</v>
      </c>
      <c r="J126" s="41" t="s">
        <v>55</v>
      </c>
      <c r="K126" s="41" t="s">
        <v>27</v>
      </c>
      <c r="L126" s="41" t="s">
        <v>39</v>
      </c>
      <c r="M126" s="41" t="s">
        <v>79</v>
      </c>
      <c r="N126" s="42">
        <v>796.32</v>
      </c>
      <c r="O126" s="41">
        <v>2023</v>
      </c>
      <c r="P126" s="41">
        <v>5</v>
      </c>
      <c r="Q126" s="41" t="s">
        <v>267</v>
      </c>
      <c r="R126" s="41" t="s">
        <v>217</v>
      </c>
      <c r="S126" s="42">
        <v>796.32</v>
      </c>
      <c r="T126" s="43">
        <v>88.48</v>
      </c>
    </row>
    <row r="127" spans="1:20" x14ac:dyDescent="0.35">
      <c r="A127" s="44">
        <v>45074</v>
      </c>
      <c r="B127" s="9" t="s">
        <v>311</v>
      </c>
      <c r="C127" s="9" t="s">
        <v>86</v>
      </c>
      <c r="D127" s="9" t="s">
        <v>42</v>
      </c>
      <c r="E127" s="9" t="s">
        <v>92</v>
      </c>
      <c r="F127" s="9">
        <v>3</v>
      </c>
      <c r="G127" s="10">
        <v>88.74</v>
      </c>
      <c r="H127" s="9" t="s">
        <v>58</v>
      </c>
      <c r="I127" s="9" t="s">
        <v>312</v>
      </c>
      <c r="J127" s="9" t="s">
        <v>55</v>
      </c>
      <c r="K127" s="9" t="s">
        <v>27</v>
      </c>
      <c r="L127" s="9" t="s">
        <v>39</v>
      </c>
      <c r="M127" s="9" t="s">
        <v>101</v>
      </c>
      <c r="N127" s="10">
        <v>347.26</v>
      </c>
      <c r="O127" s="9">
        <v>2023</v>
      </c>
      <c r="P127" s="9">
        <v>5</v>
      </c>
      <c r="Q127" s="9" t="s">
        <v>267</v>
      </c>
      <c r="R127" s="9" t="s">
        <v>217</v>
      </c>
      <c r="S127" s="10">
        <v>347.26</v>
      </c>
      <c r="T127" s="45">
        <v>347.26</v>
      </c>
    </row>
    <row r="128" spans="1:20" x14ac:dyDescent="0.35">
      <c r="A128" s="40">
        <v>45075</v>
      </c>
      <c r="B128" s="41" t="s">
        <v>313</v>
      </c>
      <c r="C128" s="41" t="s">
        <v>86</v>
      </c>
      <c r="D128" s="41" t="s">
        <v>42</v>
      </c>
      <c r="E128" s="41" t="s">
        <v>92</v>
      </c>
      <c r="F128" s="41">
        <v>3</v>
      </c>
      <c r="G128" s="42">
        <v>88.91</v>
      </c>
      <c r="H128" s="41" t="s">
        <v>58</v>
      </c>
      <c r="I128" s="41" t="s">
        <v>314</v>
      </c>
      <c r="J128" s="41" t="s">
        <v>94</v>
      </c>
      <c r="K128" s="41" t="s">
        <v>27</v>
      </c>
      <c r="L128" s="41" t="s">
        <v>66</v>
      </c>
      <c r="M128" s="41" t="s">
        <v>29</v>
      </c>
      <c r="N128" s="42">
        <v>824.7</v>
      </c>
      <c r="O128" s="41">
        <v>2023</v>
      </c>
      <c r="P128" s="41">
        <v>5</v>
      </c>
      <c r="Q128" s="41" t="s">
        <v>267</v>
      </c>
      <c r="R128" s="41" t="s">
        <v>217</v>
      </c>
      <c r="S128" s="42">
        <v>824.7</v>
      </c>
      <c r="T128" s="43">
        <v>137.44999999999999</v>
      </c>
    </row>
    <row r="129" spans="1:20" x14ac:dyDescent="0.35">
      <c r="A129" s="44">
        <v>45075</v>
      </c>
      <c r="B129" s="9" t="s">
        <v>315</v>
      </c>
      <c r="C129" s="9" t="s">
        <v>86</v>
      </c>
      <c r="D129" s="9" t="s">
        <v>42</v>
      </c>
      <c r="E129" s="9" t="s">
        <v>92</v>
      </c>
      <c r="F129" s="9">
        <v>3</v>
      </c>
      <c r="G129" s="10">
        <v>90.99</v>
      </c>
      <c r="H129" s="9" t="s">
        <v>35</v>
      </c>
      <c r="I129" s="9" t="s">
        <v>316</v>
      </c>
      <c r="J129" s="9" t="s">
        <v>94</v>
      </c>
      <c r="K129" s="9" t="s">
        <v>27</v>
      </c>
      <c r="L129" s="9" t="s">
        <v>66</v>
      </c>
      <c r="M129" s="9" t="s">
        <v>29</v>
      </c>
      <c r="N129" s="10">
        <v>3090.96</v>
      </c>
      <c r="O129" s="9">
        <v>2023</v>
      </c>
      <c r="P129" s="9">
        <v>5</v>
      </c>
      <c r="Q129" s="9" t="s">
        <v>267</v>
      </c>
      <c r="R129" s="9" t="s">
        <v>217</v>
      </c>
      <c r="S129" s="10">
        <v>3090.96</v>
      </c>
      <c r="T129" s="45">
        <v>343.44</v>
      </c>
    </row>
    <row r="130" spans="1:20" x14ac:dyDescent="0.35">
      <c r="A130" s="40">
        <v>45076</v>
      </c>
      <c r="B130" s="41" t="s">
        <v>317</v>
      </c>
      <c r="C130" s="41" t="s">
        <v>86</v>
      </c>
      <c r="D130" s="41" t="s">
        <v>42</v>
      </c>
      <c r="E130" s="41" t="s">
        <v>92</v>
      </c>
      <c r="F130" s="41">
        <v>3</v>
      </c>
      <c r="G130" s="42">
        <v>91.33</v>
      </c>
      <c r="H130" s="41" t="s">
        <v>24</v>
      </c>
      <c r="I130" s="41" t="s">
        <v>318</v>
      </c>
      <c r="J130" s="41" t="s">
        <v>94</v>
      </c>
      <c r="K130" s="41" t="s">
        <v>27</v>
      </c>
      <c r="L130" s="41" t="s">
        <v>28</v>
      </c>
      <c r="M130" s="41" t="s">
        <v>49</v>
      </c>
      <c r="N130" s="42">
        <v>376.1</v>
      </c>
      <c r="O130" s="41">
        <v>2023</v>
      </c>
      <c r="P130" s="41">
        <v>5</v>
      </c>
      <c r="Q130" s="41" t="s">
        <v>267</v>
      </c>
      <c r="R130" s="41" t="s">
        <v>217</v>
      </c>
      <c r="S130" s="42">
        <v>376.1</v>
      </c>
      <c r="T130" s="43">
        <v>37.61</v>
      </c>
    </row>
    <row r="131" spans="1:20" x14ac:dyDescent="0.35">
      <c r="A131" s="44">
        <v>45078</v>
      </c>
      <c r="B131" s="9" t="s">
        <v>319</v>
      </c>
      <c r="C131" s="9" t="s">
        <v>86</v>
      </c>
      <c r="D131" s="9" t="s">
        <v>42</v>
      </c>
      <c r="E131" s="9" t="s">
        <v>92</v>
      </c>
      <c r="F131" s="9">
        <v>3</v>
      </c>
      <c r="G131" s="10">
        <v>92.68</v>
      </c>
      <c r="H131" s="9" t="s">
        <v>64</v>
      </c>
      <c r="I131" s="9" t="s">
        <v>320</v>
      </c>
      <c r="J131" s="9" t="s">
        <v>94</v>
      </c>
      <c r="K131" s="9" t="s">
        <v>27</v>
      </c>
      <c r="L131" s="9" t="s">
        <v>28</v>
      </c>
      <c r="M131" s="9" t="s">
        <v>56</v>
      </c>
      <c r="N131" s="10">
        <v>987.6</v>
      </c>
      <c r="O131" s="9">
        <v>2023</v>
      </c>
      <c r="P131" s="9">
        <v>6</v>
      </c>
      <c r="Q131" s="9" t="s">
        <v>321</v>
      </c>
      <c r="R131" s="9" t="s">
        <v>217</v>
      </c>
      <c r="S131" s="10">
        <v>987.6</v>
      </c>
      <c r="T131" s="45">
        <v>197.52</v>
      </c>
    </row>
    <row r="132" spans="1:20" x14ac:dyDescent="0.35">
      <c r="A132" s="40">
        <v>45080</v>
      </c>
      <c r="B132" s="41" t="s">
        <v>322</v>
      </c>
      <c r="C132" s="41" t="s">
        <v>86</v>
      </c>
      <c r="D132" s="41" t="s">
        <v>42</v>
      </c>
      <c r="E132" s="41" t="s">
        <v>92</v>
      </c>
      <c r="F132" s="41">
        <v>3</v>
      </c>
      <c r="G132" s="42">
        <v>93.66</v>
      </c>
      <c r="H132" s="41" t="s">
        <v>58</v>
      </c>
      <c r="I132" s="41" t="s">
        <v>323</v>
      </c>
      <c r="J132" s="41" t="s">
        <v>94</v>
      </c>
      <c r="K132" s="41" t="s">
        <v>27</v>
      </c>
      <c r="L132" s="41" t="s">
        <v>28</v>
      </c>
      <c r="M132" s="41" t="s">
        <v>79</v>
      </c>
      <c r="N132" s="42">
        <v>35.85</v>
      </c>
      <c r="O132" s="41">
        <v>2023</v>
      </c>
      <c r="P132" s="41">
        <v>6</v>
      </c>
      <c r="Q132" s="41" t="s">
        <v>321</v>
      </c>
      <c r="R132" s="41" t="s">
        <v>217</v>
      </c>
      <c r="S132" s="42">
        <v>35.85</v>
      </c>
      <c r="T132" s="43">
        <v>11.95</v>
      </c>
    </row>
    <row r="133" spans="1:20" x14ac:dyDescent="0.35">
      <c r="A133" s="44">
        <v>45082</v>
      </c>
      <c r="B133" s="9" t="s">
        <v>324</v>
      </c>
      <c r="C133" s="9" t="s">
        <v>86</v>
      </c>
      <c r="D133" s="9" t="s">
        <v>42</v>
      </c>
      <c r="E133" s="9" t="s">
        <v>92</v>
      </c>
      <c r="F133" s="9">
        <v>3</v>
      </c>
      <c r="G133" s="10">
        <v>94.42</v>
      </c>
      <c r="H133" s="9" t="s">
        <v>24</v>
      </c>
      <c r="I133" s="9" t="s">
        <v>325</v>
      </c>
      <c r="J133" s="9" t="s">
        <v>94</v>
      </c>
      <c r="K133" s="9" t="s">
        <v>27</v>
      </c>
      <c r="L133" s="9" t="s">
        <v>39</v>
      </c>
      <c r="M133" s="9" t="s">
        <v>29</v>
      </c>
      <c r="N133" s="10">
        <v>452.61</v>
      </c>
      <c r="O133" s="9">
        <v>2023</v>
      </c>
      <c r="P133" s="9">
        <v>6</v>
      </c>
      <c r="Q133" s="9" t="s">
        <v>321</v>
      </c>
      <c r="R133" s="9" t="s">
        <v>217</v>
      </c>
      <c r="S133" s="10">
        <v>452.61</v>
      </c>
      <c r="T133" s="45">
        <v>150.87</v>
      </c>
    </row>
    <row r="134" spans="1:20" x14ac:dyDescent="0.35">
      <c r="A134" s="40">
        <v>45084</v>
      </c>
      <c r="B134" s="41" t="s">
        <v>326</v>
      </c>
      <c r="C134" s="41" t="s">
        <v>86</v>
      </c>
      <c r="D134" s="41" t="s">
        <v>42</v>
      </c>
      <c r="E134" s="41" t="s">
        <v>92</v>
      </c>
      <c r="F134" s="41">
        <v>3</v>
      </c>
      <c r="G134" s="42">
        <v>95.32</v>
      </c>
      <c r="H134" s="41" t="s">
        <v>24</v>
      </c>
      <c r="I134" s="41" t="s">
        <v>327</v>
      </c>
      <c r="J134" s="41" t="s">
        <v>94</v>
      </c>
      <c r="K134" s="41" t="s">
        <v>27</v>
      </c>
      <c r="L134" s="41" t="s">
        <v>28</v>
      </c>
      <c r="M134" s="41" t="s">
        <v>67</v>
      </c>
      <c r="N134" s="42">
        <v>350.01</v>
      </c>
      <c r="O134" s="41">
        <v>2023</v>
      </c>
      <c r="P134" s="41">
        <v>6</v>
      </c>
      <c r="Q134" s="41" t="s">
        <v>321</v>
      </c>
      <c r="R134" s="41" t="s">
        <v>217</v>
      </c>
      <c r="S134" s="42">
        <v>350.01</v>
      </c>
      <c r="T134" s="43">
        <v>116.67</v>
      </c>
    </row>
    <row r="135" spans="1:20" x14ac:dyDescent="0.35">
      <c r="A135" s="44">
        <v>45086</v>
      </c>
      <c r="B135" s="9" t="s">
        <v>328</v>
      </c>
      <c r="C135" s="9" t="s">
        <v>86</v>
      </c>
      <c r="D135" s="9" t="s">
        <v>42</v>
      </c>
      <c r="E135" s="9" t="s">
        <v>92</v>
      </c>
      <c r="F135" s="9">
        <v>3</v>
      </c>
      <c r="G135" s="10">
        <v>95.79</v>
      </c>
      <c r="H135" s="9" t="s">
        <v>64</v>
      </c>
      <c r="I135" s="9" t="s">
        <v>329</v>
      </c>
      <c r="J135" s="9" t="s">
        <v>94</v>
      </c>
      <c r="K135" s="9" t="s">
        <v>27</v>
      </c>
      <c r="L135" s="9" t="s">
        <v>39</v>
      </c>
      <c r="M135" s="9" t="s">
        <v>61</v>
      </c>
      <c r="N135" s="10">
        <v>1782</v>
      </c>
      <c r="O135" s="9">
        <v>2023</v>
      </c>
      <c r="P135" s="9">
        <v>6</v>
      </c>
      <c r="Q135" s="9" t="s">
        <v>321</v>
      </c>
      <c r="R135" s="9" t="s">
        <v>217</v>
      </c>
      <c r="S135" s="10">
        <v>1782</v>
      </c>
      <c r="T135" s="45">
        <v>297</v>
      </c>
    </row>
    <row r="136" spans="1:20" x14ac:dyDescent="0.35">
      <c r="A136" s="40">
        <v>45089</v>
      </c>
      <c r="B136" s="41" t="s">
        <v>330</v>
      </c>
      <c r="C136" s="41" t="s">
        <v>86</v>
      </c>
      <c r="D136" s="41" t="s">
        <v>42</v>
      </c>
      <c r="E136" s="41" t="s">
        <v>92</v>
      </c>
      <c r="F136" s="41">
        <v>3</v>
      </c>
      <c r="G136" s="42">
        <v>96.24</v>
      </c>
      <c r="H136" s="41" t="s">
        <v>44</v>
      </c>
      <c r="I136" s="41" t="s">
        <v>331</v>
      </c>
      <c r="J136" s="41" t="s">
        <v>94</v>
      </c>
      <c r="K136" s="41" t="s">
        <v>27</v>
      </c>
      <c r="L136" s="41" t="s">
        <v>28</v>
      </c>
      <c r="M136" s="41" t="s">
        <v>29</v>
      </c>
      <c r="N136" s="42">
        <v>666.65</v>
      </c>
      <c r="O136" s="41">
        <v>2023</v>
      </c>
      <c r="P136" s="41">
        <v>6</v>
      </c>
      <c r="Q136" s="41" t="s">
        <v>321</v>
      </c>
      <c r="R136" s="41" t="s">
        <v>217</v>
      </c>
      <c r="S136" s="42">
        <v>666.65</v>
      </c>
      <c r="T136" s="43">
        <v>133.33000000000001</v>
      </c>
    </row>
    <row r="137" spans="1:20" x14ac:dyDescent="0.35">
      <c r="A137" s="44">
        <v>45091</v>
      </c>
      <c r="B137" s="9" t="s">
        <v>332</v>
      </c>
      <c r="C137" s="9" t="s">
        <v>86</v>
      </c>
      <c r="D137" s="9" t="s">
        <v>42</v>
      </c>
      <c r="E137" s="9" t="s">
        <v>92</v>
      </c>
      <c r="F137" s="9">
        <v>3</v>
      </c>
      <c r="G137" s="10">
        <v>96.78</v>
      </c>
      <c r="H137" s="9" t="s">
        <v>44</v>
      </c>
      <c r="I137" s="9" t="s">
        <v>333</v>
      </c>
      <c r="J137" s="9" t="s">
        <v>94</v>
      </c>
      <c r="K137" s="9" t="s">
        <v>27</v>
      </c>
      <c r="L137" s="9" t="s">
        <v>28</v>
      </c>
      <c r="M137" s="9" t="s">
        <v>67</v>
      </c>
      <c r="N137" s="10">
        <v>51.87</v>
      </c>
      <c r="O137" s="9">
        <v>2023</v>
      </c>
      <c r="P137" s="9">
        <v>6</v>
      </c>
      <c r="Q137" s="9" t="s">
        <v>321</v>
      </c>
      <c r="R137" s="9" t="s">
        <v>217</v>
      </c>
      <c r="S137" s="10">
        <v>51.87</v>
      </c>
      <c r="T137" s="45">
        <v>51.87</v>
      </c>
    </row>
    <row r="138" spans="1:20" x14ac:dyDescent="0.35">
      <c r="A138" s="40">
        <v>45091</v>
      </c>
      <c r="B138" s="41" t="s">
        <v>334</v>
      </c>
      <c r="C138" s="41" t="s">
        <v>86</v>
      </c>
      <c r="D138" s="41" t="s">
        <v>22</v>
      </c>
      <c r="E138" s="41" t="s">
        <v>92</v>
      </c>
      <c r="F138" s="41">
        <v>3</v>
      </c>
      <c r="G138" s="42">
        <v>97.19</v>
      </c>
      <c r="H138" s="41" t="s">
        <v>35</v>
      </c>
      <c r="I138" s="41" t="s">
        <v>335</v>
      </c>
      <c r="J138" s="41" t="s">
        <v>94</v>
      </c>
      <c r="K138" s="41" t="s">
        <v>27</v>
      </c>
      <c r="L138" s="41" t="s">
        <v>39</v>
      </c>
      <c r="M138" s="41" t="s">
        <v>67</v>
      </c>
      <c r="N138" s="42">
        <v>2109.4</v>
      </c>
      <c r="O138" s="41">
        <v>2023</v>
      </c>
      <c r="P138" s="41">
        <v>6</v>
      </c>
      <c r="Q138" s="41" t="s">
        <v>321</v>
      </c>
      <c r="R138" s="41" t="s">
        <v>217</v>
      </c>
      <c r="S138" s="42">
        <v>2109.4</v>
      </c>
      <c r="T138" s="43">
        <v>210.94</v>
      </c>
    </row>
    <row r="139" spans="1:20" x14ac:dyDescent="0.35">
      <c r="A139" s="44">
        <v>45092</v>
      </c>
      <c r="B139" s="9" t="s">
        <v>336</v>
      </c>
      <c r="C139" s="9" t="s">
        <v>86</v>
      </c>
      <c r="D139" s="9" t="s">
        <v>22</v>
      </c>
      <c r="E139" s="9" t="s">
        <v>92</v>
      </c>
      <c r="F139" s="9">
        <v>3</v>
      </c>
      <c r="G139" s="10">
        <v>97.52</v>
      </c>
      <c r="H139" s="9" t="s">
        <v>35</v>
      </c>
      <c r="I139" s="9" t="s">
        <v>337</v>
      </c>
      <c r="J139" s="9" t="s">
        <v>94</v>
      </c>
      <c r="K139" s="9" t="s">
        <v>27</v>
      </c>
      <c r="L139" s="9" t="s">
        <v>39</v>
      </c>
      <c r="M139" s="9" t="s">
        <v>56</v>
      </c>
      <c r="N139" s="10">
        <v>489.92</v>
      </c>
      <c r="O139" s="9">
        <v>2023</v>
      </c>
      <c r="P139" s="9">
        <v>6</v>
      </c>
      <c r="Q139" s="9" t="s">
        <v>321</v>
      </c>
      <c r="R139" s="9" t="s">
        <v>217</v>
      </c>
      <c r="S139" s="10">
        <v>489.92</v>
      </c>
      <c r="T139" s="45">
        <v>61.24</v>
      </c>
    </row>
    <row r="140" spans="1:20" x14ac:dyDescent="0.35">
      <c r="A140" s="40">
        <v>45092</v>
      </c>
      <c r="B140" s="41" t="s">
        <v>338</v>
      </c>
      <c r="C140" s="41" t="s">
        <v>86</v>
      </c>
      <c r="D140" s="41" t="s">
        <v>22</v>
      </c>
      <c r="E140" s="41" t="s">
        <v>92</v>
      </c>
      <c r="F140" s="41">
        <v>3</v>
      </c>
      <c r="G140" s="42">
        <v>98.03</v>
      </c>
      <c r="H140" s="41" t="s">
        <v>35</v>
      </c>
      <c r="I140" s="41" t="s">
        <v>339</v>
      </c>
      <c r="J140" s="41" t="s">
        <v>94</v>
      </c>
      <c r="K140" s="41" t="s">
        <v>27</v>
      </c>
      <c r="L140" s="41" t="s">
        <v>39</v>
      </c>
      <c r="M140" s="41" t="s">
        <v>56</v>
      </c>
      <c r="N140" s="42">
        <v>43.92</v>
      </c>
      <c r="O140" s="41">
        <v>2023</v>
      </c>
      <c r="P140" s="41">
        <v>6</v>
      </c>
      <c r="Q140" s="41" t="s">
        <v>321</v>
      </c>
      <c r="R140" s="41" t="s">
        <v>217</v>
      </c>
      <c r="S140" s="42">
        <v>43.92</v>
      </c>
      <c r="T140" s="43">
        <v>7.32</v>
      </c>
    </row>
    <row r="141" spans="1:20" x14ac:dyDescent="0.35">
      <c r="A141" s="44">
        <v>45093</v>
      </c>
      <c r="B141" s="9" t="s">
        <v>340</v>
      </c>
      <c r="C141" s="9" t="s">
        <v>86</v>
      </c>
      <c r="D141" s="9" t="s">
        <v>22</v>
      </c>
      <c r="E141" s="9" t="s">
        <v>92</v>
      </c>
      <c r="F141" s="9">
        <v>3</v>
      </c>
      <c r="G141" s="10">
        <v>98.09</v>
      </c>
      <c r="H141" s="9" t="s">
        <v>64</v>
      </c>
      <c r="I141" s="9" t="s">
        <v>341</v>
      </c>
      <c r="J141" s="9" t="s">
        <v>94</v>
      </c>
      <c r="K141" s="9" t="s">
        <v>27</v>
      </c>
      <c r="L141" s="9" t="s">
        <v>28</v>
      </c>
      <c r="M141" s="9" t="s">
        <v>61</v>
      </c>
      <c r="N141" s="10">
        <v>752.43</v>
      </c>
      <c r="O141" s="9">
        <v>2023</v>
      </c>
      <c r="P141" s="9">
        <v>6</v>
      </c>
      <c r="Q141" s="9" t="s">
        <v>321</v>
      </c>
      <c r="R141" s="9" t="s">
        <v>217</v>
      </c>
      <c r="S141" s="10">
        <v>752.43</v>
      </c>
      <c r="T141" s="45">
        <v>107.49</v>
      </c>
    </row>
    <row r="142" spans="1:20" x14ac:dyDescent="0.35">
      <c r="A142" s="40">
        <v>45093</v>
      </c>
      <c r="B142" s="41" t="s">
        <v>342</v>
      </c>
      <c r="C142" s="41" t="s">
        <v>86</v>
      </c>
      <c r="D142" s="41" t="s">
        <v>22</v>
      </c>
      <c r="E142" s="41" t="s">
        <v>92</v>
      </c>
      <c r="F142" s="41">
        <v>3</v>
      </c>
      <c r="G142" s="42">
        <v>100.73</v>
      </c>
      <c r="H142" s="41" t="s">
        <v>35</v>
      </c>
      <c r="I142" s="41" t="s">
        <v>343</v>
      </c>
      <c r="J142" s="41" t="s">
        <v>94</v>
      </c>
      <c r="K142" s="41" t="s">
        <v>27</v>
      </c>
      <c r="L142" s="41" t="s">
        <v>28</v>
      </c>
      <c r="M142" s="41" t="s">
        <v>61</v>
      </c>
      <c r="N142" s="42">
        <v>226.69</v>
      </c>
      <c r="O142" s="41">
        <v>2023</v>
      </c>
      <c r="P142" s="41">
        <v>6</v>
      </c>
      <c r="Q142" s="41" t="s">
        <v>321</v>
      </c>
      <c r="R142" s="41" t="s">
        <v>217</v>
      </c>
      <c r="S142" s="42">
        <v>226.69</v>
      </c>
      <c r="T142" s="43">
        <v>226.69</v>
      </c>
    </row>
    <row r="143" spans="1:20" x14ac:dyDescent="0.35">
      <c r="A143" s="44">
        <v>45094</v>
      </c>
      <c r="B143" s="9" t="s">
        <v>344</v>
      </c>
      <c r="C143" s="9" t="s">
        <v>86</v>
      </c>
      <c r="D143" s="9" t="s">
        <v>22</v>
      </c>
      <c r="E143" s="9" t="s">
        <v>92</v>
      </c>
      <c r="F143" s="9">
        <v>3</v>
      </c>
      <c r="G143" s="10">
        <v>101.59</v>
      </c>
      <c r="H143" s="9" t="s">
        <v>35</v>
      </c>
      <c r="I143" s="9" t="s">
        <v>345</v>
      </c>
      <c r="J143" s="9" t="s">
        <v>94</v>
      </c>
      <c r="K143" s="9" t="s">
        <v>60</v>
      </c>
      <c r="L143" s="9" t="s">
        <v>39</v>
      </c>
      <c r="M143" s="9" t="s">
        <v>79</v>
      </c>
      <c r="N143" s="10">
        <v>1608.74</v>
      </c>
      <c r="O143" s="9">
        <v>2023</v>
      </c>
      <c r="P143" s="9">
        <v>6</v>
      </c>
      <c r="Q143" s="9" t="s">
        <v>321</v>
      </c>
      <c r="R143" s="9" t="s">
        <v>217</v>
      </c>
      <c r="S143" s="10">
        <v>1608.74</v>
      </c>
      <c r="T143" s="45">
        <v>229.82</v>
      </c>
    </row>
    <row r="144" spans="1:20" x14ac:dyDescent="0.35">
      <c r="A144" s="40">
        <v>45095</v>
      </c>
      <c r="B144" s="41" t="s">
        <v>346</v>
      </c>
      <c r="C144" s="41" t="s">
        <v>86</v>
      </c>
      <c r="D144" s="41" t="s">
        <v>22</v>
      </c>
      <c r="E144" s="41" t="s">
        <v>92</v>
      </c>
      <c r="F144" s="41">
        <v>3</v>
      </c>
      <c r="G144" s="42">
        <v>102.38</v>
      </c>
      <c r="H144" s="41" t="s">
        <v>24</v>
      </c>
      <c r="I144" s="41" t="s">
        <v>347</v>
      </c>
      <c r="J144" s="41" t="s">
        <v>94</v>
      </c>
      <c r="K144" s="41" t="s">
        <v>60</v>
      </c>
      <c r="L144" s="41" t="s">
        <v>39</v>
      </c>
      <c r="M144" s="41" t="s">
        <v>101</v>
      </c>
      <c r="N144" s="42">
        <v>1705.2</v>
      </c>
      <c r="O144" s="41">
        <v>2023</v>
      </c>
      <c r="P144" s="41">
        <v>6</v>
      </c>
      <c r="Q144" s="41" t="s">
        <v>321</v>
      </c>
      <c r="R144" s="41" t="s">
        <v>217</v>
      </c>
      <c r="S144" s="42">
        <v>1705.2</v>
      </c>
      <c r="T144" s="43">
        <v>213.15</v>
      </c>
    </row>
    <row r="145" spans="1:20" x14ac:dyDescent="0.35">
      <c r="A145" s="44">
        <v>45095</v>
      </c>
      <c r="B145" s="9" t="s">
        <v>348</v>
      </c>
      <c r="C145" s="9" t="s">
        <v>86</v>
      </c>
      <c r="D145" s="9" t="s">
        <v>22</v>
      </c>
      <c r="E145" s="9" t="s">
        <v>92</v>
      </c>
      <c r="F145" s="9">
        <v>3</v>
      </c>
      <c r="G145" s="10">
        <v>104.13</v>
      </c>
      <c r="H145" s="9" t="s">
        <v>24</v>
      </c>
      <c r="I145" s="9" t="s">
        <v>349</v>
      </c>
      <c r="J145" s="9" t="s">
        <v>94</v>
      </c>
      <c r="K145" s="9" t="s">
        <v>60</v>
      </c>
      <c r="L145" s="9" t="s">
        <v>28</v>
      </c>
      <c r="M145" s="9" t="s">
        <v>101</v>
      </c>
      <c r="N145" s="10">
        <v>1310.52</v>
      </c>
      <c r="O145" s="9">
        <v>2023</v>
      </c>
      <c r="P145" s="9">
        <v>6</v>
      </c>
      <c r="Q145" s="9" t="s">
        <v>321</v>
      </c>
      <c r="R145" s="9" t="s">
        <v>217</v>
      </c>
      <c r="S145" s="10">
        <v>1310.52</v>
      </c>
      <c r="T145" s="45">
        <v>218.42</v>
      </c>
    </row>
    <row r="146" spans="1:20" x14ac:dyDescent="0.35">
      <c r="A146" s="40">
        <v>45096</v>
      </c>
      <c r="B146" s="41" t="s">
        <v>350</v>
      </c>
      <c r="C146" s="41" t="s">
        <v>86</v>
      </c>
      <c r="D146" s="41" t="s">
        <v>22</v>
      </c>
      <c r="E146" s="41" t="s">
        <v>92</v>
      </c>
      <c r="F146" s="41">
        <v>3</v>
      </c>
      <c r="G146" s="42">
        <v>105.45</v>
      </c>
      <c r="H146" s="41" t="s">
        <v>24</v>
      </c>
      <c r="I146" s="41" t="s">
        <v>351</v>
      </c>
      <c r="J146" s="41" t="s">
        <v>94</v>
      </c>
      <c r="K146" s="41" t="s">
        <v>60</v>
      </c>
      <c r="L146" s="41" t="s">
        <v>28</v>
      </c>
      <c r="M146" s="41" t="s">
        <v>29</v>
      </c>
      <c r="N146" s="42">
        <v>1293.8399999999999</v>
      </c>
      <c r="O146" s="41">
        <v>2023</v>
      </c>
      <c r="P146" s="41">
        <v>6</v>
      </c>
      <c r="Q146" s="41" t="s">
        <v>321</v>
      </c>
      <c r="R146" s="41" t="s">
        <v>217</v>
      </c>
      <c r="S146" s="42">
        <v>1293.8399999999999</v>
      </c>
      <c r="T146" s="43">
        <v>323.45999999999998</v>
      </c>
    </row>
    <row r="147" spans="1:20" x14ac:dyDescent="0.35">
      <c r="A147" s="44">
        <v>45097</v>
      </c>
      <c r="B147" s="9" t="s">
        <v>352</v>
      </c>
      <c r="C147" s="9" t="s">
        <v>86</v>
      </c>
      <c r="D147" s="9" t="s">
        <v>22</v>
      </c>
      <c r="E147" s="9" t="s">
        <v>92</v>
      </c>
      <c r="F147" s="9">
        <v>3</v>
      </c>
      <c r="G147" s="10">
        <v>106.79</v>
      </c>
      <c r="H147" s="9" t="s">
        <v>35</v>
      </c>
      <c r="I147" s="9" t="s">
        <v>353</v>
      </c>
      <c r="J147" s="9" t="s">
        <v>94</v>
      </c>
      <c r="K147" s="9" t="s">
        <v>60</v>
      </c>
      <c r="L147" s="9" t="s">
        <v>39</v>
      </c>
      <c r="M147" s="9" t="s">
        <v>49</v>
      </c>
      <c r="N147" s="10">
        <v>1593.06</v>
      </c>
      <c r="O147" s="9">
        <v>2023</v>
      </c>
      <c r="P147" s="9">
        <v>6</v>
      </c>
      <c r="Q147" s="9" t="s">
        <v>321</v>
      </c>
      <c r="R147" s="9" t="s">
        <v>217</v>
      </c>
      <c r="S147" s="10">
        <v>1593.06</v>
      </c>
      <c r="T147" s="45">
        <v>227.58</v>
      </c>
    </row>
    <row r="148" spans="1:20" x14ac:dyDescent="0.35">
      <c r="A148" s="40">
        <v>45098</v>
      </c>
      <c r="B148" s="41" t="s">
        <v>354</v>
      </c>
      <c r="C148" s="41" t="s">
        <v>86</v>
      </c>
      <c r="D148" s="41" t="s">
        <v>22</v>
      </c>
      <c r="E148" s="41" t="s">
        <v>92</v>
      </c>
      <c r="F148" s="41">
        <v>3</v>
      </c>
      <c r="G148" s="42">
        <v>106.96</v>
      </c>
      <c r="H148" s="41" t="s">
        <v>64</v>
      </c>
      <c r="I148" s="41" t="s">
        <v>355</v>
      </c>
      <c r="J148" s="41" t="s">
        <v>94</v>
      </c>
      <c r="K148" s="41" t="s">
        <v>60</v>
      </c>
      <c r="L148" s="41" t="s">
        <v>28</v>
      </c>
      <c r="M148" s="41" t="s">
        <v>67</v>
      </c>
      <c r="N148" s="42">
        <v>1885.59</v>
      </c>
      <c r="O148" s="41">
        <v>2023</v>
      </c>
      <c r="P148" s="41">
        <v>6</v>
      </c>
      <c r="Q148" s="41" t="s">
        <v>321</v>
      </c>
      <c r="R148" s="41" t="s">
        <v>217</v>
      </c>
      <c r="S148" s="42">
        <v>1885.59</v>
      </c>
      <c r="T148" s="43">
        <v>269.37</v>
      </c>
    </row>
    <row r="149" spans="1:20" x14ac:dyDescent="0.35">
      <c r="A149" s="44">
        <v>45100</v>
      </c>
      <c r="B149" s="9" t="s">
        <v>356</v>
      </c>
      <c r="C149" s="9" t="s">
        <v>86</v>
      </c>
      <c r="D149" s="9" t="s">
        <v>22</v>
      </c>
      <c r="E149" s="9" t="s">
        <v>92</v>
      </c>
      <c r="F149" s="9">
        <v>3</v>
      </c>
      <c r="G149" s="10">
        <v>107.49</v>
      </c>
      <c r="H149" s="9" t="s">
        <v>24</v>
      </c>
      <c r="I149" s="9" t="s">
        <v>357</v>
      </c>
      <c r="J149" s="9" t="s">
        <v>94</v>
      </c>
      <c r="K149" s="9" t="s">
        <v>60</v>
      </c>
      <c r="L149" s="9" t="s">
        <v>39</v>
      </c>
      <c r="M149" s="9" t="s">
        <v>61</v>
      </c>
      <c r="N149" s="10">
        <v>1028.76</v>
      </c>
      <c r="O149" s="9">
        <v>2023</v>
      </c>
      <c r="P149" s="9">
        <v>6</v>
      </c>
      <c r="Q149" s="9" t="s">
        <v>321</v>
      </c>
      <c r="R149" s="9" t="s">
        <v>217</v>
      </c>
      <c r="S149" s="10">
        <v>1028.76</v>
      </c>
      <c r="T149" s="45">
        <v>257.19</v>
      </c>
    </row>
    <row r="150" spans="1:20" x14ac:dyDescent="0.35">
      <c r="A150" s="40">
        <v>45102</v>
      </c>
      <c r="B150" s="41" t="s">
        <v>358</v>
      </c>
      <c r="C150" s="41" t="s">
        <v>86</v>
      </c>
      <c r="D150" s="41" t="s">
        <v>22</v>
      </c>
      <c r="E150" s="41" t="s">
        <v>92</v>
      </c>
      <c r="F150" s="41">
        <v>3</v>
      </c>
      <c r="G150" s="42">
        <v>108.95</v>
      </c>
      <c r="H150" s="41" t="s">
        <v>35</v>
      </c>
      <c r="I150" s="41" t="s">
        <v>359</v>
      </c>
      <c r="J150" s="41" t="s">
        <v>94</v>
      </c>
      <c r="K150" s="41" t="s">
        <v>60</v>
      </c>
      <c r="L150" s="41" t="s">
        <v>28</v>
      </c>
      <c r="M150" s="41" t="s">
        <v>101</v>
      </c>
      <c r="N150" s="42">
        <v>219.44</v>
      </c>
      <c r="O150" s="41">
        <v>2023</v>
      </c>
      <c r="P150" s="41">
        <v>6</v>
      </c>
      <c r="Q150" s="41" t="s">
        <v>321</v>
      </c>
      <c r="R150" s="41" t="s">
        <v>217</v>
      </c>
      <c r="S150" s="42">
        <v>219.44</v>
      </c>
      <c r="T150" s="43">
        <v>27.43</v>
      </c>
    </row>
    <row r="151" spans="1:20" x14ac:dyDescent="0.35">
      <c r="A151" s="44">
        <v>45105</v>
      </c>
      <c r="B151" s="9" t="s">
        <v>360</v>
      </c>
      <c r="C151" s="9" t="s">
        <v>86</v>
      </c>
      <c r="D151" s="9" t="s">
        <v>22</v>
      </c>
      <c r="E151" s="9" t="s">
        <v>92</v>
      </c>
      <c r="F151" s="9">
        <v>3</v>
      </c>
      <c r="G151" s="10">
        <v>109.79</v>
      </c>
      <c r="H151" s="9" t="s">
        <v>64</v>
      </c>
      <c r="I151" s="9" t="s">
        <v>361</v>
      </c>
      <c r="J151" s="9" t="s">
        <v>94</v>
      </c>
      <c r="K151" s="9" t="s">
        <v>60</v>
      </c>
      <c r="L151" s="9" t="s">
        <v>66</v>
      </c>
      <c r="M151" s="9" t="s">
        <v>67</v>
      </c>
      <c r="N151" s="10">
        <v>1735.28</v>
      </c>
      <c r="O151" s="9">
        <v>2023</v>
      </c>
      <c r="P151" s="9">
        <v>6</v>
      </c>
      <c r="Q151" s="9" t="s">
        <v>321</v>
      </c>
      <c r="R151" s="9" t="s">
        <v>217</v>
      </c>
      <c r="S151" s="10">
        <v>1735.28</v>
      </c>
      <c r="T151" s="45">
        <v>216.91</v>
      </c>
    </row>
    <row r="152" spans="1:20" x14ac:dyDescent="0.35">
      <c r="A152" s="40">
        <v>45107</v>
      </c>
      <c r="B152" s="41" t="s">
        <v>137</v>
      </c>
      <c r="C152" s="41" t="s">
        <v>86</v>
      </c>
      <c r="D152" s="41" t="s">
        <v>22</v>
      </c>
      <c r="E152" s="41" t="s">
        <v>92</v>
      </c>
      <c r="F152" s="41">
        <v>3</v>
      </c>
      <c r="G152" s="42">
        <v>109.9</v>
      </c>
      <c r="H152" s="41" t="s">
        <v>24</v>
      </c>
      <c r="I152" s="41" t="s">
        <v>362</v>
      </c>
      <c r="J152" s="41" t="s">
        <v>94</v>
      </c>
      <c r="K152" s="41" t="s">
        <v>60</v>
      </c>
      <c r="L152" s="41" t="s">
        <v>28</v>
      </c>
      <c r="M152" s="41" t="s">
        <v>61</v>
      </c>
      <c r="N152" s="42">
        <v>3125.1</v>
      </c>
      <c r="O152" s="41">
        <v>2023</v>
      </c>
      <c r="P152" s="41">
        <v>6</v>
      </c>
      <c r="Q152" s="41" t="s">
        <v>321</v>
      </c>
      <c r="R152" s="41" t="s">
        <v>217</v>
      </c>
      <c r="S152" s="42">
        <v>3125.1</v>
      </c>
      <c r="T152" s="43">
        <v>312.51</v>
      </c>
    </row>
    <row r="153" spans="1:20" x14ac:dyDescent="0.35">
      <c r="A153" s="44">
        <v>45107</v>
      </c>
      <c r="B153" s="9" t="s">
        <v>363</v>
      </c>
      <c r="C153" s="9" t="s">
        <v>86</v>
      </c>
      <c r="D153" s="9" t="s">
        <v>22</v>
      </c>
      <c r="E153" s="9" t="s">
        <v>92</v>
      </c>
      <c r="F153" s="9">
        <v>3</v>
      </c>
      <c r="G153" s="10">
        <v>112.39</v>
      </c>
      <c r="H153" s="9" t="s">
        <v>35</v>
      </c>
      <c r="I153" s="9" t="s">
        <v>364</v>
      </c>
      <c r="J153" s="9" t="s">
        <v>94</v>
      </c>
      <c r="K153" s="9" t="s">
        <v>60</v>
      </c>
      <c r="L153" s="9" t="s">
        <v>39</v>
      </c>
      <c r="M153" s="9" t="s">
        <v>61</v>
      </c>
      <c r="N153" s="10">
        <v>601.84</v>
      </c>
      <c r="O153" s="9">
        <v>2023</v>
      </c>
      <c r="P153" s="9">
        <v>6</v>
      </c>
      <c r="Q153" s="9" t="s">
        <v>321</v>
      </c>
      <c r="R153" s="9" t="s">
        <v>217</v>
      </c>
      <c r="S153" s="10">
        <v>601.84</v>
      </c>
      <c r="T153" s="45">
        <v>300.92</v>
      </c>
    </row>
    <row r="154" spans="1:20" x14ac:dyDescent="0.35">
      <c r="A154" s="40">
        <v>45109</v>
      </c>
      <c r="B154" s="41" t="s">
        <v>116</v>
      </c>
      <c r="C154" s="41" t="s">
        <v>86</v>
      </c>
      <c r="D154" s="41" t="s">
        <v>22</v>
      </c>
      <c r="E154" s="41" t="s">
        <v>92</v>
      </c>
      <c r="F154" s="41">
        <v>3</v>
      </c>
      <c r="G154" s="42">
        <v>112.59</v>
      </c>
      <c r="H154" s="41" t="s">
        <v>35</v>
      </c>
      <c r="I154" s="41" t="s">
        <v>365</v>
      </c>
      <c r="J154" s="41" t="s">
        <v>94</v>
      </c>
      <c r="K154" s="41" t="s">
        <v>60</v>
      </c>
      <c r="L154" s="41" t="s">
        <v>66</v>
      </c>
      <c r="M154" s="41" t="s">
        <v>101</v>
      </c>
      <c r="N154" s="42">
        <v>805.84</v>
      </c>
      <c r="O154" s="41">
        <v>2023</v>
      </c>
      <c r="P154" s="41">
        <v>7</v>
      </c>
      <c r="Q154" s="41" t="s">
        <v>366</v>
      </c>
      <c r="R154" s="41" t="s">
        <v>367</v>
      </c>
      <c r="S154" s="42">
        <v>805.84</v>
      </c>
      <c r="T154" s="43">
        <v>201.46</v>
      </c>
    </row>
    <row r="155" spans="1:20" x14ac:dyDescent="0.35">
      <c r="A155" s="44">
        <v>45110</v>
      </c>
      <c r="B155" s="9" t="s">
        <v>368</v>
      </c>
      <c r="C155" s="9" t="s">
        <v>86</v>
      </c>
      <c r="D155" s="9" t="s">
        <v>22</v>
      </c>
      <c r="E155" s="9" t="s">
        <v>92</v>
      </c>
      <c r="F155" s="9">
        <v>3</v>
      </c>
      <c r="G155" s="10">
        <v>113.53</v>
      </c>
      <c r="H155" s="9" t="s">
        <v>35</v>
      </c>
      <c r="I155" s="9" t="s">
        <v>369</v>
      </c>
      <c r="J155" s="9" t="s">
        <v>94</v>
      </c>
      <c r="K155" s="9" t="s">
        <v>60</v>
      </c>
      <c r="L155" s="9" t="s">
        <v>39</v>
      </c>
      <c r="M155" s="9" t="s">
        <v>29</v>
      </c>
      <c r="N155" s="10">
        <v>256.49</v>
      </c>
      <c r="O155" s="9">
        <v>2023</v>
      </c>
      <c r="P155" s="9">
        <v>7</v>
      </c>
      <c r="Q155" s="9" t="s">
        <v>366</v>
      </c>
      <c r="R155" s="9" t="s">
        <v>367</v>
      </c>
      <c r="S155" s="10">
        <v>256.49</v>
      </c>
      <c r="T155" s="45">
        <v>256.49</v>
      </c>
    </row>
    <row r="156" spans="1:20" x14ac:dyDescent="0.35">
      <c r="A156" s="40">
        <v>45111</v>
      </c>
      <c r="B156" s="41" t="s">
        <v>370</v>
      </c>
      <c r="C156" s="41" t="s">
        <v>86</v>
      </c>
      <c r="D156" s="41" t="s">
        <v>22</v>
      </c>
      <c r="E156" s="41" t="s">
        <v>92</v>
      </c>
      <c r="F156" s="41">
        <v>3</v>
      </c>
      <c r="G156" s="42">
        <v>113.9</v>
      </c>
      <c r="H156" s="41" t="s">
        <v>64</v>
      </c>
      <c r="I156" s="41" t="s">
        <v>371</v>
      </c>
      <c r="J156" s="41" t="s">
        <v>94</v>
      </c>
      <c r="K156" s="41" t="s">
        <v>60</v>
      </c>
      <c r="L156" s="41" t="s">
        <v>28</v>
      </c>
      <c r="M156" s="41" t="s">
        <v>49</v>
      </c>
      <c r="N156" s="42">
        <v>852.7</v>
      </c>
      <c r="O156" s="41">
        <v>2023</v>
      </c>
      <c r="P156" s="41">
        <v>7</v>
      </c>
      <c r="Q156" s="41" t="s">
        <v>366</v>
      </c>
      <c r="R156" s="41" t="s">
        <v>367</v>
      </c>
      <c r="S156" s="42">
        <v>852.7</v>
      </c>
      <c r="T156" s="43">
        <v>170.54</v>
      </c>
    </row>
    <row r="157" spans="1:20" x14ac:dyDescent="0.35">
      <c r="A157" s="44">
        <v>45112</v>
      </c>
      <c r="B157" s="9" t="s">
        <v>372</v>
      </c>
      <c r="C157" s="9" t="s">
        <v>86</v>
      </c>
      <c r="D157" s="9" t="s">
        <v>22</v>
      </c>
      <c r="E157" s="9" t="s">
        <v>92</v>
      </c>
      <c r="F157" s="9">
        <v>3</v>
      </c>
      <c r="G157" s="10">
        <v>114.76</v>
      </c>
      <c r="H157" s="9" t="s">
        <v>64</v>
      </c>
      <c r="I157" s="9" t="s">
        <v>373</v>
      </c>
      <c r="J157" s="9" t="s">
        <v>94</v>
      </c>
      <c r="K157" s="9" t="s">
        <v>60</v>
      </c>
      <c r="L157" s="9" t="s">
        <v>28</v>
      </c>
      <c r="M157" s="9" t="s">
        <v>67</v>
      </c>
      <c r="N157" s="10">
        <v>735.76</v>
      </c>
      <c r="O157" s="9">
        <v>2023</v>
      </c>
      <c r="P157" s="9">
        <v>7</v>
      </c>
      <c r="Q157" s="9" t="s">
        <v>366</v>
      </c>
      <c r="R157" s="9" t="s">
        <v>367</v>
      </c>
      <c r="S157" s="10">
        <v>735.76</v>
      </c>
      <c r="T157" s="45">
        <v>367.88</v>
      </c>
    </row>
    <row r="158" spans="1:20" x14ac:dyDescent="0.35">
      <c r="A158" s="40">
        <v>45114</v>
      </c>
      <c r="B158" s="41" t="s">
        <v>374</v>
      </c>
      <c r="C158" s="41" t="s">
        <v>86</v>
      </c>
      <c r="D158" s="41" t="s">
        <v>22</v>
      </c>
      <c r="E158" s="41" t="s">
        <v>92</v>
      </c>
      <c r="F158" s="41">
        <v>3</v>
      </c>
      <c r="G158" s="42">
        <v>115.67</v>
      </c>
      <c r="H158" s="41" t="s">
        <v>64</v>
      </c>
      <c r="I158" s="41" t="s">
        <v>375</v>
      </c>
      <c r="J158" s="41" t="s">
        <v>94</v>
      </c>
      <c r="K158" s="41" t="s">
        <v>60</v>
      </c>
      <c r="L158" s="41" t="s">
        <v>39</v>
      </c>
      <c r="M158" s="41" t="s">
        <v>61</v>
      </c>
      <c r="N158" s="42">
        <v>721.14</v>
      </c>
      <c r="O158" s="41">
        <v>2023</v>
      </c>
      <c r="P158" s="41">
        <v>7</v>
      </c>
      <c r="Q158" s="41" t="s">
        <v>366</v>
      </c>
      <c r="R158" s="41" t="s">
        <v>367</v>
      </c>
      <c r="S158" s="42">
        <v>721.14</v>
      </c>
      <c r="T158" s="43">
        <v>360.57</v>
      </c>
    </row>
    <row r="159" spans="1:20" x14ac:dyDescent="0.35">
      <c r="A159" s="44">
        <v>45120</v>
      </c>
      <c r="B159" s="9" t="s">
        <v>376</v>
      </c>
      <c r="C159" s="9" t="s">
        <v>86</v>
      </c>
      <c r="D159" s="9" t="s">
        <v>22</v>
      </c>
      <c r="E159" s="9" t="s">
        <v>92</v>
      </c>
      <c r="F159" s="9">
        <v>3</v>
      </c>
      <c r="G159" s="10">
        <v>116.67</v>
      </c>
      <c r="H159" s="9" t="s">
        <v>64</v>
      </c>
      <c r="I159" s="9" t="s">
        <v>377</v>
      </c>
      <c r="J159" s="9" t="s">
        <v>94</v>
      </c>
      <c r="K159" s="9" t="s">
        <v>60</v>
      </c>
      <c r="L159" s="9" t="s">
        <v>66</v>
      </c>
      <c r="M159" s="9" t="s">
        <v>56</v>
      </c>
      <c r="N159" s="10">
        <v>601.76</v>
      </c>
      <c r="O159" s="9">
        <v>2023</v>
      </c>
      <c r="P159" s="9">
        <v>7</v>
      </c>
      <c r="Q159" s="9" t="s">
        <v>366</v>
      </c>
      <c r="R159" s="9" t="s">
        <v>367</v>
      </c>
      <c r="S159" s="10">
        <v>601.76</v>
      </c>
      <c r="T159" s="45">
        <v>300.88</v>
      </c>
    </row>
    <row r="160" spans="1:20" x14ac:dyDescent="0.35">
      <c r="A160" s="40">
        <v>45124</v>
      </c>
      <c r="B160" s="41" t="s">
        <v>378</v>
      </c>
      <c r="C160" s="41" t="s">
        <v>86</v>
      </c>
      <c r="D160" s="41" t="s">
        <v>22</v>
      </c>
      <c r="E160" s="41" t="s">
        <v>92</v>
      </c>
      <c r="F160" s="41">
        <v>3</v>
      </c>
      <c r="G160" s="42">
        <v>117.81</v>
      </c>
      <c r="H160" s="41" t="s">
        <v>35</v>
      </c>
      <c r="I160" s="41" t="s">
        <v>379</v>
      </c>
      <c r="J160" s="41" t="s">
        <v>94</v>
      </c>
      <c r="K160" s="41" t="s">
        <v>60</v>
      </c>
      <c r="L160" s="41" t="s">
        <v>66</v>
      </c>
      <c r="M160" s="41" t="s">
        <v>29</v>
      </c>
      <c r="N160" s="42">
        <v>759.99</v>
      </c>
      <c r="O160" s="41">
        <v>2023</v>
      </c>
      <c r="P160" s="41">
        <v>7</v>
      </c>
      <c r="Q160" s="41" t="s">
        <v>366</v>
      </c>
      <c r="R160" s="41" t="s">
        <v>367</v>
      </c>
      <c r="S160" s="42">
        <v>759.99</v>
      </c>
      <c r="T160" s="43">
        <v>253.33</v>
      </c>
    </row>
    <row r="161" spans="1:20" x14ac:dyDescent="0.35">
      <c r="A161" s="44">
        <v>45125</v>
      </c>
      <c r="B161" s="9" t="s">
        <v>380</v>
      </c>
      <c r="C161" s="9" t="s">
        <v>86</v>
      </c>
      <c r="D161" s="9" t="s">
        <v>22</v>
      </c>
      <c r="E161" s="9" t="s">
        <v>92</v>
      </c>
      <c r="F161" s="9">
        <v>3</v>
      </c>
      <c r="G161" s="10">
        <v>119.82</v>
      </c>
      <c r="H161" s="9" t="s">
        <v>24</v>
      </c>
      <c r="I161" s="9" t="s">
        <v>381</v>
      </c>
      <c r="J161" s="9" t="s">
        <v>94</v>
      </c>
      <c r="K161" s="9" t="s">
        <v>60</v>
      </c>
      <c r="L161" s="9" t="s">
        <v>66</v>
      </c>
      <c r="M161" s="9" t="s">
        <v>49</v>
      </c>
      <c r="N161" s="10">
        <v>803.32</v>
      </c>
      <c r="O161" s="9">
        <v>2023</v>
      </c>
      <c r="P161" s="9">
        <v>7</v>
      </c>
      <c r="Q161" s="9" t="s">
        <v>366</v>
      </c>
      <c r="R161" s="9" t="s">
        <v>367</v>
      </c>
      <c r="S161" s="10">
        <v>803.32</v>
      </c>
      <c r="T161" s="45">
        <v>114.76</v>
      </c>
    </row>
    <row r="162" spans="1:20" x14ac:dyDescent="0.35">
      <c r="A162" s="40">
        <v>45128</v>
      </c>
      <c r="B162" s="41" t="s">
        <v>382</v>
      </c>
      <c r="C162" s="41" t="s">
        <v>86</v>
      </c>
      <c r="D162" s="41" t="s">
        <v>22</v>
      </c>
      <c r="E162" s="41" t="s">
        <v>92</v>
      </c>
      <c r="F162" s="41">
        <v>3</v>
      </c>
      <c r="G162" s="42">
        <v>120</v>
      </c>
      <c r="H162" s="41" t="s">
        <v>64</v>
      </c>
      <c r="I162" s="41" t="s">
        <v>383</v>
      </c>
      <c r="J162" s="41" t="s">
        <v>94</v>
      </c>
      <c r="K162" s="41" t="s">
        <v>60</v>
      </c>
      <c r="L162" s="41" t="s">
        <v>28</v>
      </c>
      <c r="M162" s="41" t="s">
        <v>61</v>
      </c>
      <c r="N162" s="42">
        <v>471.52</v>
      </c>
      <c r="O162" s="41">
        <v>2023</v>
      </c>
      <c r="P162" s="41">
        <v>7</v>
      </c>
      <c r="Q162" s="41" t="s">
        <v>366</v>
      </c>
      <c r="R162" s="41" t="s">
        <v>367</v>
      </c>
      <c r="S162" s="42">
        <v>471.52</v>
      </c>
      <c r="T162" s="43">
        <v>67.36</v>
      </c>
    </row>
    <row r="163" spans="1:20" x14ac:dyDescent="0.35">
      <c r="A163" s="44">
        <v>45129</v>
      </c>
      <c r="B163" s="9" t="s">
        <v>384</v>
      </c>
      <c r="C163" s="9" t="s">
        <v>86</v>
      </c>
      <c r="D163" s="9" t="s">
        <v>22</v>
      </c>
      <c r="E163" s="9" t="s">
        <v>83</v>
      </c>
      <c r="F163" s="9">
        <v>3</v>
      </c>
      <c r="G163" s="10">
        <v>120.13</v>
      </c>
      <c r="H163" s="9" t="s">
        <v>58</v>
      </c>
      <c r="I163" s="9" t="s">
        <v>385</v>
      </c>
      <c r="J163" s="9" t="s">
        <v>94</v>
      </c>
      <c r="K163" s="9" t="s">
        <v>60</v>
      </c>
      <c r="L163" s="9" t="s">
        <v>66</v>
      </c>
      <c r="M163" s="9" t="s">
        <v>79</v>
      </c>
      <c r="N163" s="10">
        <v>1705.76</v>
      </c>
      <c r="O163" s="9">
        <v>2023</v>
      </c>
      <c r="P163" s="9">
        <v>7</v>
      </c>
      <c r="Q163" s="9" t="s">
        <v>366</v>
      </c>
      <c r="R163" s="9" t="s">
        <v>367</v>
      </c>
      <c r="S163" s="10">
        <v>1705.76</v>
      </c>
      <c r="T163" s="45">
        <v>213.22</v>
      </c>
    </row>
    <row r="164" spans="1:20" x14ac:dyDescent="0.35">
      <c r="A164" s="40">
        <v>45133</v>
      </c>
      <c r="B164" s="41" t="s">
        <v>386</v>
      </c>
      <c r="C164" s="41" t="s">
        <v>86</v>
      </c>
      <c r="D164" s="41" t="s">
        <v>22</v>
      </c>
      <c r="E164" s="41" t="s">
        <v>83</v>
      </c>
      <c r="F164" s="41">
        <v>3</v>
      </c>
      <c r="G164" s="42">
        <v>120.53</v>
      </c>
      <c r="H164" s="41" t="s">
        <v>35</v>
      </c>
      <c r="I164" s="41" t="s">
        <v>387</v>
      </c>
      <c r="J164" s="41" t="s">
        <v>94</v>
      </c>
      <c r="K164" s="41" t="s">
        <v>60</v>
      </c>
      <c r="L164" s="41" t="s">
        <v>28</v>
      </c>
      <c r="M164" s="41" t="s">
        <v>67</v>
      </c>
      <c r="N164" s="42">
        <v>891.42</v>
      </c>
      <c r="O164" s="41">
        <v>2023</v>
      </c>
      <c r="P164" s="41">
        <v>7</v>
      </c>
      <c r="Q164" s="41" t="s">
        <v>366</v>
      </c>
      <c r="R164" s="41" t="s">
        <v>367</v>
      </c>
      <c r="S164" s="42">
        <v>891.42</v>
      </c>
      <c r="T164" s="43">
        <v>297.14</v>
      </c>
    </row>
    <row r="165" spans="1:20" x14ac:dyDescent="0.35">
      <c r="A165" s="44">
        <v>45137</v>
      </c>
      <c r="B165" s="9" t="s">
        <v>388</v>
      </c>
      <c r="C165" s="9" t="s">
        <v>86</v>
      </c>
      <c r="D165" s="9" t="s">
        <v>22</v>
      </c>
      <c r="E165" s="9" t="s">
        <v>83</v>
      </c>
      <c r="F165" s="9">
        <v>3</v>
      </c>
      <c r="G165" s="10">
        <v>121.92</v>
      </c>
      <c r="H165" s="9" t="s">
        <v>44</v>
      </c>
      <c r="I165" s="9" t="s">
        <v>389</v>
      </c>
      <c r="J165" s="9" t="s">
        <v>94</v>
      </c>
      <c r="K165" s="9" t="s">
        <v>60</v>
      </c>
      <c r="L165" s="9" t="s">
        <v>28</v>
      </c>
      <c r="M165" s="9" t="s">
        <v>101</v>
      </c>
      <c r="N165" s="10">
        <v>543.41</v>
      </c>
      <c r="O165" s="9">
        <v>2023</v>
      </c>
      <c r="P165" s="9">
        <v>7</v>
      </c>
      <c r="Q165" s="9" t="s">
        <v>366</v>
      </c>
      <c r="R165" s="9" t="s">
        <v>367</v>
      </c>
      <c r="S165" s="10">
        <v>543.41</v>
      </c>
      <c r="T165" s="45">
        <v>77.63</v>
      </c>
    </row>
    <row r="166" spans="1:20" x14ac:dyDescent="0.35">
      <c r="A166" s="40">
        <v>45138</v>
      </c>
      <c r="B166" s="41" t="s">
        <v>390</v>
      </c>
      <c r="C166" s="41" t="s">
        <v>86</v>
      </c>
      <c r="D166" s="41" t="s">
        <v>22</v>
      </c>
      <c r="E166" s="41" t="s">
        <v>83</v>
      </c>
      <c r="F166" s="41">
        <v>3</v>
      </c>
      <c r="G166" s="42">
        <v>122.53</v>
      </c>
      <c r="H166" s="41" t="s">
        <v>44</v>
      </c>
      <c r="I166" s="41" t="s">
        <v>391</v>
      </c>
      <c r="J166" s="41" t="s">
        <v>94</v>
      </c>
      <c r="K166" s="41" t="s">
        <v>60</v>
      </c>
      <c r="L166" s="41" t="s">
        <v>28</v>
      </c>
      <c r="M166" s="41" t="s">
        <v>29</v>
      </c>
      <c r="N166" s="42">
        <v>78.56</v>
      </c>
      <c r="O166" s="41">
        <v>2023</v>
      </c>
      <c r="P166" s="41">
        <v>7</v>
      </c>
      <c r="Q166" s="41" t="s">
        <v>366</v>
      </c>
      <c r="R166" s="41" t="s">
        <v>367</v>
      </c>
      <c r="S166" s="42">
        <v>78.56</v>
      </c>
      <c r="T166" s="43">
        <v>78.56</v>
      </c>
    </row>
    <row r="167" spans="1:20" x14ac:dyDescent="0.35">
      <c r="A167" s="44">
        <v>45143</v>
      </c>
      <c r="B167" s="9" t="s">
        <v>147</v>
      </c>
      <c r="C167" s="9" t="s">
        <v>86</v>
      </c>
      <c r="D167" s="9" t="s">
        <v>22</v>
      </c>
      <c r="E167" s="9" t="s">
        <v>83</v>
      </c>
      <c r="F167" s="9">
        <v>3</v>
      </c>
      <c r="G167" s="10">
        <v>124.07</v>
      </c>
      <c r="H167" s="9" t="s">
        <v>24</v>
      </c>
      <c r="I167" s="9" t="s">
        <v>392</v>
      </c>
      <c r="J167" s="9" t="s">
        <v>94</v>
      </c>
      <c r="K167" s="9" t="s">
        <v>60</v>
      </c>
      <c r="L167" s="9" t="s">
        <v>28</v>
      </c>
      <c r="M167" s="9" t="s">
        <v>79</v>
      </c>
      <c r="N167" s="10">
        <v>229.85</v>
      </c>
      <c r="O167" s="9">
        <v>2023</v>
      </c>
      <c r="P167" s="9">
        <v>8</v>
      </c>
      <c r="Q167" s="9" t="s">
        <v>393</v>
      </c>
      <c r="R167" s="9" t="s">
        <v>367</v>
      </c>
      <c r="S167" s="10">
        <v>229.85</v>
      </c>
      <c r="T167" s="45">
        <v>45.97</v>
      </c>
    </row>
    <row r="168" spans="1:20" x14ac:dyDescent="0.35">
      <c r="A168" s="40">
        <v>45147</v>
      </c>
      <c r="B168" s="41" t="s">
        <v>394</v>
      </c>
      <c r="C168" s="41" t="s">
        <v>86</v>
      </c>
      <c r="D168" s="41" t="s">
        <v>22</v>
      </c>
      <c r="E168" s="41" t="s">
        <v>83</v>
      </c>
      <c r="F168" s="41">
        <v>3</v>
      </c>
      <c r="G168" s="42">
        <v>124.56</v>
      </c>
      <c r="H168" s="41" t="s">
        <v>44</v>
      </c>
      <c r="I168" s="41" t="s">
        <v>395</v>
      </c>
      <c r="J168" s="41" t="s">
        <v>94</v>
      </c>
      <c r="K168" s="41" t="s">
        <v>60</v>
      </c>
      <c r="L168" s="41" t="s">
        <v>28</v>
      </c>
      <c r="M168" s="41" t="s">
        <v>67</v>
      </c>
      <c r="N168" s="42">
        <v>1569.88</v>
      </c>
      <c r="O168" s="41">
        <v>2023</v>
      </c>
      <c r="P168" s="41">
        <v>8</v>
      </c>
      <c r="Q168" s="41" t="s">
        <v>393</v>
      </c>
      <c r="R168" s="41" t="s">
        <v>367</v>
      </c>
      <c r="S168" s="42">
        <v>1569.88</v>
      </c>
      <c r="T168" s="43">
        <v>392.47</v>
      </c>
    </row>
    <row r="169" spans="1:20" x14ac:dyDescent="0.35">
      <c r="A169" s="44">
        <v>45148</v>
      </c>
      <c r="B169" s="9" t="s">
        <v>396</v>
      </c>
      <c r="C169" s="9" t="s">
        <v>86</v>
      </c>
      <c r="D169" s="9" t="s">
        <v>22</v>
      </c>
      <c r="E169" s="9" t="s">
        <v>83</v>
      </c>
      <c r="F169" s="9">
        <v>3</v>
      </c>
      <c r="G169" s="10">
        <v>124.76</v>
      </c>
      <c r="H169" s="9" t="s">
        <v>58</v>
      </c>
      <c r="I169" s="9" t="s">
        <v>397</v>
      </c>
      <c r="J169" s="9" t="s">
        <v>94</v>
      </c>
      <c r="K169" s="9" t="s">
        <v>60</v>
      </c>
      <c r="L169" s="9" t="s">
        <v>66</v>
      </c>
      <c r="M169" s="9" t="s">
        <v>56</v>
      </c>
      <c r="N169" s="10">
        <v>3081.96</v>
      </c>
      <c r="O169" s="9">
        <v>2023</v>
      </c>
      <c r="P169" s="9">
        <v>8</v>
      </c>
      <c r="Q169" s="9" t="s">
        <v>393</v>
      </c>
      <c r="R169" s="9" t="s">
        <v>367</v>
      </c>
      <c r="S169" s="10">
        <v>3081.96</v>
      </c>
      <c r="T169" s="45">
        <v>342.44</v>
      </c>
    </row>
    <row r="170" spans="1:20" x14ac:dyDescent="0.35">
      <c r="A170" s="40">
        <v>45151</v>
      </c>
      <c r="B170" s="41" t="s">
        <v>398</v>
      </c>
      <c r="C170" s="41" t="s">
        <v>86</v>
      </c>
      <c r="D170" s="41" t="s">
        <v>22</v>
      </c>
      <c r="E170" s="41" t="s">
        <v>83</v>
      </c>
      <c r="F170" s="41">
        <v>3</v>
      </c>
      <c r="G170" s="42">
        <v>125.58</v>
      </c>
      <c r="H170" s="41" t="s">
        <v>64</v>
      </c>
      <c r="I170" s="41" t="s">
        <v>399</v>
      </c>
      <c r="J170" s="41" t="s">
        <v>94</v>
      </c>
      <c r="K170" s="41" t="s">
        <v>60</v>
      </c>
      <c r="L170" s="41" t="s">
        <v>28</v>
      </c>
      <c r="M170" s="41" t="s">
        <v>101</v>
      </c>
      <c r="N170" s="42">
        <v>377.86</v>
      </c>
      <c r="O170" s="41">
        <v>2023</v>
      </c>
      <c r="P170" s="41">
        <v>8</v>
      </c>
      <c r="Q170" s="41" t="s">
        <v>393</v>
      </c>
      <c r="R170" s="41" t="s">
        <v>367</v>
      </c>
      <c r="S170" s="42">
        <v>377.86</v>
      </c>
      <c r="T170" s="43">
        <v>188.93</v>
      </c>
    </row>
    <row r="171" spans="1:20" x14ac:dyDescent="0.35">
      <c r="A171" s="44">
        <v>45154</v>
      </c>
      <c r="B171" s="9" t="s">
        <v>400</v>
      </c>
      <c r="C171" s="9" t="s">
        <v>86</v>
      </c>
      <c r="D171" s="9" t="s">
        <v>22</v>
      </c>
      <c r="E171" s="9" t="s">
        <v>83</v>
      </c>
      <c r="F171" s="9">
        <v>3</v>
      </c>
      <c r="G171" s="10">
        <v>125.66</v>
      </c>
      <c r="H171" s="9" t="s">
        <v>44</v>
      </c>
      <c r="I171" s="9" t="s">
        <v>401</v>
      </c>
      <c r="J171" s="9" t="s">
        <v>94</v>
      </c>
      <c r="K171" s="9" t="s">
        <v>60</v>
      </c>
      <c r="L171" s="9" t="s">
        <v>28</v>
      </c>
      <c r="M171" s="9" t="s">
        <v>67</v>
      </c>
      <c r="N171" s="10">
        <v>1600.14</v>
      </c>
      <c r="O171" s="9">
        <v>2023</v>
      </c>
      <c r="P171" s="9">
        <v>8</v>
      </c>
      <c r="Q171" s="9" t="s">
        <v>393</v>
      </c>
      <c r="R171" s="9" t="s">
        <v>367</v>
      </c>
      <c r="S171" s="10">
        <v>1600.14</v>
      </c>
      <c r="T171" s="45">
        <v>266.69</v>
      </c>
    </row>
    <row r="172" spans="1:20" x14ac:dyDescent="0.35">
      <c r="A172" s="40">
        <v>45158</v>
      </c>
      <c r="B172" s="41" t="s">
        <v>402</v>
      </c>
      <c r="C172" s="41" t="s">
        <v>86</v>
      </c>
      <c r="D172" s="41" t="s">
        <v>22</v>
      </c>
      <c r="E172" s="41" t="s">
        <v>83</v>
      </c>
      <c r="F172" s="41">
        <v>3</v>
      </c>
      <c r="G172" s="42">
        <v>126.69</v>
      </c>
      <c r="H172" s="41" t="s">
        <v>35</v>
      </c>
      <c r="I172" s="41" t="s">
        <v>403</v>
      </c>
      <c r="J172" s="41" t="s">
        <v>94</v>
      </c>
      <c r="K172" s="41" t="s">
        <v>60</v>
      </c>
      <c r="L172" s="41" t="s">
        <v>39</v>
      </c>
      <c r="M172" s="41" t="s">
        <v>101</v>
      </c>
      <c r="N172" s="42">
        <v>3239.1</v>
      </c>
      <c r="O172" s="41">
        <v>2023</v>
      </c>
      <c r="P172" s="41">
        <v>8</v>
      </c>
      <c r="Q172" s="41" t="s">
        <v>393</v>
      </c>
      <c r="R172" s="41" t="s">
        <v>367</v>
      </c>
      <c r="S172" s="42">
        <v>3239.1</v>
      </c>
      <c r="T172" s="43">
        <v>323.91000000000003</v>
      </c>
    </row>
    <row r="173" spans="1:20" x14ac:dyDescent="0.35">
      <c r="A173" s="44">
        <v>45161</v>
      </c>
      <c r="B173" s="9" t="s">
        <v>404</v>
      </c>
      <c r="C173" s="9" t="s">
        <v>86</v>
      </c>
      <c r="D173" s="9" t="s">
        <v>22</v>
      </c>
      <c r="E173" s="9" t="s">
        <v>83</v>
      </c>
      <c r="F173" s="9">
        <v>3</v>
      </c>
      <c r="G173" s="10">
        <v>126.74</v>
      </c>
      <c r="H173" s="9" t="s">
        <v>64</v>
      </c>
      <c r="I173" s="9" t="s">
        <v>405</v>
      </c>
      <c r="J173" s="9" t="s">
        <v>94</v>
      </c>
      <c r="K173" s="9" t="s">
        <v>60</v>
      </c>
      <c r="L173" s="9" t="s">
        <v>28</v>
      </c>
      <c r="M173" s="9" t="s">
        <v>67</v>
      </c>
      <c r="N173" s="10">
        <v>1833.02</v>
      </c>
      <c r="O173" s="9">
        <v>2023</v>
      </c>
      <c r="P173" s="9">
        <v>8</v>
      </c>
      <c r="Q173" s="9" t="s">
        <v>393</v>
      </c>
      <c r="R173" s="9" t="s">
        <v>367</v>
      </c>
      <c r="S173" s="10">
        <v>1833.02</v>
      </c>
      <c r="T173" s="45">
        <v>261.86</v>
      </c>
    </row>
    <row r="174" spans="1:20" x14ac:dyDescent="0.35">
      <c r="A174" s="40">
        <v>45161</v>
      </c>
      <c r="B174" s="41" t="s">
        <v>406</v>
      </c>
      <c r="C174" s="41" t="s">
        <v>86</v>
      </c>
      <c r="D174" s="41" t="s">
        <v>22</v>
      </c>
      <c r="E174" s="41" t="s">
        <v>83</v>
      </c>
      <c r="F174" s="41">
        <v>3</v>
      </c>
      <c r="G174" s="42">
        <v>127.19</v>
      </c>
      <c r="H174" s="41" t="s">
        <v>58</v>
      </c>
      <c r="I174" s="41" t="s">
        <v>407</v>
      </c>
      <c r="J174" s="41" t="s">
        <v>94</v>
      </c>
      <c r="K174" s="41" t="s">
        <v>60</v>
      </c>
      <c r="L174" s="41" t="s">
        <v>28</v>
      </c>
      <c r="M174" s="41" t="s">
        <v>67</v>
      </c>
      <c r="N174" s="42">
        <v>903.69</v>
      </c>
      <c r="O174" s="41">
        <v>2023</v>
      </c>
      <c r="P174" s="41">
        <v>8</v>
      </c>
      <c r="Q174" s="41" t="s">
        <v>393</v>
      </c>
      <c r="R174" s="41" t="s">
        <v>367</v>
      </c>
      <c r="S174" s="42">
        <v>903.69</v>
      </c>
      <c r="T174" s="43">
        <v>301.23</v>
      </c>
    </row>
    <row r="175" spans="1:20" x14ac:dyDescent="0.35">
      <c r="A175" s="44">
        <v>45162</v>
      </c>
      <c r="B175" s="9" t="s">
        <v>350</v>
      </c>
      <c r="C175" s="9" t="s">
        <v>81</v>
      </c>
      <c r="D175" s="9" t="s">
        <v>22</v>
      </c>
      <c r="E175" s="9" t="s">
        <v>83</v>
      </c>
      <c r="F175" s="9">
        <v>3</v>
      </c>
      <c r="G175" s="10">
        <v>127.4</v>
      </c>
      <c r="H175" s="9" t="s">
        <v>64</v>
      </c>
      <c r="I175" s="9" t="s">
        <v>408</v>
      </c>
      <c r="J175" s="9" t="s">
        <v>94</v>
      </c>
      <c r="K175" s="9" t="s">
        <v>60</v>
      </c>
      <c r="L175" s="9" t="s">
        <v>28</v>
      </c>
      <c r="M175" s="9" t="s">
        <v>56</v>
      </c>
      <c r="N175" s="10">
        <v>3063.7</v>
      </c>
      <c r="O175" s="9">
        <v>2023</v>
      </c>
      <c r="P175" s="9">
        <v>8</v>
      </c>
      <c r="Q175" s="9" t="s">
        <v>393</v>
      </c>
      <c r="R175" s="9" t="s">
        <v>367</v>
      </c>
      <c r="S175" s="10">
        <v>3063.7</v>
      </c>
      <c r="T175" s="45">
        <v>306.37</v>
      </c>
    </row>
    <row r="176" spans="1:20" x14ac:dyDescent="0.35">
      <c r="A176" s="40">
        <v>45163</v>
      </c>
      <c r="B176" s="41" t="s">
        <v>409</v>
      </c>
      <c r="C176" s="41" t="s">
        <v>81</v>
      </c>
      <c r="D176" s="41" t="s">
        <v>22</v>
      </c>
      <c r="E176" s="41" t="s">
        <v>83</v>
      </c>
      <c r="F176" s="41">
        <v>3</v>
      </c>
      <c r="G176" s="42">
        <v>128.69</v>
      </c>
      <c r="H176" s="41" t="s">
        <v>35</v>
      </c>
      <c r="I176" s="41" t="s">
        <v>410</v>
      </c>
      <c r="J176" s="41" t="s">
        <v>94</v>
      </c>
      <c r="K176" s="41" t="s">
        <v>60</v>
      </c>
      <c r="L176" s="41" t="s">
        <v>39</v>
      </c>
      <c r="M176" s="41" t="s">
        <v>61</v>
      </c>
      <c r="N176" s="42">
        <v>2482.08</v>
      </c>
      <c r="O176" s="41">
        <v>2023</v>
      </c>
      <c r="P176" s="41">
        <v>8</v>
      </c>
      <c r="Q176" s="41" t="s">
        <v>393</v>
      </c>
      <c r="R176" s="41" t="s">
        <v>367</v>
      </c>
      <c r="S176" s="42">
        <v>2482.08</v>
      </c>
      <c r="T176" s="43">
        <v>310.26</v>
      </c>
    </row>
    <row r="177" spans="1:20" x14ac:dyDescent="0.35">
      <c r="A177" s="44">
        <v>45164</v>
      </c>
      <c r="B177" s="9" t="s">
        <v>348</v>
      </c>
      <c r="C177" s="9" t="s">
        <v>81</v>
      </c>
      <c r="D177" s="9" t="s">
        <v>22</v>
      </c>
      <c r="E177" s="9" t="s">
        <v>83</v>
      </c>
      <c r="F177" s="9">
        <v>4</v>
      </c>
      <c r="G177" s="10">
        <v>129.21</v>
      </c>
      <c r="H177" s="9" t="s">
        <v>44</v>
      </c>
      <c r="I177" s="9" t="s">
        <v>411</v>
      </c>
      <c r="J177" s="9" t="s">
        <v>94</v>
      </c>
      <c r="K177" s="9" t="s">
        <v>60</v>
      </c>
      <c r="L177" s="9" t="s">
        <v>28</v>
      </c>
      <c r="M177" s="9" t="s">
        <v>79</v>
      </c>
      <c r="N177" s="10">
        <v>182.66</v>
      </c>
      <c r="O177" s="9">
        <v>2023</v>
      </c>
      <c r="P177" s="9">
        <v>8</v>
      </c>
      <c r="Q177" s="9" t="s">
        <v>393</v>
      </c>
      <c r="R177" s="9" t="s">
        <v>367</v>
      </c>
      <c r="S177" s="10">
        <v>182.66</v>
      </c>
      <c r="T177" s="45">
        <v>91.33</v>
      </c>
    </row>
    <row r="178" spans="1:20" x14ac:dyDescent="0.35">
      <c r="A178" s="40">
        <v>45164</v>
      </c>
      <c r="B178" s="41" t="s">
        <v>412</v>
      </c>
      <c r="C178" s="41" t="s">
        <v>81</v>
      </c>
      <c r="D178" s="41" t="s">
        <v>22</v>
      </c>
      <c r="E178" s="41" t="s">
        <v>83</v>
      </c>
      <c r="F178" s="41">
        <v>4</v>
      </c>
      <c r="G178" s="42">
        <v>129.76</v>
      </c>
      <c r="H178" s="41" t="s">
        <v>64</v>
      </c>
      <c r="I178" s="41" t="s">
        <v>413</v>
      </c>
      <c r="J178" s="41" t="s">
        <v>94</v>
      </c>
      <c r="K178" s="41" t="s">
        <v>60</v>
      </c>
      <c r="L178" s="41" t="s">
        <v>39</v>
      </c>
      <c r="M178" s="41" t="s">
        <v>79</v>
      </c>
      <c r="N178" s="42">
        <v>195.54</v>
      </c>
      <c r="O178" s="41">
        <v>2023</v>
      </c>
      <c r="P178" s="41">
        <v>8</v>
      </c>
      <c r="Q178" s="41" t="s">
        <v>393</v>
      </c>
      <c r="R178" s="41" t="s">
        <v>367</v>
      </c>
      <c r="S178" s="42">
        <v>195.54</v>
      </c>
      <c r="T178" s="43">
        <v>32.590000000000003</v>
      </c>
    </row>
    <row r="179" spans="1:20" x14ac:dyDescent="0.35">
      <c r="A179" s="44">
        <v>45165</v>
      </c>
      <c r="B179" s="9" t="s">
        <v>414</v>
      </c>
      <c r="C179" s="9" t="s">
        <v>81</v>
      </c>
      <c r="D179" s="9" t="s">
        <v>22</v>
      </c>
      <c r="E179" s="9" t="s">
        <v>83</v>
      </c>
      <c r="F179" s="9">
        <v>4</v>
      </c>
      <c r="G179" s="10">
        <v>130.81</v>
      </c>
      <c r="H179" s="9" t="s">
        <v>24</v>
      </c>
      <c r="I179" s="9" t="s">
        <v>415</v>
      </c>
      <c r="J179" s="9" t="s">
        <v>94</v>
      </c>
      <c r="K179" s="9" t="s">
        <v>60</v>
      </c>
      <c r="L179" s="9" t="s">
        <v>66</v>
      </c>
      <c r="M179" s="9" t="s">
        <v>101</v>
      </c>
      <c r="N179" s="10">
        <v>144.03</v>
      </c>
      <c r="O179" s="9">
        <v>2023</v>
      </c>
      <c r="P179" s="9">
        <v>8</v>
      </c>
      <c r="Q179" s="9" t="s">
        <v>393</v>
      </c>
      <c r="R179" s="9" t="s">
        <v>367</v>
      </c>
      <c r="S179" s="10">
        <v>144.03</v>
      </c>
      <c r="T179" s="45">
        <v>144.03</v>
      </c>
    </row>
    <row r="180" spans="1:20" x14ac:dyDescent="0.35">
      <c r="A180" s="40">
        <v>45165</v>
      </c>
      <c r="B180" s="41" t="s">
        <v>416</v>
      </c>
      <c r="C180" s="41" t="s">
        <v>81</v>
      </c>
      <c r="D180" s="41" t="s">
        <v>22</v>
      </c>
      <c r="E180" s="41" t="s">
        <v>83</v>
      </c>
      <c r="F180" s="41">
        <v>4</v>
      </c>
      <c r="G180" s="42">
        <v>131.76</v>
      </c>
      <c r="H180" s="41" t="s">
        <v>44</v>
      </c>
      <c r="I180" s="41" t="s">
        <v>417</v>
      </c>
      <c r="J180" s="41" t="s">
        <v>94</v>
      </c>
      <c r="K180" s="41" t="s">
        <v>60</v>
      </c>
      <c r="L180" s="41" t="s">
        <v>39</v>
      </c>
      <c r="M180" s="41" t="s">
        <v>101</v>
      </c>
      <c r="N180" s="42">
        <v>482.64</v>
      </c>
      <c r="O180" s="41">
        <v>2023</v>
      </c>
      <c r="P180" s="41">
        <v>8</v>
      </c>
      <c r="Q180" s="41" t="s">
        <v>393</v>
      </c>
      <c r="R180" s="41" t="s">
        <v>367</v>
      </c>
      <c r="S180" s="42">
        <v>482.64</v>
      </c>
      <c r="T180" s="43">
        <v>80.44</v>
      </c>
    </row>
    <row r="181" spans="1:20" x14ac:dyDescent="0.35">
      <c r="A181" s="44">
        <v>45171</v>
      </c>
      <c r="B181" s="9" t="s">
        <v>418</v>
      </c>
      <c r="C181" s="9" t="s">
        <v>81</v>
      </c>
      <c r="D181" s="9" t="s">
        <v>22</v>
      </c>
      <c r="E181" s="9" t="s">
        <v>83</v>
      </c>
      <c r="F181" s="9">
        <v>4</v>
      </c>
      <c r="G181" s="10">
        <v>131.86000000000001</v>
      </c>
      <c r="H181" s="9" t="s">
        <v>64</v>
      </c>
      <c r="I181" s="9" t="s">
        <v>419</v>
      </c>
      <c r="J181" s="9" t="s">
        <v>94</v>
      </c>
      <c r="K181" s="9" t="s">
        <v>60</v>
      </c>
      <c r="L181" s="9" t="s">
        <v>28</v>
      </c>
      <c r="M181" s="9" t="s">
        <v>79</v>
      </c>
      <c r="N181" s="10">
        <v>11.7</v>
      </c>
      <c r="O181" s="9">
        <v>2023</v>
      </c>
      <c r="P181" s="9">
        <v>9</v>
      </c>
      <c r="Q181" s="9" t="s">
        <v>420</v>
      </c>
      <c r="R181" s="9" t="s">
        <v>367</v>
      </c>
      <c r="S181" s="10">
        <v>11.7</v>
      </c>
      <c r="T181" s="45">
        <v>11.7</v>
      </c>
    </row>
    <row r="182" spans="1:20" x14ac:dyDescent="0.35">
      <c r="A182" s="40">
        <v>45171</v>
      </c>
      <c r="B182" s="41" t="s">
        <v>421</v>
      </c>
      <c r="C182" s="41" t="s">
        <v>81</v>
      </c>
      <c r="D182" s="41" t="s">
        <v>22</v>
      </c>
      <c r="E182" s="41" t="s">
        <v>83</v>
      </c>
      <c r="F182" s="41">
        <v>4</v>
      </c>
      <c r="G182" s="42">
        <v>132.06</v>
      </c>
      <c r="H182" s="41" t="s">
        <v>24</v>
      </c>
      <c r="I182" s="41" t="s">
        <v>422</v>
      </c>
      <c r="J182" s="41" t="s">
        <v>94</v>
      </c>
      <c r="K182" s="41" t="s">
        <v>60</v>
      </c>
      <c r="L182" s="41" t="s">
        <v>39</v>
      </c>
      <c r="M182" s="41" t="s">
        <v>79</v>
      </c>
      <c r="N182" s="42">
        <v>142.57</v>
      </c>
      <c r="O182" s="41">
        <v>2023</v>
      </c>
      <c r="P182" s="41">
        <v>9</v>
      </c>
      <c r="Q182" s="41" t="s">
        <v>420</v>
      </c>
      <c r="R182" s="41" t="s">
        <v>367</v>
      </c>
      <c r="S182" s="42">
        <v>142.57</v>
      </c>
      <c r="T182" s="43">
        <v>142.57</v>
      </c>
    </row>
    <row r="183" spans="1:20" x14ac:dyDescent="0.35">
      <c r="A183" s="44">
        <v>45172</v>
      </c>
      <c r="B183" s="9" t="s">
        <v>423</v>
      </c>
      <c r="C183" s="9" t="s">
        <v>81</v>
      </c>
      <c r="D183" s="9" t="s">
        <v>22</v>
      </c>
      <c r="E183" s="9" t="s">
        <v>83</v>
      </c>
      <c r="F183" s="9">
        <v>4</v>
      </c>
      <c r="G183" s="10">
        <v>132.93</v>
      </c>
      <c r="H183" s="9" t="s">
        <v>24</v>
      </c>
      <c r="I183" s="9" t="s">
        <v>424</v>
      </c>
      <c r="J183" s="9" t="s">
        <v>94</v>
      </c>
      <c r="K183" s="9" t="s">
        <v>60</v>
      </c>
      <c r="L183" s="9" t="s">
        <v>28</v>
      </c>
      <c r="M183" s="9" t="s">
        <v>101</v>
      </c>
      <c r="N183" s="10">
        <v>1547.77</v>
      </c>
      <c r="O183" s="9">
        <v>2023</v>
      </c>
      <c r="P183" s="9">
        <v>9</v>
      </c>
      <c r="Q183" s="9" t="s">
        <v>420</v>
      </c>
      <c r="R183" s="9" t="s">
        <v>367</v>
      </c>
      <c r="S183" s="10">
        <v>1547.77</v>
      </c>
      <c r="T183" s="45">
        <v>221.11</v>
      </c>
    </row>
    <row r="184" spans="1:20" x14ac:dyDescent="0.35">
      <c r="A184" s="40">
        <v>45173</v>
      </c>
      <c r="B184" s="41" t="s">
        <v>425</v>
      </c>
      <c r="C184" s="41" t="s">
        <v>81</v>
      </c>
      <c r="D184" s="41" t="s">
        <v>22</v>
      </c>
      <c r="E184" s="41" t="s">
        <v>83</v>
      </c>
      <c r="F184" s="41">
        <v>4</v>
      </c>
      <c r="G184" s="42">
        <v>133.01</v>
      </c>
      <c r="H184" s="41" t="s">
        <v>24</v>
      </c>
      <c r="I184" s="41" t="s">
        <v>426</v>
      </c>
      <c r="J184" s="41" t="s">
        <v>94</v>
      </c>
      <c r="K184" s="41" t="s">
        <v>60</v>
      </c>
      <c r="L184" s="41" t="s">
        <v>66</v>
      </c>
      <c r="M184" s="41" t="s">
        <v>29</v>
      </c>
      <c r="N184" s="42">
        <v>2126.46</v>
      </c>
      <c r="O184" s="41">
        <v>2023</v>
      </c>
      <c r="P184" s="41">
        <v>9</v>
      </c>
      <c r="Q184" s="41" t="s">
        <v>420</v>
      </c>
      <c r="R184" s="41" t="s">
        <v>367</v>
      </c>
      <c r="S184" s="42">
        <v>2126.46</v>
      </c>
      <c r="T184" s="43">
        <v>303.77999999999997</v>
      </c>
    </row>
    <row r="185" spans="1:20" x14ac:dyDescent="0.35">
      <c r="A185" s="44">
        <v>45176</v>
      </c>
      <c r="B185" s="9" t="s">
        <v>427</v>
      </c>
      <c r="C185" s="9" t="s">
        <v>81</v>
      </c>
      <c r="D185" s="9" t="s">
        <v>22</v>
      </c>
      <c r="E185" s="9" t="s">
        <v>83</v>
      </c>
      <c r="F185" s="9">
        <v>4</v>
      </c>
      <c r="G185" s="10">
        <v>133.33000000000001</v>
      </c>
      <c r="H185" s="9" t="s">
        <v>64</v>
      </c>
      <c r="I185" s="9" t="s">
        <v>428</v>
      </c>
      <c r="J185" s="9" t="s">
        <v>94</v>
      </c>
      <c r="K185" s="9" t="s">
        <v>60</v>
      </c>
      <c r="L185" s="9" t="s">
        <v>28</v>
      </c>
      <c r="M185" s="9" t="s">
        <v>56</v>
      </c>
      <c r="N185" s="10">
        <v>3557.4</v>
      </c>
      <c r="O185" s="9">
        <v>2023</v>
      </c>
      <c r="P185" s="9">
        <v>9</v>
      </c>
      <c r="Q185" s="9" t="s">
        <v>420</v>
      </c>
      <c r="R185" s="9" t="s">
        <v>367</v>
      </c>
      <c r="S185" s="10">
        <v>3557.4</v>
      </c>
      <c r="T185" s="45">
        <v>355.74</v>
      </c>
    </row>
    <row r="186" spans="1:20" x14ac:dyDescent="0.35">
      <c r="A186" s="40">
        <v>45177</v>
      </c>
      <c r="B186" s="41" t="s">
        <v>429</v>
      </c>
      <c r="C186" s="41" t="s">
        <v>81</v>
      </c>
      <c r="D186" s="41" t="s">
        <v>22</v>
      </c>
      <c r="E186" s="41" t="s">
        <v>83</v>
      </c>
      <c r="F186" s="41">
        <v>4</v>
      </c>
      <c r="G186" s="42">
        <v>133.51</v>
      </c>
      <c r="H186" s="41" t="s">
        <v>58</v>
      </c>
      <c r="I186" s="41" t="s">
        <v>430</v>
      </c>
      <c r="J186" s="41" t="s">
        <v>94</v>
      </c>
      <c r="K186" s="41" t="s">
        <v>60</v>
      </c>
      <c r="L186" s="41" t="s">
        <v>39</v>
      </c>
      <c r="M186" s="41" t="s">
        <v>61</v>
      </c>
      <c r="N186" s="42">
        <v>868.28</v>
      </c>
      <c r="O186" s="41">
        <v>2023</v>
      </c>
      <c r="P186" s="41">
        <v>9</v>
      </c>
      <c r="Q186" s="41" t="s">
        <v>420</v>
      </c>
      <c r="R186" s="41" t="s">
        <v>367</v>
      </c>
      <c r="S186" s="42">
        <v>868.28</v>
      </c>
      <c r="T186" s="43">
        <v>217.07</v>
      </c>
    </row>
    <row r="187" spans="1:20" x14ac:dyDescent="0.35">
      <c r="A187" s="44">
        <v>45177</v>
      </c>
      <c r="B187" s="9" t="s">
        <v>431</v>
      </c>
      <c r="C187" s="9" t="s">
        <v>81</v>
      </c>
      <c r="D187" s="9" t="s">
        <v>22</v>
      </c>
      <c r="E187" s="9" t="s">
        <v>83</v>
      </c>
      <c r="F187" s="9">
        <v>4</v>
      </c>
      <c r="G187" s="10">
        <v>133.72</v>
      </c>
      <c r="H187" s="9" t="s">
        <v>44</v>
      </c>
      <c r="I187" s="9" t="s">
        <v>432</v>
      </c>
      <c r="J187" s="9" t="s">
        <v>94</v>
      </c>
      <c r="K187" s="9" t="s">
        <v>60</v>
      </c>
      <c r="L187" s="9" t="s">
        <v>28</v>
      </c>
      <c r="M187" s="9" t="s">
        <v>61</v>
      </c>
      <c r="N187" s="10">
        <v>710.2</v>
      </c>
      <c r="O187" s="9">
        <v>2023</v>
      </c>
      <c r="P187" s="9">
        <v>9</v>
      </c>
      <c r="Q187" s="9" t="s">
        <v>420</v>
      </c>
      <c r="R187" s="9" t="s">
        <v>367</v>
      </c>
      <c r="S187" s="10">
        <v>710.2</v>
      </c>
      <c r="T187" s="45">
        <v>142.04</v>
      </c>
    </row>
    <row r="188" spans="1:20" x14ac:dyDescent="0.35">
      <c r="A188" s="40">
        <v>45181</v>
      </c>
      <c r="B188" s="41" t="s">
        <v>433</v>
      </c>
      <c r="C188" s="41" t="s">
        <v>81</v>
      </c>
      <c r="D188" s="41" t="s">
        <v>22</v>
      </c>
      <c r="E188" s="41" t="s">
        <v>83</v>
      </c>
      <c r="F188" s="41">
        <v>4</v>
      </c>
      <c r="G188" s="42">
        <v>134.1</v>
      </c>
      <c r="H188" s="41" t="s">
        <v>44</v>
      </c>
      <c r="I188" s="41" t="s">
        <v>434</v>
      </c>
      <c r="J188" s="41" t="s">
        <v>94</v>
      </c>
      <c r="K188" s="41" t="s">
        <v>60</v>
      </c>
      <c r="L188" s="41" t="s">
        <v>66</v>
      </c>
      <c r="M188" s="41" t="s">
        <v>49</v>
      </c>
      <c r="N188" s="42">
        <v>431.2</v>
      </c>
      <c r="O188" s="41">
        <v>2023</v>
      </c>
      <c r="P188" s="41">
        <v>9</v>
      </c>
      <c r="Q188" s="41" t="s">
        <v>420</v>
      </c>
      <c r="R188" s="41" t="s">
        <v>367</v>
      </c>
      <c r="S188" s="42">
        <v>431.2</v>
      </c>
      <c r="T188" s="43">
        <v>215.6</v>
      </c>
    </row>
    <row r="189" spans="1:20" x14ac:dyDescent="0.35">
      <c r="A189" s="44">
        <v>45184</v>
      </c>
      <c r="B189" s="9" t="s">
        <v>435</v>
      </c>
      <c r="C189" s="9" t="s">
        <v>81</v>
      </c>
      <c r="D189" s="9" t="s">
        <v>22</v>
      </c>
      <c r="E189" s="9" t="s">
        <v>83</v>
      </c>
      <c r="F189" s="9">
        <v>4</v>
      </c>
      <c r="G189" s="10">
        <v>136.38999999999999</v>
      </c>
      <c r="H189" s="9" t="s">
        <v>44</v>
      </c>
      <c r="I189" s="9" t="s">
        <v>436</v>
      </c>
      <c r="J189" s="9" t="s">
        <v>94</v>
      </c>
      <c r="K189" s="9" t="s">
        <v>60</v>
      </c>
      <c r="L189" s="9" t="s">
        <v>28</v>
      </c>
      <c r="M189" s="9" t="s">
        <v>61</v>
      </c>
      <c r="N189" s="10">
        <v>1483.6</v>
      </c>
      <c r="O189" s="9">
        <v>2023</v>
      </c>
      <c r="P189" s="9">
        <v>9</v>
      </c>
      <c r="Q189" s="9" t="s">
        <v>420</v>
      </c>
      <c r="R189" s="9" t="s">
        <v>367</v>
      </c>
      <c r="S189" s="10">
        <v>1483.6</v>
      </c>
      <c r="T189" s="45">
        <v>370.9</v>
      </c>
    </row>
    <row r="190" spans="1:20" x14ac:dyDescent="0.35">
      <c r="A190" s="40">
        <v>45184</v>
      </c>
      <c r="B190" s="41" t="s">
        <v>437</v>
      </c>
      <c r="C190" s="41" t="s">
        <v>81</v>
      </c>
      <c r="D190" s="41" t="s">
        <v>22</v>
      </c>
      <c r="E190" s="41" t="s">
        <v>83</v>
      </c>
      <c r="F190" s="41">
        <v>4</v>
      </c>
      <c r="G190" s="42">
        <v>137.22999999999999</v>
      </c>
      <c r="H190" s="41" t="s">
        <v>58</v>
      </c>
      <c r="I190" s="41" t="s">
        <v>438</v>
      </c>
      <c r="J190" s="41" t="s">
        <v>94</v>
      </c>
      <c r="K190" s="41" t="s">
        <v>60</v>
      </c>
      <c r="L190" s="41" t="s">
        <v>28</v>
      </c>
      <c r="M190" s="41" t="s">
        <v>61</v>
      </c>
      <c r="N190" s="42">
        <v>1505.1</v>
      </c>
      <c r="O190" s="41">
        <v>2023</v>
      </c>
      <c r="P190" s="41">
        <v>9</v>
      </c>
      <c r="Q190" s="41" t="s">
        <v>420</v>
      </c>
      <c r="R190" s="41" t="s">
        <v>367</v>
      </c>
      <c r="S190" s="42">
        <v>1505.1</v>
      </c>
      <c r="T190" s="43">
        <v>150.51</v>
      </c>
    </row>
    <row r="191" spans="1:20" x14ac:dyDescent="0.35">
      <c r="A191" s="44">
        <v>45188</v>
      </c>
      <c r="B191" s="9" t="s">
        <v>439</v>
      </c>
      <c r="C191" s="9" t="s">
        <v>81</v>
      </c>
      <c r="D191" s="9" t="s">
        <v>22</v>
      </c>
      <c r="E191" s="9" t="s">
        <v>83</v>
      </c>
      <c r="F191" s="9">
        <v>4</v>
      </c>
      <c r="G191" s="10">
        <v>137.44999999999999</v>
      </c>
      <c r="H191" s="9" t="s">
        <v>44</v>
      </c>
      <c r="I191" s="9" t="s">
        <v>440</v>
      </c>
      <c r="J191" s="9" t="s">
        <v>94</v>
      </c>
      <c r="K191" s="9" t="s">
        <v>60</v>
      </c>
      <c r="L191" s="9" t="s">
        <v>28</v>
      </c>
      <c r="M191" s="9" t="s">
        <v>49</v>
      </c>
      <c r="N191" s="10">
        <v>3549.78</v>
      </c>
      <c r="O191" s="9">
        <v>2023</v>
      </c>
      <c r="P191" s="9">
        <v>9</v>
      </c>
      <c r="Q191" s="9" t="s">
        <v>420</v>
      </c>
      <c r="R191" s="9" t="s">
        <v>367</v>
      </c>
      <c r="S191" s="10">
        <v>3549.78</v>
      </c>
      <c r="T191" s="45">
        <v>394.42</v>
      </c>
    </row>
    <row r="192" spans="1:20" x14ac:dyDescent="0.35">
      <c r="A192" s="40">
        <v>45189</v>
      </c>
      <c r="B192" s="41" t="s">
        <v>441</v>
      </c>
      <c r="C192" s="41" t="s">
        <v>81</v>
      </c>
      <c r="D192" s="41" t="s">
        <v>22</v>
      </c>
      <c r="E192" s="41" t="s">
        <v>83</v>
      </c>
      <c r="F192" s="41">
        <v>4</v>
      </c>
      <c r="G192" s="42">
        <v>138.47999999999999</v>
      </c>
      <c r="H192" s="41" t="s">
        <v>44</v>
      </c>
      <c r="I192" s="41" t="s">
        <v>442</v>
      </c>
      <c r="J192" s="41" t="s">
        <v>94</v>
      </c>
      <c r="K192" s="41" t="s">
        <v>60</v>
      </c>
      <c r="L192" s="41" t="s">
        <v>28</v>
      </c>
      <c r="M192" s="41" t="s">
        <v>67</v>
      </c>
      <c r="N192" s="42">
        <v>780.16</v>
      </c>
      <c r="O192" s="41">
        <v>2023</v>
      </c>
      <c r="P192" s="41">
        <v>9</v>
      </c>
      <c r="Q192" s="41" t="s">
        <v>420</v>
      </c>
      <c r="R192" s="41" t="s">
        <v>367</v>
      </c>
      <c r="S192" s="42">
        <v>780.16</v>
      </c>
      <c r="T192" s="43">
        <v>97.52</v>
      </c>
    </row>
    <row r="193" spans="1:20" x14ac:dyDescent="0.35">
      <c r="A193" s="44">
        <v>45189</v>
      </c>
      <c r="B193" s="9" t="s">
        <v>443</v>
      </c>
      <c r="C193" s="9" t="s">
        <v>81</v>
      </c>
      <c r="D193" s="9" t="s">
        <v>22</v>
      </c>
      <c r="E193" s="9" t="s">
        <v>83</v>
      </c>
      <c r="F193" s="9">
        <v>4</v>
      </c>
      <c r="G193" s="10">
        <v>139.32</v>
      </c>
      <c r="H193" s="9" t="s">
        <v>35</v>
      </c>
      <c r="I193" s="9" t="s">
        <v>444</v>
      </c>
      <c r="J193" s="9" t="s">
        <v>94</v>
      </c>
      <c r="K193" s="9" t="s">
        <v>60</v>
      </c>
      <c r="L193" s="9" t="s">
        <v>39</v>
      </c>
      <c r="M193" s="9" t="s">
        <v>67</v>
      </c>
      <c r="N193" s="10">
        <v>485.95</v>
      </c>
      <c r="O193" s="9">
        <v>2023</v>
      </c>
      <c r="P193" s="9">
        <v>9</v>
      </c>
      <c r="Q193" s="9" t="s">
        <v>420</v>
      </c>
      <c r="R193" s="9" t="s">
        <v>367</v>
      </c>
      <c r="S193" s="10">
        <v>485.95</v>
      </c>
      <c r="T193" s="45">
        <v>97.19</v>
      </c>
    </row>
    <row r="194" spans="1:20" x14ac:dyDescent="0.35">
      <c r="A194" s="40">
        <v>45190</v>
      </c>
      <c r="B194" s="41" t="s">
        <v>110</v>
      </c>
      <c r="C194" s="41" t="s">
        <v>81</v>
      </c>
      <c r="D194" s="41" t="s">
        <v>22</v>
      </c>
      <c r="E194" s="41" t="s">
        <v>83</v>
      </c>
      <c r="F194" s="41">
        <v>4</v>
      </c>
      <c r="G194" s="42">
        <v>139.58000000000001</v>
      </c>
      <c r="H194" s="41" t="s">
        <v>44</v>
      </c>
      <c r="I194" s="41" t="s">
        <v>445</v>
      </c>
      <c r="J194" s="41" t="s">
        <v>94</v>
      </c>
      <c r="K194" s="41" t="s">
        <v>60</v>
      </c>
      <c r="L194" s="41" t="s">
        <v>28</v>
      </c>
      <c r="M194" s="41" t="s">
        <v>56</v>
      </c>
      <c r="N194" s="42">
        <v>909.3</v>
      </c>
      <c r="O194" s="41">
        <v>2023</v>
      </c>
      <c r="P194" s="41">
        <v>9</v>
      </c>
      <c r="Q194" s="41" t="s">
        <v>420</v>
      </c>
      <c r="R194" s="41" t="s">
        <v>367</v>
      </c>
      <c r="S194" s="42">
        <v>909.3</v>
      </c>
      <c r="T194" s="43">
        <v>181.86</v>
      </c>
    </row>
    <row r="195" spans="1:20" x14ac:dyDescent="0.35">
      <c r="A195" s="44">
        <v>45191</v>
      </c>
      <c r="B195" s="9" t="s">
        <v>446</v>
      </c>
      <c r="C195" s="9" t="s">
        <v>81</v>
      </c>
      <c r="D195" s="9" t="s">
        <v>22</v>
      </c>
      <c r="E195" s="9" t="s">
        <v>83</v>
      </c>
      <c r="F195" s="9">
        <v>4</v>
      </c>
      <c r="G195" s="10">
        <v>140.31</v>
      </c>
      <c r="H195" s="9" t="s">
        <v>58</v>
      </c>
      <c r="I195" s="9" t="s">
        <v>447</v>
      </c>
      <c r="J195" s="9" t="s">
        <v>94</v>
      </c>
      <c r="K195" s="9" t="s">
        <v>60</v>
      </c>
      <c r="L195" s="9" t="s">
        <v>39</v>
      </c>
      <c r="M195" s="9" t="s">
        <v>61</v>
      </c>
      <c r="N195" s="10">
        <v>1496.88</v>
      </c>
      <c r="O195" s="9">
        <v>2023</v>
      </c>
      <c r="P195" s="9">
        <v>9</v>
      </c>
      <c r="Q195" s="9" t="s">
        <v>420</v>
      </c>
      <c r="R195" s="9" t="s">
        <v>367</v>
      </c>
      <c r="S195" s="10">
        <v>1496.88</v>
      </c>
      <c r="T195" s="45">
        <v>166.32</v>
      </c>
    </row>
    <row r="196" spans="1:20" x14ac:dyDescent="0.35">
      <c r="A196" s="40">
        <v>45193</v>
      </c>
      <c r="B196" s="41" t="s">
        <v>448</v>
      </c>
      <c r="C196" s="41" t="s">
        <v>81</v>
      </c>
      <c r="D196" s="41" t="s">
        <v>22</v>
      </c>
      <c r="E196" s="41" t="s">
        <v>83</v>
      </c>
      <c r="F196" s="41">
        <v>4</v>
      </c>
      <c r="G196" s="42">
        <v>140.38</v>
      </c>
      <c r="H196" s="41" t="s">
        <v>35</v>
      </c>
      <c r="I196" s="41" t="s">
        <v>449</v>
      </c>
      <c r="J196" s="41" t="s">
        <v>94</v>
      </c>
      <c r="K196" s="41" t="s">
        <v>60</v>
      </c>
      <c r="L196" s="41" t="s">
        <v>66</v>
      </c>
      <c r="M196" s="41" t="s">
        <v>101</v>
      </c>
      <c r="N196" s="42">
        <v>80.34</v>
      </c>
      <c r="O196" s="41">
        <v>2023</v>
      </c>
      <c r="P196" s="41">
        <v>9</v>
      </c>
      <c r="Q196" s="41" t="s">
        <v>420</v>
      </c>
      <c r="R196" s="41" t="s">
        <v>367</v>
      </c>
      <c r="S196" s="42">
        <v>80.34</v>
      </c>
      <c r="T196" s="43">
        <v>26.78</v>
      </c>
    </row>
    <row r="197" spans="1:20" x14ac:dyDescent="0.35">
      <c r="A197" s="44">
        <v>45195</v>
      </c>
      <c r="B197" s="9" t="s">
        <v>450</v>
      </c>
      <c r="C197" s="9" t="s">
        <v>81</v>
      </c>
      <c r="D197" s="9" t="s">
        <v>22</v>
      </c>
      <c r="E197" s="9" t="s">
        <v>83</v>
      </c>
      <c r="F197" s="9">
        <v>4</v>
      </c>
      <c r="G197" s="10">
        <v>140.38999999999999</v>
      </c>
      <c r="H197" s="9" t="s">
        <v>24</v>
      </c>
      <c r="I197" s="9" t="s">
        <v>451</v>
      </c>
      <c r="J197" s="9" t="s">
        <v>94</v>
      </c>
      <c r="K197" s="9" t="s">
        <v>60</v>
      </c>
      <c r="L197" s="9" t="s">
        <v>39</v>
      </c>
      <c r="M197" s="9" t="s">
        <v>49</v>
      </c>
      <c r="N197" s="10">
        <v>345.24</v>
      </c>
      <c r="O197" s="9">
        <v>2023</v>
      </c>
      <c r="P197" s="9">
        <v>9</v>
      </c>
      <c r="Q197" s="9" t="s">
        <v>420</v>
      </c>
      <c r="R197" s="9" t="s">
        <v>367</v>
      </c>
      <c r="S197" s="10">
        <v>345.24</v>
      </c>
      <c r="T197" s="45">
        <v>86.31</v>
      </c>
    </row>
    <row r="198" spans="1:20" x14ac:dyDescent="0.35">
      <c r="A198" s="40">
        <v>45197</v>
      </c>
      <c r="B198" s="41" t="s">
        <v>452</v>
      </c>
      <c r="C198" s="41" t="s">
        <v>81</v>
      </c>
      <c r="D198" s="41" t="s">
        <v>22</v>
      </c>
      <c r="E198" s="41" t="s">
        <v>83</v>
      </c>
      <c r="F198" s="41">
        <v>4</v>
      </c>
      <c r="G198" s="42">
        <v>140.99</v>
      </c>
      <c r="H198" s="41" t="s">
        <v>58</v>
      </c>
      <c r="I198" s="41" t="s">
        <v>453</v>
      </c>
      <c r="J198" s="41" t="s">
        <v>94</v>
      </c>
      <c r="K198" s="41" t="s">
        <v>60</v>
      </c>
      <c r="L198" s="41" t="s">
        <v>28</v>
      </c>
      <c r="M198" s="41" t="s">
        <v>56</v>
      </c>
      <c r="N198" s="42">
        <v>1186.74</v>
      </c>
      <c r="O198" s="41">
        <v>2023</v>
      </c>
      <c r="P198" s="41">
        <v>9</v>
      </c>
      <c r="Q198" s="41" t="s">
        <v>420</v>
      </c>
      <c r="R198" s="41" t="s">
        <v>367</v>
      </c>
      <c r="S198" s="42">
        <v>1186.74</v>
      </c>
      <c r="T198" s="43">
        <v>131.86000000000001</v>
      </c>
    </row>
    <row r="199" spans="1:20" x14ac:dyDescent="0.35">
      <c r="A199" s="44">
        <v>45197</v>
      </c>
      <c r="B199" s="9" t="s">
        <v>454</v>
      </c>
      <c r="C199" s="9" t="s">
        <v>81</v>
      </c>
      <c r="D199" s="9" t="s">
        <v>22</v>
      </c>
      <c r="E199" s="9" t="s">
        <v>83</v>
      </c>
      <c r="F199" s="9">
        <v>4</v>
      </c>
      <c r="G199" s="10">
        <v>141.71</v>
      </c>
      <c r="H199" s="9" t="s">
        <v>64</v>
      </c>
      <c r="I199" s="9" t="s">
        <v>455</v>
      </c>
      <c r="J199" s="9" t="s">
        <v>94</v>
      </c>
      <c r="K199" s="9" t="s">
        <v>60</v>
      </c>
      <c r="L199" s="9" t="s">
        <v>66</v>
      </c>
      <c r="M199" s="9" t="s">
        <v>56</v>
      </c>
      <c r="N199" s="10">
        <v>2426</v>
      </c>
      <c r="O199" s="9">
        <v>2023</v>
      </c>
      <c r="P199" s="9">
        <v>9</v>
      </c>
      <c r="Q199" s="9" t="s">
        <v>420</v>
      </c>
      <c r="R199" s="9" t="s">
        <v>367</v>
      </c>
      <c r="S199" s="10">
        <v>2426</v>
      </c>
      <c r="T199" s="45">
        <v>242.6</v>
      </c>
    </row>
    <row r="200" spans="1:20" x14ac:dyDescent="0.35">
      <c r="A200" s="40">
        <v>45204</v>
      </c>
      <c r="B200" s="41" t="s">
        <v>57</v>
      </c>
      <c r="C200" s="41" t="s">
        <v>81</v>
      </c>
      <c r="D200" s="41" t="s">
        <v>22</v>
      </c>
      <c r="E200" s="41" t="s">
        <v>83</v>
      </c>
      <c r="F200" s="41">
        <v>4</v>
      </c>
      <c r="G200" s="42">
        <v>141.82</v>
      </c>
      <c r="H200" s="41" t="s">
        <v>44</v>
      </c>
      <c r="I200" s="41" t="s">
        <v>456</v>
      </c>
      <c r="J200" s="41" t="s">
        <v>94</v>
      </c>
      <c r="K200" s="41" t="s">
        <v>60</v>
      </c>
      <c r="L200" s="41" t="s">
        <v>28</v>
      </c>
      <c r="M200" s="41" t="s">
        <v>56</v>
      </c>
      <c r="N200" s="42">
        <v>715.05</v>
      </c>
      <c r="O200" s="41">
        <v>2023</v>
      </c>
      <c r="P200" s="41">
        <v>10</v>
      </c>
      <c r="Q200" s="41" t="s">
        <v>457</v>
      </c>
      <c r="R200" s="41" t="s">
        <v>458</v>
      </c>
      <c r="S200" s="42">
        <v>715.05</v>
      </c>
      <c r="T200" s="43">
        <v>143.01</v>
      </c>
    </row>
    <row r="201" spans="1:20" x14ac:dyDescent="0.35">
      <c r="A201" s="44">
        <v>45206</v>
      </c>
      <c r="B201" s="9" t="s">
        <v>459</v>
      </c>
      <c r="C201" s="9" t="s">
        <v>81</v>
      </c>
      <c r="D201" s="9" t="s">
        <v>22</v>
      </c>
      <c r="E201" s="9" t="s">
        <v>83</v>
      </c>
      <c r="F201" s="9">
        <v>4</v>
      </c>
      <c r="G201" s="10">
        <v>141.83000000000001</v>
      </c>
      <c r="H201" s="9" t="s">
        <v>58</v>
      </c>
      <c r="I201" s="9" t="s">
        <v>460</v>
      </c>
      <c r="J201" s="9" t="s">
        <v>94</v>
      </c>
      <c r="K201" s="9" t="s">
        <v>60</v>
      </c>
      <c r="L201" s="9" t="s">
        <v>66</v>
      </c>
      <c r="M201" s="9" t="s">
        <v>79</v>
      </c>
      <c r="N201" s="10">
        <v>53.75</v>
      </c>
      <c r="O201" s="9">
        <v>2023</v>
      </c>
      <c r="P201" s="9">
        <v>10</v>
      </c>
      <c r="Q201" s="9" t="s">
        <v>457</v>
      </c>
      <c r="R201" s="9" t="s">
        <v>458</v>
      </c>
      <c r="S201" s="10">
        <v>53.75</v>
      </c>
      <c r="T201" s="45">
        <v>53.75</v>
      </c>
    </row>
    <row r="202" spans="1:20" x14ac:dyDescent="0.35">
      <c r="A202" s="40">
        <v>45206</v>
      </c>
      <c r="B202" s="41" t="s">
        <v>461</v>
      </c>
      <c r="C202" s="41" t="s">
        <v>81</v>
      </c>
      <c r="D202" s="41" t="s">
        <v>22</v>
      </c>
      <c r="E202" s="41" t="s">
        <v>83</v>
      </c>
      <c r="F202" s="41">
        <v>4</v>
      </c>
      <c r="G202" s="42">
        <v>141.97999999999999</v>
      </c>
      <c r="H202" s="41" t="s">
        <v>35</v>
      </c>
      <c r="I202" s="41" t="s">
        <v>462</v>
      </c>
      <c r="J202" s="41" t="s">
        <v>94</v>
      </c>
      <c r="K202" s="41" t="s">
        <v>60</v>
      </c>
      <c r="L202" s="41" t="s">
        <v>39</v>
      </c>
      <c r="M202" s="41" t="s">
        <v>79</v>
      </c>
      <c r="N202" s="42">
        <v>248.14</v>
      </c>
      <c r="O202" s="41">
        <v>2023</v>
      </c>
      <c r="P202" s="41">
        <v>10</v>
      </c>
      <c r="Q202" s="41" t="s">
        <v>457</v>
      </c>
      <c r="R202" s="41" t="s">
        <v>458</v>
      </c>
      <c r="S202" s="42">
        <v>248.14</v>
      </c>
      <c r="T202" s="43">
        <v>124.07</v>
      </c>
    </row>
    <row r="203" spans="1:20" x14ac:dyDescent="0.35">
      <c r="A203" s="44">
        <v>45208</v>
      </c>
      <c r="B203" s="9" t="s">
        <v>313</v>
      </c>
      <c r="C203" s="9" t="s">
        <v>81</v>
      </c>
      <c r="D203" s="9" t="s">
        <v>22</v>
      </c>
      <c r="E203" s="9" t="s">
        <v>83</v>
      </c>
      <c r="F203" s="9">
        <v>4</v>
      </c>
      <c r="G203" s="10">
        <v>142.04</v>
      </c>
      <c r="H203" s="9" t="s">
        <v>35</v>
      </c>
      <c r="I203" s="9" t="s">
        <v>463</v>
      </c>
      <c r="J203" s="9" t="s">
        <v>94</v>
      </c>
      <c r="K203" s="9" t="s">
        <v>60</v>
      </c>
      <c r="L203" s="9" t="s">
        <v>66</v>
      </c>
      <c r="M203" s="9" t="s">
        <v>29</v>
      </c>
      <c r="N203" s="10">
        <v>746.06</v>
      </c>
      <c r="O203" s="9">
        <v>2023</v>
      </c>
      <c r="P203" s="9">
        <v>10</v>
      </c>
      <c r="Q203" s="9" t="s">
        <v>457</v>
      </c>
      <c r="R203" s="9" t="s">
        <v>458</v>
      </c>
      <c r="S203" s="10">
        <v>746.06</v>
      </c>
      <c r="T203" s="45">
        <v>373.03</v>
      </c>
    </row>
    <row r="204" spans="1:20" x14ac:dyDescent="0.35">
      <c r="A204" s="40">
        <v>45210</v>
      </c>
      <c r="B204" s="41" t="s">
        <v>464</v>
      </c>
      <c r="C204" s="41" t="s">
        <v>81</v>
      </c>
      <c r="D204" s="41" t="s">
        <v>22</v>
      </c>
      <c r="E204" s="41" t="s">
        <v>83</v>
      </c>
      <c r="F204" s="41">
        <v>4</v>
      </c>
      <c r="G204" s="42">
        <v>142.57</v>
      </c>
      <c r="H204" s="41" t="s">
        <v>58</v>
      </c>
      <c r="I204" s="41" t="s">
        <v>465</v>
      </c>
      <c r="J204" s="41" t="s">
        <v>94</v>
      </c>
      <c r="K204" s="41" t="s">
        <v>60</v>
      </c>
      <c r="L204" s="41" t="s">
        <v>39</v>
      </c>
      <c r="M204" s="41" t="s">
        <v>67</v>
      </c>
      <c r="N204" s="42">
        <v>177.74</v>
      </c>
      <c r="O204" s="41">
        <v>2023</v>
      </c>
      <c r="P204" s="41">
        <v>10</v>
      </c>
      <c r="Q204" s="41" t="s">
        <v>457</v>
      </c>
      <c r="R204" s="41" t="s">
        <v>458</v>
      </c>
      <c r="S204" s="42">
        <v>177.74</v>
      </c>
      <c r="T204" s="43">
        <v>177.74</v>
      </c>
    </row>
    <row r="205" spans="1:20" x14ac:dyDescent="0.35">
      <c r="A205" s="44">
        <v>45211</v>
      </c>
      <c r="B205" s="9" t="s">
        <v>466</v>
      </c>
      <c r="C205" s="9" t="s">
        <v>81</v>
      </c>
      <c r="D205" s="9" t="s">
        <v>22</v>
      </c>
      <c r="E205" s="9" t="s">
        <v>83</v>
      </c>
      <c r="F205" s="9">
        <v>4</v>
      </c>
      <c r="G205" s="10">
        <v>143.01</v>
      </c>
      <c r="H205" s="9" t="s">
        <v>35</v>
      </c>
      <c r="I205" s="9" t="s">
        <v>467</v>
      </c>
      <c r="J205" s="9" t="s">
        <v>94</v>
      </c>
      <c r="K205" s="9" t="s">
        <v>60</v>
      </c>
      <c r="L205" s="9" t="s">
        <v>39</v>
      </c>
      <c r="M205" s="9" t="s">
        <v>56</v>
      </c>
      <c r="N205" s="10">
        <v>2029.5</v>
      </c>
      <c r="O205" s="9">
        <v>2023</v>
      </c>
      <c r="P205" s="9">
        <v>10</v>
      </c>
      <c r="Q205" s="9" t="s">
        <v>457</v>
      </c>
      <c r="R205" s="9" t="s">
        <v>458</v>
      </c>
      <c r="S205" s="10">
        <v>2029.5</v>
      </c>
      <c r="T205" s="45">
        <v>338.25</v>
      </c>
    </row>
    <row r="206" spans="1:20" x14ac:dyDescent="0.35">
      <c r="A206" s="40">
        <v>45211</v>
      </c>
      <c r="B206" s="41" t="s">
        <v>468</v>
      </c>
      <c r="C206" s="41" t="s">
        <v>81</v>
      </c>
      <c r="D206" s="41" t="s">
        <v>22</v>
      </c>
      <c r="E206" s="41" t="s">
        <v>83</v>
      </c>
      <c r="F206" s="41">
        <v>4</v>
      </c>
      <c r="G206" s="42">
        <v>143.61000000000001</v>
      </c>
      <c r="H206" s="41" t="s">
        <v>58</v>
      </c>
      <c r="I206" s="41" t="s">
        <v>469</v>
      </c>
      <c r="J206" s="41" t="s">
        <v>94</v>
      </c>
      <c r="K206" s="41" t="s">
        <v>60</v>
      </c>
      <c r="L206" s="41" t="s">
        <v>66</v>
      </c>
      <c r="M206" s="41" t="s">
        <v>56</v>
      </c>
      <c r="N206" s="42">
        <v>248.33</v>
      </c>
      <c r="O206" s="41">
        <v>2023</v>
      </c>
      <c r="P206" s="41">
        <v>10</v>
      </c>
      <c r="Q206" s="41" t="s">
        <v>457</v>
      </c>
      <c r="R206" s="41" t="s">
        <v>458</v>
      </c>
      <c r="S206" s="42">
        <v>248.33</v>
      </c>
      <c r="T206" s="43">
        <v>248.33</v>
      </c>
    </row>
    <row r="207" spans="1:20" x14ac:dyDescent="0.35">
      <c r="A207" s="44">
        <v>45212</v>
      </c>
      <c r="B207" s="9" t="s">
        <v>470</v>
      </c>
      <c r="C207" s="9" t="s">
        <v>81</v>
      </c>
      <c r="D207" s="9" t="s">
        <v>22</v>
      </c>
      <c r="E207" s="9" t="s">
        <v>83</v>
      </c>
      <c r="F207" s="9">
        <v>4</v>
      </c>
      <c r="G207" s="10">
        <v>144.03</v>
      </c>
      <c r="H207" s="9" t="s">
        <v>35</v>
      </c>
      <c r="I207" s="9" t="s">
        <v>471</v>
      </c>
      <c r="J207" s="9" t="s">
        <v>94</v>
      </c>
      <c r="K207" s="9" t="s">
        <v>60</v>
      </c>
      <c r="L207" s="9" t="s">
        <v>39</v>
      </c>
      <c r="M207" s="9" t="s">
        <v>61</v>
      </c>
      <c r="N207" s="10">
        <v>862.62</v>
      </c>
      <c r="O207" s="9">
        <v>2023</v>
      </c>
      <c r="P207" s="9">
        <v>10</v>
      </c>
      <c r="Q207" s="9" t="s">
        <v>457</v>
      </c>
      <c r="R207" s="9" t="s">
        <v>458</v>
      </c>
      <c r="S207" s="10">
        <v>862.62</v>
      </c>
      <c r="T207" s="45">
        <v>287.54000000000002</v>
      </c>
    </row>
    <row r="208" spans="1:20" x14ac:dyDescent="0.35">
      <c r="A208" s="40">
        <v>45212</v>
      </c>
      <c r="B208" s="41" t="s">
        <v>472</v>
      </c>
      <c r="C208" s="41" t="s">
        <v>81</v>
      </c>
      <c r="D208" s="41" t="s">
        <v>22</v>
      </c>
      <c r="E208" s="41" t="s">
        <v>83</v>
      </c>
      <c r="F208" s="41">
        <v>4</v>
      </c>
      <c r="G208" s="42">
        <v>146.65</v>
      </c>
      <c r="H208" s="41" t="s">
        <v>24</v>
      </c>
      <c r="I208" s="41" t="s">
        <v>473</v>
      </c>
      <c r="J208" s="41" t="s">
        <v>94</v>
      </c>
      <c r="K208" s="41" t="s">
        <v>60</v>
      </c>
      <c r="L208" s="41" t="s">
        <v>28</v>
      </c>
      <c r="M208" s="41" t="s">
        <v>61</v>
      </c>
      <c r="N208" s="42">
        <v>874.64</v>
      </c>
      <c r="O208" s="41">
        <v>2023</v>
      </c>
      <c r="P208" s="41">
        <v>10</v>
      </c>
      <c r="Q208" s="41" t="s">
        <v>457</v>
      </c>
      <c r="R208" s="41" t="s">
        <v>458</v>
      </c>
      <c r="S208" s="42">
        <v>874.64</v>
      </c>
      <c r="T208" s="43">
        <v>218.66</v>
      </c>
    </row>
    <row r="209" spans="1:20" x14ac:dyDescent="0.35">
      <c r="A209" s="44">
        <v>45214</v>
      </c>
      <c r="B209" s="9" t="s">
        <v>474</v>
      </c>
      <c r="C209" s="9" t="s">
        <v>81</v>
      </c>
      <c r="D209" s="9" t="s">
        <v>22</v>
      </c>
      <c r="E209" s="9" t="s">
        <v>83</v>
      </c>
      <c r="F209" s="9">
        <v>4</v>
      </c>
      <c r="G209" s="10">
        <v>147</v>
      </c>
      <c r="H209" s="9" t="s">
        <v>58</v>
      </c>
      <c r="I209" s="9" t="s">
        <v>475</v>
      </c>
      <c r="J209" s="9" t="s">
        <v>94</v>
      </c>
      <c r="K209" s="9" t="s">
        <v>60</v>
      </c>
      <c r="L209" s="9" t="s">
        <v>39</v>
      </c>
      <c r="M209" s="9" t="s">
        <v>101</v>
      </c>
      <c r="N209" s="10">
        <v>458.99</v>
      </c>
      <c r="O209" s="9">
        <v>2023</v>
      </c>
      <c r="P209" s="9">
        <v>10</v>
      </c>
      <c r="Q209" s="9" t="s">
        <v>457</v>
      </c>
      <c r="R209" s="9" t="s">
        <v>458</v>
      </c>
      <c r="S209" s="10">
        <v>458.99</v>
      </c>
      <c r="T209" s="45">
        <v>65.569999999999993</v>
      </c>
    </row>
    <row r="210" spans="1:20" x14ac:dyDescent="0.35">
      <c r="A210" s="40">
        <v>45215</v>
      </c>
      <c r="B210" s="41" t="s">
        <v>313</v>
      </c>
      <c r="C210" s="41" t="s">
        <v>81</v>
      </c>
      <c r="D210" s="41" t="s">
        <v>22</v>
      </c>
      <c r="E210" s="41" t="s">
        <v>83</v>
      </c>
      <c r="F210" s="41">
        <v>4</v>
      </c>
      <c r="G210" s="42">
        <v>148.13999999999999</v>
      </c>
      <c r="H210" s="41" t="s">
        <v>64</v>
      </c>
      <c r="I210" s="41" t="s">
        <v>476</v>
      </c>
      <c r="J210" s="41" t="s">
        <v>94</v>
      </c>
      <c r="K210" s="41" t="s">
        <v>60</v>
      </c>
      <c r="L210" s="41" t="s">
        <v>66</v>
      </c>
      <c r="M210" s="41" t="s">
        <v>29</v>
      </c>
      <c r="N210" s="42">
        <v>1442.28</v>
      </c>
      <c r="O210" s="41">
        <v>2023</v>
      </c>
      <c r="P210" s="41">
        <v>10</v>
      </c>
      <c r="Q210" s="41" t="s">
        <v>457</v>
      </c>
      <c r="R210" s="41" t="s">
        <v>458</v>
      </c>
      <c r="S210" s="42">
        <v>1442.28</v>
      </c>
      <c r="T210" s="43">
        <v>206.04</v>
      </c>
    </row>
    <row r="211" spans="1:20" x14ac:dyDescent="0.35">
      <c r="A211" s="44">
        <v>45217</v>
      </c>
      <c r="B211" s="9" t="s">
        <v>477</v>
      </c>
      <c r="C211" s="9" t="s">
        <v>81</v>
      </c>
      <c r="D211" s="9" t="s">
        <v>22</v>
      </c>
      <c r="E211" s="9" t="s">
        <v>83</v>
      </c>
      <c r="F211" s="9">
        <v>4</v>
      </c>
      <c r="G211" s="10">
        <v>148.44</v>
      </c>
      <c r="H211" s="9" t="s">
        <v>24</v>
      </c>
      <c r="I211" s="9" t="s">
        <v>478</v>
      </c>
      <c r="J211" s="9" t="s">
        <v>94</v>
      </c>
      <c r="K211" s="9" t="s">
        <v>60</v>
      </c>
      <c r="L211" s="9" t="s">
        <v>66</v>
      </c>
      <c r="M211" s="9" t="s">
        <v>67</v>
      </c>
      <c r="N211" s="10">
        <v>157.01</v>
      </c>
      <c r="O211" s="9">
        <v>2023</v>
      </c>
      <c r="P211" s="9">
        <v>10</v>
      </c>
      <c r="Q211" s="9" t="s">
        <v>457</v>
      </c>
      <c r="R211" s="9" t="s">
        <v>458</v>
      </c>
      <c r="S211" s="10">
        <v>157.01</v>
      </c>
      <c r="T211" s="45">
        <v>157.01</v>
      </c>
    </row>
    <row r="212" spans="1:20" x14ac:dyDescent="0.35">
      <c r="A212" s="40">
        <v>45219</v>
      </c>
      <c r="B212" s="41" t="s">
        <v>479</v>
      </c>
      <c r="C212" s="41" t="s">
        <v>81</v>
      </c>
      <c r="D212" s="41" t="s">
        <v>22</v>
      </c>
      <c r="E212" s="41" t="s">
        <v>83</v>
      </c>
      <c r="F212" s="41">
        <v>4</v>
      </c>
      <c r="G212" s="42">
        <v>148.76</v>
      </c>
      <c r="H212" s="41" t="s">
        <v>44</v>
      </c>
      <c r="I212" s="41" t="s">
        <v>480</v>
      </c>
      <c r="J212" s="41" t="s">
        <v>94</v>
      </c>
      <c r="K212" s="41" t="s">
        <v>60</v>
      </c>
      <c r="L212" s="41" t="s">
        <v>28</v>
      </c>
      <c r="M212" s="41" t="s">
        <v>61</v>
      </c>
      <c r="N212" s="42">
        <v>809.35</v>
      </c>
      <c r="O212" s="41">
        <v>2023</v>
      </c>
      <c r="P212" s="41">
        <v>10</v>
      </c>
      <c r="Q212" s="41" t="s">
        <v>457</v>
      </c>
      <c r="R212" s="41" t="s">
        <v>458</v>
      </c>
      <c r="S212" s="42">
        <v>809.35</v>
      </c>
      <c r="T212" s="43">
        <v>161.87</v>
      </c>
    </row>
    <row r="213" spans="1:20" x14ac:dyDescent="0.35">
      <c r="A213" s="44">
        <v>45220</v>
      </c>
      <c r="B213" s="9" t="s">
        <v>481</v>
      </c>
      <c r="C213" s="9" t="s">
        <v>81</v>
      </c>
      <c r="D213" s="9" t="s">
        <v>22</v>
      </c>
      <c r="E213" s="9" t="s">
        <v>83</v>
      </c>
      <c r="F213" s="9">
        <v>4</v>
      </c>
      <c r="G213" s="10">
        <v>149.71</v>
      </c>
      <c r="H213" s="9" t="s">
        <v>58</v>
      </c>
      <c r="I213" s="9" t="s">
        <v>482</v>
      </c>
      <c r="J213" s="9" t="s">
        <v>94</v>
      </c>
      <c r="K213" s="9" t="s">
        <v>60</v>
      </c>
      <c r="L213" s="9" t="s">
        <v>66</v>
      </c>
      <c r="M213" s="9" t="s">
        <v>79</v>
      </c>
      <c r="N213" s="10">
        <v>850.1</v>
      </c>
      <c r="O213" s="9">
        <v>2023</v>
      </c>
      <c r="P213" s="9">
        <v>10</v>
      </c>
      <c r="Q213" s="9" t="s">
        <v>457</v>
      </c>
      <c r="R213" s="9" t="s">
        <v>458</v>
      </c>
      <c r="S213" s="10">
        <v>850.1</v>
      </c>
      <c r="T213" s="45">
        <v>170.02</v>
      </c>
    </row>
    <row r="214" spans="1:20" x14ac:dyDescent="0.35">
      <c r="A214" s="40">
        <v>45225</v>
      </c>
      <c r="B214" s="41" t="s">
        <v>174</v>
      </c>
      <c r="C214" s="41" t="s">
        <v>81</v>
      </c>
      <c r="D214" s="41" t="s">
        <v>22</v>
      </c>
      <c r="E214" s="41" t="s">
        <v>83</v>
      </c>
      <c r="F214" s="41">
        <v>4</v>
      </c>
      <c r="G214" s="42">
        <v>149.79</v>
      </c>
      <c r="H214" s="41" t="s">
        <v>35</v>
      </c>
      <c r="I214" s="41" t="s">
        <v>483</v>
      </c>
      <c r="J214" s="41" t="s">
        <v>94</v>
      </c>
      <c r="K214" s="41" t="s">
        <v>60</v>
      </c>
      <c r="L214" s="41" t="s">
        <v>28</v>
      </c>
      <c r="M214" s="41" t="s">
        <v>56</v>
      </c>
      <c r="N214" s="42">
        <v>728.49</v>
      </c>
      <c r="O214" s="41">
        <v>2023</v>
      </c>
      <c r="P214" s="41">
        <v>10</v>
      </c>
      <c r="Q214" s="41" t="s">
        <v>457</v>
      </c>
      <c r="R214" s="41" t="s">
        <v>458</v>
      </c>
      <c r="S214" s="42">
        <v>728.49</v>
      </c>
      <c r="T214" s="43">
        <v>242.83</v>
      </c>
    </row>
    <row r="215" spans="1:20" x14ac:dyDescent="0.35">
      <c r="A215" s="44">
        <v>45225</v>
      </c>
      <c r="B215" s="9" t="s">
        <v>484</v>
      </c>
      <c r="C215" s="9" t="s">
        <v>81</v>
      </c>
      <c r="D215" s="9" t="s">
        <v>22</v>
      </c>
      <c r="E215" s="9" t="s">
        <v>83</v>
      </c>
      <c r="F215" s="9">
        <v>4</v>
      </c>
      <c r="G215" s="10">
        <v>150.51</v>
      </c>
      <c r="H215" s="9" t="s">
        <v>24</v>
      </c>
      <c r="I215" s="9" t="s">
        <v>485</v>
      </c>
      <c r="J215" s="9" t="s">
        <v>94</v>
      </c>
      <c r="K215" s="9" t="s">
        <v>60</v>
      </c>
      <c r="L215" s="9" t="s">
        <v>66</v>
      </c>
      <c r="M215" s="9" t="s">
        <v>56</v>
      </c>
      <c r="N215" s="10">
        <v>1163.7</v>
      </c>
      <c r="O215" s="9">
        <v>2023</v>
      </c>
      <c r="P215" s="9">
        <v>10</v>
      </c>
      <c r="Q215" s="9" t="s">
        <v>457</v>
      </c>
      <c r="R215" s="9" t="s">
        <v>458</v>
      </c>
      <c r="S215" s="10">
        <v>1163.7</v>
      </c>
      <c r="T215" s="45">
        <v>193.95</v>
      </c>
    </row>
    <row r="216" spans="1:20" x14ac:dyDescent="0.35">
      <c r="A216" s="40">
        <v>45227</v>
      </c>
      <c r="B216" s="41" t="s">
        <v>486</v>
      </c>
      <c r="C216" s="41" t="s">
        <v>81</v>
      </c>
      <c r="D216" s="41" t="s">
        <v>22</v>
      </c>
      <c r="E216" s="41" t="s">
        <v>83</v>
      </c>
      <c r="F216" s="41">
        <v>4</v>
      </c>
      <c r="G216" s="42">
        <v>150.87</v>
      </c>
      <c r="H216" s="41" t="s">
        <v>24</v>
      </c>
      <c r="I216" s="41" t="s">
        <v>487</v>
      </c>
      <c r="J216" s="41" t="s">
        <v>94</v>
      </c>
      <c r="K216" s="41" t="s">
        <v>60</v>
      </c>
      <c r="L216" s="41" t="s">
        <v>66</v>
      </c>
      <c r="M216" s="41" t="s">
        <v>79</v>
      </c>
      <c r="N216" s="42">
        <v>458.9</v>
      </c>
      <c r="O216" s="41">
        <v>2023</v>
      </c>
      <c r="P216" s="41">
        <v>10</v>
      </c>
      <c r="Q216" s="41" t="s">
        <v>457</v>
      </c>
      <c r="R216" s="41" t="s">
        <v>458</v>
      </c>
      <c r="S216" s="42">
        <v>458.9</v>
      </c>
      <c r="T216" s="43">
        <v>229.45</v>
      </c>
    </row>
    <row r="217" spans="1:20" x14ac:dyDescent="0.35">
      <c r="A217" s="44">
        <v>45230</v>
      </c>
      <c r="B217" s="9" t="s">
        <v>488</v>
      </c>
      <c r="C217" s="9" t="s">
        <v>81</v>
      </c>
      <c r="D217" s="9" t="s">
        <v>22</v>
      </c>
      <c r="E217" s="9" t="s">
        <v>83</v>
      </c>
      <c r="F217" s="9">
        <v>4</v>
      </c>
      <c r="G217" s="10">
        <v>151.44999999999999</v>
      </c>
      <c r="H217" s="9" t="s">
        <v>64</v>
      </c>
      <c r="I217" s="9" t="s">
        <v>489</v>
      </c>
      <c r="J217" s="9" t="s">
        <v>94</v>
      </c>
      <c r="K217" s="9" t="s">
        <v>60</v>
      </c>
      <c r="L217" s="9" t="s">
        <v>39</v>
      </c>
      <c r="M217" s="9" t="s">
        <v>49</v>
      </c>
      <c r="N217" s="10">
        <v>887.18</v>
      </c>
      <c r="O217" s="9">
        <v>2023</v>
      </c>
      <c r="P217" s="9">
        <v>10</v>
      </c>
      <c r="Q217" s="9" t="s">
        <v>457</v>
      </c>
      <c r="R217" s="9" t="s">
        <v>458</v>
      </c>
      <c r="S217" s="10">
        <v>887.18</v>
      </c>
      <c r="T217" s="45">
        <v>126.74</v>
      </c>
    </row>
    <row r="218" spans="1:20" x14ac:dyDescent="0.35">
      <c r="A218" s="40">
        <v>45231</v>
      </c>
      <c r="B218" s="41" t="s">
        <v>490</v>
      </c>
      <c r="C218" s="41" t="s">
        <v>81</v>
      </c>
      <c r="D218" s="41" t="s">
        <v>22</v>
      </c>
      <c r="E218" s="41" t="s">
        <v>83</v>
      </c>
      <c r="F218" s="41">
        <v>4</v>
      </c>
      <c r="G218" s="42">
        <v>152.05000000000001</v>
      </c>
      <c r="H218" s="41" t="s">
        <v>58</v>
      </c>
      <c r="I218" s="41" t="s">
        <v>491</v>
      </c>
      <c r="J218" s="41" t="s">
        <v>94</v>
      </c>
      <c r="K218" s="41" t="s">
        <v>60</v>
      </c>
      <c r="L218" s="41" t="s">
        <v>66</v>
      </c>
      <c r="M218" s="41" t="s">
        <v>67</v>
      </c>
      <c r="N218" s="42">
        <v>598.98</v>
      </c>
      <c r="O218" s="41">
        <v>2023</v>
      </c>
      <c r="P218" s="41">
        <v>11</v>
      </c>
      <c r="Q218" s="41" t="s">
        <v>492</v>
      </c>
      <c r="R218" s="41" t="s">
        <v>458</v>
      </c>
      <c r="S218" s="42">
        <v>598.98</v>
      </c>
      <c r="T218" s="43">
        <v>299.49</v>
      </c>
    </row>
    <row r="219" spans="1:20" x14ac:dyDescent="0.35">
      <c r="A219" s="44">
        <v>45231</v>
      </c>
      <c r="B219" s="9" t="s">
        <v>493</v>
      </c>
      <c r="C219" s="9" t="s">
        <v>81</v>
      </c>
      <c r="D219" s="9" t="s">
        <v>22</v>
      </c>
      <c r="E219" s="9" t="s">
        <v>83</v>
      </c>
      <c r="F219" s="9">
        <v>4</v>
      </c>
      <c r="G219" s="10">
        <v>152.75</v>
      </c>
      <c r="H219" s="9" t="s">
        <v>24</v>
      </c>
      <c r="I219" s="9" t="s">
        <v>494</v>
      </c>
      <c r="J219" s="9" t="s">
        <v>94</v>
      </c>
      <c r="K219" s="9" t="s">
        <v>60</v>
      </c>
      <c r="L219" s="9" t="s">
        <v>28</v>
      </c>
      <c r="M219" s="9" t="s">
        <v>67</v>
      </c>
      <c r="N219" s="10">
        <v>2582.6999999999998</v>
      </c>
      <c r="O219" s="9">
        <v>2023</v>
      </c>
      <c r="P219" s="9">
        <v>11</v>
      </c>
      <c r="Q219" s="9" t="s">
        <v>492</v>
      </c>
      <c r="R219" s="9" t="s">
        <v>458</v>
      </c>
      <c r="S219" s="10">
        <v>2582.6999999999998</v>
      </c>
      <c r="T219" s="45">
        <v>258.27</v>
      </c>
    </row>
    <row r="220" spans="1:20" x14ac:dyDescent="0.35">
      <c r="A220" s="40">
        <v>45231</v>
      </c>
      <c r="B220" s="41" t="s">
        <v>495</v>
      </c>
      <c r="C220" s="41" t="s">
        <v>81</v>
      </c>
      <c r="D220" s="41" t="s">
        <v>22</v>
      </c>
      <c r="E220" s="41" t="s">
        <v>83</v>
      </c>
      <c r="F220" s="41">
        <v>4</v>
      </c>
      <c r="G220" s="42">
        <v>153.75</v>
      </c>
      <c r="H220" s="41" t="s">
        <v>64</v>
      </c>
      <c r="I220" s="41" t="s">
        <v>496</v>
      </c>
      <c r="J220" s="41" t="s">
        <v>94</v>
      </c>
      <c r="K220" s="41" t="s">
        <v>60</v>
      </c>
      <c r="L220" s="41" t="s">
        <v>28</v>
      </c>
      <c r="M220" s="41" t="s">
        <v>67</v>
      </c>
      <c r="N220" s="42">
        <v>5.74</v>
      </c>
      <c r="O220" s="41">
        <v>2023</v>
      </c>
      <c r="P220" s="41">
        <v>11</v>
      </c>
      <c r="Q220" s="41" t="s">
        <v>492</v>
      </c>
      <c r="R220" s="41" t="s">
        <v>458</v>
      </c>
      <c r="S220" s="42">
        <v>5.74</v>
      </c>
      <c r="T220" s="43">
        <v>5.74</v>
      </c>
    </row>
    <row r="221" spans="1:20" x14ac:dyDescent="0.35">
      <c r="A221" s="44">
        <v>45236</v>
      </c>
      <c r="B221" s="9" t="s">
        <v>497</v>
      </c>
      <c r="C221" s="9" t="s">
        <v>81</v>
      </c>
      <c r="D221" s="9" t="s">
        <v>22</v>
      </c>
      <c r="E221" s="9" t="s">
        <v>83</v>
      </c>
      <c r="F221" s="9">
        <v>4</v>
      </c>
      <c r="G221" s="10">
        <v>153.96</v>
      </c>
      <c r="H221" s="9" t="s">
        <v>24</v>
      </c>
      <c r="I221" s="9" t="s">
        <v>498</v>
      </c>
      <c r="J221" s="9" t="s">
        <v>94</v>
      </c>
      <c r="K221" s="9" t="s">
        <v>60</v>
      </c>
      <c r="L221" s="9" t="s">
        <v>28</v>
      </c>
      <c r="M221" s="9" t="s">
        <v>29</v>
      </c>
      <c r="N221" s="10">
        <v>2834.32</v>
      </c>
      <c r="O221" s="9">
        <v>2023</v>
      </c>
      <c r="P221" s="9">
        <v>11</v>
      </c>
      <c r="Q221" s="9" t="s">
        <v>492</v>
      </c>
      <c r="R221" s="9" t="s">
        <v>458</v>
      </c>
      <c r="S221" s="10">
        <v>2834.32</v>
      </c>
      <c r="T221" s="45">
        <v>354.29</v>
      </c>
    </row>
    <row r="222" spans="1:20" x14ac:dyDescent="0.35">
      <c r="A222" s="40">
        <v>45236</v>
      </c>
      <c r="B222" s="41" t="s">
        <v>499</v>
      </c>
      <c r="C222" s="41" t="s">
        <v>81</v>
      </c>
      <c r="D222" s="41" t="s">
        <v>22</v>
      </c>
      <c r="E222" s="41" t="s">
        <v>83</v>
      </c>
      <c r="F222" s="41">
        <v>4</v>
      </c>
      <c r="G222" s="42">
        <v>154.88999999999999</v>
      </c>
      <c r="H222" s="41" t="s">
        <v>64</v>
      </c>
      <c r="I222" s="41" t="s">
        <v>500</v>
      </c>
      <c r="J222" s="41" t="s">
        <v>94</v>
      </c>
      <c r="K222" s="41" t="s">
        <v>60</v>
      </c>
      <c r="L222" s="41" t="s">
        <v>66</v>
      </c>
      <c r="M222" s="41" t="s">
        <v>29</v>
      </c>
      <c r="N222" s="42">
        <v>1795.76</v>
      </c>
      <c r="O222" s="41">
        <v>2023</v>
      </c>
      <c r="P222" s="41">
        <v>11</v>
      </c>
      <c r="Q222" s="41" t="s">
        <v>492</v>
      </c>
      <c r="R222" s="41" t="s">
        <v>458</v>
      </c>
      <c r="S222" s="42">
        <v>1795.76</v>
      </c>
      <c r="T222" s="43">
        <v>224.47</v>
      </c>
    </row>
    <row r="223" spans="1:20" x14ac:dyDescent="0.35">
      <c r="A223" s="44">
        <v>45237</v>
      </c>
      <c r="B223" s="9" t="s">
        <v>501</v>
      </c>
      <c r="C223" s="9" t="s">
        <v>81</v>
      </c>
      <c r="D223" s="9" t="s">
        <v>22</v>
      </c>
      <c r="E223" s="9" t="s">
        <v>83</v>
      </c>
      <c r="F223" s="9">
        <v>4</v>
      </c>
      <c r="G223" s="10">
        <v>157.01</v>
      </c>
      <c r="H223" s="9" t="s">
        <v>24</v>
      </c>
      <c r="I223" s="9" t="s">
        <v>502</v>
      </c>
      <c r="J223" s="9" t="s">
        <v>94</v>
      </c>
      <c r="K223" s="9" t="s">
        <v>60</v>
      </c>
      <c r="L223" s="9" t="s">
        <v>28</v>
      </c>
      <c r="M223" s="9" t="s">
        <v>49</v>
      </c>
      <c r="N223" s="10">
        <v>2156.4</v>
      </c>
      <c r="O223" s="9">
        <v>2023</v>
      </c>
      <c r="P223" s="9">
        <v>11</v>
      </c>
      <c r="Q223" s="9" t="s">
        <v>492</v>
      </c>
      <c r="R223" s="9" t="s">
        <v>458</v>
      </c>
      <c r="S223" s="10">
        <v>2156.4</v>
      </c>
      <c r="T223" s="45">
        <v>215.64</v>
      </c>
    </row>
    <row r="224" spans="1:20" x14ac:dyDescent="0.35">
      <c r="A224" s="40">
        <v>45238</v>
      </c>
      <c r="B224" s="41" t="s">
        <v>503</v>
      </c>
      <c r="C224" s="41" t="s">
        <v>81</v>
      </c>
      <c r="D224" s="41" t="s">
        <v>22</v>
      </c>
      <c r="E224" s="41" t="s">
        <v>83</v>
      </c>
      <c r="F224" s="41">
        <v>4</v>
      </c>
      <c r="G224" s="42">
        <v>157.11000000000001</v>
      </c>
      <c r="H224" s="41" t="s">
        <v>24</v>
      </c>
      <c r="I224" s="41" t="s">
        <v>504</v>
      </c>
      <c r="J224" s="41" t="s">
        <v>94</v>
      </c>
      <c r="K224" s="41" t="s">
        <v>60</v>
      </c>
      <c r="L224" s="41" t="s">
        <v>28</v>
      </c>
      <c r="M224" s="41" t="s">
        <v>67</v>
      </c>
      <c r="N224" s="42">
        <v>33.880000000000003</v>
      </c>
      <c r="O224" s="41">
        <v>2023</v>
      </c>
      <c r="P224" s="41">
        <v>11</v>
      </c>
      <c r="Q224" s="41" t="s">
        <v>492</v>
      </c>
      <c r="R224" s="41" t="s">
        <v>458</v>
      </c>
      <c r="S224" s="42">
        <v>33.880000000000003</v>
      </c>
      <c r="T224" s="43">
        <v>8.4700000000000006</v>
      </c>
    </row>
    <row r="225" spans="1:20" x14ac:dyDescent="0.35">
      <c r="A225" s="44">
        <v>45238</v>
      </c>
      <c r="B225" s="9" t="s">
        <v>356</v>
      </c>
      <c r="C225" s="9" t="s">
        <v>81</v>
      </c>
      <c r="D225" s="9" t="s">
        <v>22</v>
      </c>
      <c r="E225" s="9" t="s">
        <v>83</v>
      </c>
      <c r="F225" s="9">
        <v>4</v>
      </c>
      <c r="G225" s="10">
        <v>157.13</v>
      </c>
      <c r="H225" s="9" t="s">
        <v>58</v>
      </c>
      <c r="I225" s="9" t="s">
        <v>505</v>
      </c>
      <c r="J225" s="9" t="s">
        <v>94</v>
      </c>
      <c r="K225" s="9" t="s">
        <v>60</v>
      </c>
      <c r="L225" s="9" t="s">
        <v>39</v>
      </c>
      <c r="M225" s="9" t="s">
        <v>67</v>
      </c>
      <c r="N225" s="10">
        <v>2716.14</v>
      </c>
      <c r="O225" s="9">
        <v>2023</v>
      </c>
      <c r="P225" s="9">
        <v>11</v>
      </c>
      <c r="Q225" s="9" t="s">
        <v>492</v>
      </c>
      <c r="R225" s="9" t="s">
        <v>458</v>
      </c>
      <c r="S225" s="10">
        <v>2716.14</v>
      </c>
      <c r="T225" s="45">
        <v>388.02</v>
      </c>
    </row>
    <row r="226" spans="1:20" x14ac:dyDescent="0.35">
      <c r="A226" s="40">
        <v>45239</v>
      </c>
      <c r="B226" s="41" t="s">
        <v>289</v>
      </c>
      <c r="C226" s="41" t="s">
        <v>74</v>
      </c>
      <c r="D226" s="41" t="s">
        <v>22</v>
      </c>
      <c r="E226" s="41" t="s">
        <v>83</v>
      </c>
      <c r="F226" s="41">
        <v>4</v>
      </c>
      <c r="G226" s="42">
        <v>157.94</v>
      </c>
      <c r="H226" s="41" t="s">
        <v>35</v>
      </c>
      <c r="I226" s="41" t="s">
        <v>506</v>
      </c>
      <c r="J226" s="41" t="s">
        <v>94</v>
      </c>
      <c r="K226" s="41" t="s">
        <v>60</v>
      </c>
      <c r="L226" s="41" t="s">
        <v>28</v>
      </c>
      <c r="M226" s="41" t="s">
        <v>56</v>
      </c>
      <c r="N226" s="42">
        <v>193.52</v>
      </c>
      <c r="O226" s="41">
        <v>2023</v>
      </c>
      <c r="P226" s="41">
        <v>11</v>
      </c>
      <c r="Q226" s="41" t="s">
        <v>492</v>
      </c>
      <c r="R226" s="41" t="s">
        <v>458</v>
      </c>
      <c r="S226" s="42">
        <v>193.52</v>
      </c>
      <c r="T226" s="43">
        <v>24.19</v>
      </c>
    </row>
    <row r="227" spans="1:20" x14ac:dyDescent="0.35">
      <c r="A227" s="44">
        <v>45240</v>
      </c>
      <c r="B227" s="9" t="s">
        <v>507</v>
      </c>
      <c r="C227" s="9" t="s">
        <v>74</v>
      </c>
      <c r="D227" s="9" t="s">
        <v>22</v>
      </c>
      <c r="E227" s="9" t="s">
        <v>83</v>
      </c>
      <c r="F227" s="9">
        <v>4</v>
      </c>
      <c r="G227" s="10">
        <v>158.02000000000001</v>
      </c>
      <c r="H227" s="9" t="s">
        <v>64</v>
      </c>
      <c r="I227" s="9" t="s">
        <v>508</v>
      </c>
      <c r="J227" s="9" t="s">
        <v>94</v>
      </c>
      <c r="K227" s="9" t="s">
        <v>60</v>
      </c>
      <c r="L227" s="9" t="s">
        <v>39</v>
      </c>
      <c r="M227" s="9" t="s">
        <v>61</v>
      </c>
      <c r="N227" s="10">
        <v>1308.0999999999999</v>
      </c>
      <c r="O227" s="9">
        <v>2023</v>
      </c>
      <c r="P227" s="9">
        <v>11</v>
      </c>
      <c r="Q227" s="9" t="s">
        <v>492</v>
      </c>
      <c r="R227" s="9" t="s">
        <v>458</v>
      </c>
      <c r="S227" s="10">
        <v>1308.0999999999999</v>
      </c>
      <c r="T227" s="45">
        <v>130.81</v>
      </c>
    </row>
    <row r="228" spans="1:20" x14ac:dyDescent="0.35">
      <c r="A228" s="40">
        <v>45242</v>
      </c>
      <c r="B228" s="41" t="s">
        <v>509</v>
      </c>
      <c r="C228" s="41" t="s">
        <v>74</v>
      </c>
      <c r="D228" s="41" t="s">
        <v>22</v>
      </c>
      <c r="E228" s="41" t="s">
        <v>83</v>
      </c>
      <c r="F228" s="41">
        <v>4</v>
      </c>
      <c r="G228" s="42">
        <v>158.37</v>
      </c>
      <c r="H228" s="41" t="s">
        <v>64</v>
      </c>
      <c r="I228" s="41" t="s">
        <v>510</v>
      </c>
      <c r="J228" s="41" t="s">
        <v>94</v>
      </c>
      <c r="K228" s="41" t="s">
        <v>60</v>
      </c>
      <c r="L228" s="41" t="s">
        <v>66</v>
      </c>
      <c r="M228" s="41" t="s">
        <v>101</v>
      </c>
      <c r="N228" s="42">
        <v>1687.1</v>
      </c>
      <c r="O228" s="41">
        <v>2023</v>
      </c>
      <c r="P228" s="41">
        <v>11</v>
      </c>
      <c r="Q228" s="41" t="s">
        <v>492</v>
      </c>
      <c r="R228" s="41" t="s">
        <v>458</v>
      </c>
      <c r="S228" s="42">
        <v>1687.1</v>
      </c>
      <c r="T228" s="43">
        <v>337.42</v>
      </c>
    </row>
    <row r="229" spans="1:20" x14ac:dyDescent="0.35">
      <c r="A229" s="44">
        <v>45243</v>
      </c>
      <c r="B229" s="9" t="s">
        <v>511</v>
      </c>
      <c r="C229" s="9" t="s">
        <v>74</v>
      </c>
      <c r="D229" s="9" t="s">
        <v>22</v>
      </c>
      <c r="E229" s="9" t="s">
        <v>83</v>
      </c>
      <c r="F229" s="9">
        <v>4</v>
      </c>
      <c r="G229" s="10">
        <v>158.41999999999999</v>
      </c>
      <c r="H229" s="9" t="s">
        <v>58</v>
      </c>
      <c r="I229" s="9" t="s">
        <v>512</v>
      </c>
      <c r="J229" s="9" t="s">
        <v>94</v>
      </c>
      <c r="K229" s="9" t="s">
        <v>60</v>
      </c>
      <c r="L229" s="9" t="s">
        <v>39</v>
      </c>
      <c r="M229" s="9" t="s">
        <v>29</v>
      </c>
      <c r="N229" s="10">
        <v>344.4</v>
      </c>
      <c r="O229" s="9">
        <v>2023</v>
      </c>
      <c r="P229" s="9">
        <v>11</v>
      </c>
      <c r="Q229" s="9" t="s">
        <v>492</v>
      </c>
      <c r="R229" s="9" t="s">
        <v>458</v>
      </c>
      <c r="S229" s="10">
        <v>344.4</v>
      </c>
      <c r="T229" s="45">
        <v>68.88</v>
      </c>
    </row>
    <row r="230" spans="1:20" x14ac:dyDescent="0.35">
      <c r="A230" s="40">
        <v>45244</v>
      </c>
      <c r="B230" s="41" t="s">
        <v>187</v>
      </c>
      <c r="C230" s="41" t="s">
        <v>74</v>
      </c>
      <c r="D230" s="41" t="s">
        <v>22</v>
      </c>
      <c r="E230" s="41" t="s">
        <v>83</v>
      </c>
      <c r="F230" s="41">
        <v>4</v>
      </c>
      <c r="G230" s="42">
        <v>160.26</v>
      </c>
      <c r="H230" s="41" t="s">
        <v>64</v>
      </c>
      <c r="I230" s="41" t="s">
        <v>513</v>
      </c>
      <c r="J230" s="41" t="s">
        <v>94</v>
      </c>
      <c r="K230" s="41" t="s">
        <v>60</v>
      </c>
      <c r="L230" s="41" t="s">
        <v>28</v>
      </c>
      <c r="M230" s="41" t="s">
        <v>49</v>
      </c>
      <c r="N230" s="42">
        <v>884.19</v>
      </c>
      <c r="O230" s="41">
        <v>2023</v>
      </c>
      <c r="P230" s="41">
        <v>11</v>
      </c>
      <c r="Q230" s="41" t="s">
        <v>492</v>
      </c>
      <c r="R230" s="41" t="s">
        <v>458</v>
      </c>
      <c r="S230" s="42">
        <v>884.19</v>
      </c>
      <c r="T230" s="43">
        <v>294.73</v>
      </c>
    </row>
    <row r="231" spans="1:20" x14ac:dyDescent="0.35">
      <c r="A231" s="44">
        <v>45245</v>
      </c>
      <c r="B231" s="9" t="s">
        <v>514</v>
      </c>
      <c r="C231" s="9" t="s">
        <v>74</v>
      </c>
      <c r="D231" s="9" t="s">
        <v>22</v>
      </c>
      <c r="E231" s="9" t="s">
        <v>83</v>
      </c>
      <c r="F231" s="9">
        <v>4</v>
      </c>
      <c r="G231" s="10">
        <v>161.43</v>
      </c>
      <c r="H231" s="9" t="s">
        <v>44</v>
      </c>
      <c r="I231" s="9" t="s">
        <v>515</v>
      </c>
      <c r="J231" s="9" t="s">
        <v>94</v>
      </c>
      <c r="K231" s="9" t="s">
        <v>60</v>
      </c>
      <c r="L231" s="9" t="s">
        <v>28</v>
      </c>
      <c r="M231" s="9" t="s">
        <v>67</v>
      </c>
      <c r="N231" s="10">
        <v>609.6</v>
      </c>
      <c r="O231" s="9">
        <v>2023</v>
      </c>
      <c r="P231" s="9">
        <v>11</v>
      </c>
      <c r="Q231" s="9" t="s">
        <v>492</v>
      </c>
      <c r="R231" s="9" t="s">
        <v>458</v>
      </c>
      <c r="S231" s="10">
        <v>609.6</v>
      </c>
      <c r="T231" s="45">
        <v>121.92</v>
      </c>
    </row>
    <row r="232" spans="1:20" x14ac:dyDescent="0.35">
      <c r="A232" s="40">
        <v>45246</v>
      </c>
      <c r="B232" s="41" t="s">
        <v>516</v>
      </c>
      <c r="C232" s="41" t="s">
        <v>74</v>
      </c>
      <c r="D232" s="41" t="s">
        <v>22</v>
      </c>
      <c r="E232" s="41" t="s">
        <v>83</v>
      </c>
      <c r="F232" s="41">
        <v>4</v>
      </c>
      <c r="G232" s="42">
        <v>161.44</v>
      </c>
      <c r="H232" s="41" t="s">
        <v>35</v>
      </c>
      <c r="I232" s="41" t="s">
        <v>517</v>
      </c>
      <c r="J232" s="41" t="s">
        <v>94</v>
      </c>
      <c r="K232" s="41" t="s">
        <v>60</v>
      </c>
      <c r="L232" s="41" t="s">
        <v>28</v>
      </c>
      <c r="M232" s="41" t="s">
        <v>56</v>
      </c>
      <c r="N232" s="42">
        <v>528.08000000000004</v>
      </c>
      <c r="O232" s="41">
        <v>2023</v>
      </c>
      <c r="P232" s="41">
        <v>11</v>
      </c>
      <c r="Q232" s="41" t="s">
        <v>492</v>
      </c>
      <c r="R232" s="41" t="s">
        <v>458</v>
      </c>
      <c r="S232" s="42">
        <v>528.08000000000004</v>
      </c>
      <c r="T232" s="43">
        <v>75.44</v>
      </c>
    </row>
    <row r="233" spans="1:20" x14ac:dyDescent="0.35">
      <c r="A233" s="44">
        <v>45249</v>
      </c>
      <c r="B233" s="9" t="s">
        <v>518</v>
      </c>
      <c r="C233" s="9" t="s">
        <v>74</v>
      </c>
      <c r="D233" s="9" t="s">
        <v>22</v>
      </c>
      <c r="E233" s="9" t="s">
        <v>83</v>
      </c>
      <c r="F233" s="9">
        <v>4</v>
      </c>
      <c r="G233" s="10">
        <v>161.87</v>
      </c>
      <c r="H233" s="9" t="s">
        <v>44</v>
      </c>
      <c r="I233" s="9" t="s">
        <v>519</v>
      </c>
      <c r="J233" s="9" t="s">
        <v>94</v>
      </c>
      <c r="K233" s="9" t="s">
        <v>60</v>
      </c>
      <c r="L233" s="9" t="s">
        <v>66</v>
      </c>
      <c r="M233" s="9" t="s">
        <v>101</v>
      </c>
      <c r="N233" s="10">
        <v>835.32</v>
      </c>
      <c r="O233" s="9">
        <v>2023</v>
      </c>
      <c r="P233" s="9">
        <v>11</v>
      </c>
      <c r="Q233" s="9" t="s">
        <v>492</v>
      </c>
      <c r="R233" s="9" t="s">
        <v>458</v>
      </c>
      <c r="S233" s="10">
        <v>835.32</v>
      </c>
      <c r="T233" s="45">
        <v>208.83</v>
      </c>
    </row>
    <row r="234" spans="1:20" x14ac:dyDescent="0.35">
      <c r="A234" s="40">
        <v>45253</v>
      </c>
      <c r="B234" s="41" t="s">
        <v>520</v>
      </c>
      <c r="C234" s="41" t="s">
        <v>74</v>
      </c>
      <c r="D234" s="41" t="s">
        <v>22</v>
      </c>
      <c r="E234" s="41" t="s">
        <v>83</v>
      </c>
      <c r="F234" s="41">
        <v>4</v>
      </c>
      <c r="G234" s="42">
        <v>162.18</v>
      </c>
      <c r="H234" s="41" t="s">
        <v>58</v>
      </c>
      <c r="I234" s="41" t="s">
        <v>521</v>
      </c>
      <c r="J234" s="41" t="s">
        <v>94</v>
      </c>
      <c r="K234" s="41" t="s">
        <v>60</v>
      </c>
      <c r="L234" s="41" t="s">
        <v>28</v>
      </c>
      <c r="M234" s="41" t="s">
        <v>56</v>
      </c>
      <c r="N234" s="42">
        <v>1591.38</v>
      </c>
      <c r="O234" s="41">
        <v>2023</v>
      </c>
      <c r="P234" s="41">
        <v>11</v>
      </c>
      <c r="Q234" s="41" t="s">
        <v>492</v>
      </c>
      <c r="R234" s="41" t="s">
        <v>458</v>
      </c>
      <c r="S234" s="42">
        <v>1591.38</v>
      </c>
      <c r="T234" s="43">
        <v>176.82</v>
      </c>
    </row>
    <row r="235" spans="1:20" x14ac:dyDescent="0.35">
      <c r="A235" s="44">
        <v>45258</v>
      </c>
      <c r="B235" s="9" t="s">
        <v>332</v>
      </c>
      <c r="C235" s="9" t="s">
        <v>74</v>
      </c>
      <c r="D235" s="9" t="s">
        <v>22</v>
      </c>
      <c r="E235" s="9" t="s">
        <v>83</v>
      </c>
      <c r="F235" s="9">
        <v>4</v>
      </c>
      <c r="G235" s="10">
        <v>162.22999999999999</v>
      </c>
      <c r="H235" s="9" t="s">
        <v>44</v>
      </c>
      <c r="I235" s="9" t="s">
        <v>522</v>
      </c>
      <c r="J235" s="9" t="s">
        <v>94</v>
      </c>
      <c r="K235" s="9" t="s">
        <v>60</v>
      </c>
      <c r="L235" s="9" t="s">
        <v>28</v>
      </c>
      <c r="M235" s="9" t="s">
        <v>49</v>
      </c>
      <c r="N235" s="10">
        <v>3588.75</v>
      </c>
      <c r="O235" s="9">
        <v>2023</v>
      </c>
      <c r="P235" s="9">
        <v>11</v>
      </c>
      <c r="Q235" s="9" t="s">
        <v>492</v>
      </c>
      <c r="R235" s="9" t="s">
        <v>458</v>
      </c>
      <c r="S235" s="10">
        <v>3588.75</v>
      </c>
      <c r="T235" s="45">
        <v>398.75</v>
      </c>
    </row>
    <row r="236" spans="1:20" x14ac:dyDescent="0.35">
      <c r="A236" s="40">
        <v>45258</v>
      </c>
      <c r="B236" s="41" t="s">
        <v>218</v>
      </c>
      <c r="C236" s="41" t="s">
        <v>74</v>
      </c>
      <c r="D236" s="41" t="s">
        <v>22</v>
      </c>
      <c r="E236" s="41" t="s">
        <v>83</v>
      </c>
      <c r="F236" s="41">
        <v>4</v>
      </c>
      <c r="G236" s="42">
        <v>163.36000000000001</v>
      </c>
      <c r="H236" s="41" t="s">
        <v>64</v>
      </c>
      <c r="I236" s="41" t="s">
        <v>523</v>
      </c>
      <c r="J236" s="41" t="s">
        <v>94</v>
      </c>
      <c r="K236" s="41" t="s">
        <v>60</v>
      </c>
      <c r="L236" s="41" t="s">
        <v>28</v>
      </c>
      <c r="M236" s="41" t="s">
        <v>49</v>
      </c>
      <c r="N236" s="42">
        <v>3927.1</v>
      </c>
      <c r="O236" s="41">
        <v>2023</v>
      </c>
      <c r="P236" s="41">
        <v>11</v>
      </c>
      <c r="Q236" s="41" t="s">
        <v>492</v>
      </c>
      <c r="R236" s="41" t="s">
        <v>458</v>
      </c>
      <c r="S236" s="42">
        <v>3927.1</v>
      </c>
      <c r="T236" s="43">
        <v>392.71</v>
      </c>
    </row>
    <row r="237" spans="1:20" x14ac:dyDescent="0.35">
      <c r="A237" s="44">
        <v>45260</v>
      </c>
      <c r="B237" s="9" t="s">
        <v>524</v>
      </c>
      <c r="C237" s="9" t="s">
        <v>74</v>
      </c>
      <c r="D237" s="9" t="s">
        <v>22</v>
      </c>
      <c r="E237" s="9" t="s">
        <v>83</v>
      </c>
      <c r="F237" s="9">
        <v>4</v>
      </c>
      <c r="G237" s="10">
        <v>163.44999999999999</v>
      </c>
      <c r="H237" s="9" t="s">
        <v>58</v>
      </c>
      <c r="I237" s="9" t="s">
        <v>525</v>
      </c>
      <c r="J237" s="9" t="s">
        <v>94</v>
      </c>
      <c r="K237" s="9" t="s">
        <v>60</v>
      </c>
      <c r="L237" s="9" t="s">
        <v>28</v>
      </c>
      <c r="M237" s="9" t="s">
        <v>56</v>
      </c>
      <c r="N237" s="10">
        <v>1923.6</v>
      </c>
      <c r="O237" s="9">
        <v>2023</v>
      </c>
      <c r="P237" s="9">
        <v>11</v>
      </c>
      <c r="Q237" s="9" t="s">
        <v>492</v>
      </c>
      <c r="R237" s="9" t="s">
        <v>458</v>
      </c>
      <c r="S237" s="10">
        <v>1923.6</v>
      </c>
      <c r="T237" s="45">
        <v>274.8</v>
      </c>
    </row>
    <row r="238" spans="1:20" x14ac:dyDescent="0.35">
      <c r="A238" s="40">
        <v>45260</v>
      </c>
      <c r="B238" s="41" t="s">
        <v>479</v>
      </c>
      <c r="C238" s="41" t="s">
        <v>74</v>
      </c>
      <c r="D238" s="41" t="s">
        <v>22</v>
      </c>
      <c r="E238" s="41" t="s">
        <v>83</v>
      </c>
      <c r="F238" s="41">
        <v>4</v>
      </c>
      <c r="G238" s="42">
        <v>163.57</v>
      </c>
      <c r="H238" s="41" t="s">
        <v>64</v>
      </c>
      <c r="I238" s="41" t="s">
        <v>526</v>
      </c>
      <c r="J238" s="41" t="s">
        <v>94</v>
      </c>
      <c r="K238" s="41" t="s">
        <v>60</v>
      </c>
      <c r="L238" s="41" t="s">
        <v>28</v>
      </c>
      <c r="M238" s="41" t="s">
        <v>56</v>
      </c>
      <c r="N238" s="42">
        <v>1013.8</v>
      </c>
      <c r="O238" s="41">
        <v>2023</v>
      </c>
      <c r="P238" s="41">
        <v>11</v>
      </c>
      <c r="Q238" s="41" t="s">
        <v>492</v>
      </c>
      <c r="R238" s="41" t="s">
        <v>458</v>
      </c>
      <c r="S238" s="42">
        <v>1013.8</v>
      </c>
      <c r="T238" s="43">
        <v>202.76</v>
      </c>
    </row>
    <row r="239" spans="1:20" x14ac:dyDescent="0.35">
      <c r="A239" s="44">
        <v>45261</v>
      </c>
      <c r="B239" s="9" t="s">
        <v>527</v>
      </c>
      <c r="C239" s="9" t="s">
        <v>74</v>
      </c>
      <c r="D239" s="9" t="s">
        <v>22</v>
      </c>
      <c r="E239" s="9" t="s">
        <v>23</v>
      </c>
      <c r="F239" s="9">
        <v>4</v>
      </c>
      <c r="G239" s="10">
        <v>164.32</v>
      </c>
      <c r="H239" s="9" t="s">
        <v>24</v>
      </c>
      <c r="I239" s="9" t="s">
        <v>528</v>
      </c>
      <c r="J239" s="9" t="s">
        <v>94</v>
      </c>
      <c r="K239" s="9" t="s">
        <v>60</v>
      </c>
      <c r="L239" s="9" t="s">
        <v>66</v>
      </c>
      <c r="M239" s="9" t="s">
        <v>61</v>
      </c>
      <c r="N239" s="10">
        <v>1243</v>
      </c>
      <c r="O239" s="9">
        <v>2023</v>
      </c>
      <c r="P239" s="9">
        <v>12</v>
      </c>
      <c r="Q239" s="9" t="s">
        <v>529</v>
      </c>
      <c r="R239" s="9" t="s">
        <v>458</v>
      </c>
      <c r="S239" s="10">
        <v>1243</v>
      </c>
      <c r="T239" s="45">
        <v>310.75</v>
      </c>
    </row>
    <row r="240" spans="1:20" x14ac:dyDescent="0.35">
      <c r="A240" s="40">
        <v>45261</v>
      </c>
      <c r="B240" s="41" t="s">
        <v>530</v>
      </c>
      <c r="C240" s="41" t="s">
        <v>74</v>
      </c>
      <c r="D240" s="41" t="s">
        <v>22</v>
      </c>
      <c r="E240" s="41" t="s">
        <v>23</v>
      </c>
      <c r="F240" s="41">
        <v>4</v>
      </c>
      <c r="G240" s="42">
        <v>164.75</v>
      </c>
      <c r="H240" s="41" t="s">
        <v>44</v>
      </c>
      <c r="I240" s="41" t="s">
        <v>531</v>
      </c>
      <c r="J240" s="41" t="s">
        <v>94</v>
      </c>
      <c r="K240" s="41" t="s">
        <v>60</v>
      </c>
      <c r="L240" s="41" t="s">
        <v>39</v>
      </c>
      <c r="M240" s="41" t="s">
        <v>61</v>
      </c>
      <c r="N240" s="42">
        <v>415.44</v>
      </c>
      <c r="O240" s="41">
        <v>2023</v>
      </c>
      <c r="P240" s="41">
        <v>12</v>
      </c>
      <c r="Q240" s="41" t="s">
        <v>529</v>
      </c>
      <c r="R240" s="41" t="s">
        <v>458</v>
      </c>
      <c r="S240" s="42">
        <v>415.44</v>
      </c>
      <c r="T240" s="43">
        <v>138.47999999999999</v>
      </c>
    </row>
    <row r="241" spans="1:20" x14ac:dyDescent="0.35">
      <c r="A241" s="44">
        <v>45263</v>
      </c>
      <c r="B241" s="9" t="s">
        <v>532</v>
      </c>
      <c r="C241" s="9" t="s">
        <v>74</v>
      </c>
      <c r="D241" s="9" t="s">
        <v>22</v>
      </c>
      <c r="E241" s="9" t="s">
        <v>23</v>
      </c>
      <c r="F241" s="9">
        <v>4</v>
      </c>
      <c r="G241" s="10">
        <v>165.02</v>
      </c>
      <c r="H241" s="9" t="s">
        <v>64</v>
      </c>
      <c r="I241" s="9" t="s">
        <v>533</v>
      </c>
      <c r="J241" s="9" t="s">
        <v>94</v>
      </c>
      <c r="K241" s="9" t="s">
        <v>60</v>
      </c>
      <c r="L241" s="9" t="s">
        <v>28</v>
      </c>
      <c r="M241" s="9" t="s">
        <v>101</v>
      </c>
      <c r="N241" s="10">
        <v>323.92</v>
      </c>
      <c r="O241" s="9">
        <v>2023</v>
      </c>
      <c r="P241" s="9">
        <v>12</v>
      </c>
      <c r="Q241" s="9" t="s">
        <v>529</v>
      </c>
      <c r="R241" s="9" t="s">
        <v>458</v>
      </c>
      <c r="S241" s="10">
        <v>323.92</v>
      </c>
      <c r="T241" s="45">
        <v>40.49</v>
      </c>
    </row>
    <row r="242" spans="1:20" x14ac:dyDescent="0.35">
      <c r="A242" s="40">
        <v>45264</v>
      </c>
      <c r="B242" s="41" t="s">
        <v>534</v>
      </c>
      <c r="C242" s="41" t="s">
        <v>74</v>
      </c>
      <c r="D242" s="41" t="s">
        <v>22</v>
      </c>
      <c r="E242" s="41" t="s">
        <v>23</v>
      </c>
      <c r="F242" s="41">
        <v>4</v>
      </c>
      <c r="G242" s="42">
        <v>166.32</v>
      </c>
      <c r="H242" s="41" t="s">
        <v>58</v>
      </c>
      <c r="I242" s="41" t="s">
        <v>535</v>
      </c>
      <c r="J242" s="41" t="s">
        <v>26</v>
      </c>
      <c r="K242" s="41" t="s">
        <v>60</v>
      </c>
      <c r="L242" s="41" t="s">
        <v>28</v>
      </c>
      <c r="M242" s="41" t="s">
        <v>29</v>
      </c>
      <c r="N242" s="42">
        <v>120.27</v>
      </c>
      <c r="O242" s="41">
        <v>2023</v>
      </c>
      <c r="P242" s="41">
        <v>12</v>
      </c>
      <c r="Q242" s="41" t="s">
        <v>529</v>
      </c>
      <c r="R242" s="41" t="s">
        <v>458</v>
      </c>
      <c r="S242" s="42">
        <v>120.27</v>
      </c>
      <c r="T242" s="43">
        <v>40.090000000000003</v>
      </c>
    </row>
    <row r="243" spans="1:20" x14ac:dyDescent="0.35">
      <c r="A243" s="44">
        <v>45264</v>
      </c>
      <c r="B243" s="9" t="s">
        <v>536</v>
      </c>
      <c r="C243" s="9" t="s">
        <v>74</v>
      </c>
      <c r="D243" s="9" t="s">
        <v>22</v>
      </c>
      <c r="E243" s="9" t="s">
        <v>23</v>
      </c>
      <c r="F243" s="9">
        <v>4</v>
      </c>
      <c r="G243" s="10">
        <v>167.17</v>
      </c>
      <c r="H243" s="9" t="s">
        <v>35</v>
      </c>
      <c r="I243" s="9" t="s">
        <v>537</v>
      </c>
      <c r="J243" s="9" t="s">
        <v>26</v>
      </c>
      <c r="K243" s="9" t="s">
        <v>60</v>
      </c>
      <c r="L243" s="9" t="s">
        <v>66</v>
      </c>
      <c r="M243" s="9" t="s">
        <v>29</v>
      </c>
      <c r="N243" s="10">
        <v>201.06</v>
      </c>
      <c r="O243" s="9">
        <v>2023</v>
      </c>
      <c r="P243" s="9">
        <v>12</v>
      </c>
      <c r="Q243" s="9" t="s">
        <v>529</v>
      </c>
      <c r="R243" s="9" t="s">
        <v>458</v>
      </c>
      <c r="S243" s="10">
        <v>201.06</v>
      </c>
      <c r="T243" s="45">
        <v>201.06</v>
      </c>
    </row>
    <row r="244" spans="1:20" x14ac:dyDescent="0.35">
      <c r="A244" s="40">
        <v>45265</v>
      </c>
      <c r="B244" s="41" t="s">
        <v>538</v>
      </c>
      <c r="C244" s="41" t="s">
        <v>74</v>
      </c>
      <c r="D244" s="41" t="s">
        <v>22</v>
      </c>
      <c r="E244" s="41" t="s">
        <v>23</v>
      </c>
      <c r="F244" s="41">
        <v>5</v>
      </c>
      <c r="G244" s="42">
        <v>168.59</v>
      </c>
      <c r="H244" s="41" t="s">
        <v>58</v>
      </c>
      <c r="I244" s="41" t="s">
        <v>539</v>
      </c>
      <c r="J244" s="41" t="s">
        <v>26</v>
      </c>
      <c r="K244" s="41" t="s">
        <v>60</v>
      </c>
      <c r="L244" s="41" t="s">
        <v>28</v>
      </c>
      <c r="M244" s="41" t="s">
        <v>49</v>
      </c>
      <c r="N244" s="42">
        <v>815.67</v>
      </c>
      <c r="O244" s="41">
        <v>2023</v>
      </c>
      <c r="P244" s="41">
        <v>12</v>
      </c>
      <c r="Q244" s="41" t="s">
        <v>529</v>
      </c>
      <c r="R244" s="41" t="s">
        <v>458</v>
      </c>
      <c r="S244" s="42">
        <v>815.67</v>
      </c>
      <c r="T244" s="43">
        <v>271.89</v>
      </c>
    </row>
    <row r="245" spans="1:20" x14ac:dyDescent="0.35">
      <c r="A245" s="44">
        <v>45266</v>
      </c>
      <c r="B245" s="9" t="s">
        <v>540</v>
      </c>
      <c r="C245" s="9" t="s">
        <v>74</v>
      </c>
      <c r="D245" s="9" t="s">
        <v>22</v>
      </c>
      <c r="E245" s="9" t="s">
        <v>23</v>
      </c>
      <c r="F245" s="9">
        <v>5</v>
      </c>
      <c r="G245" s="10">
        <v>168.63</v>
      </c>
      <c r="H245" s="9" t="s">
        <v>35</v>
      </c>
      <c r="I245" s="9" t="s">
        <v>541</v>
      </c>
      <c r="J245" s="9" t="s">
        <v>26</v>
      </c>
      <c r="K245" s="9" t="s">
        <v>60</v>
      </c>
      <c r="L245" s="9" t="s">
        <v>66</v>
      </c>
      <c r="M245" s="9" t="s">
        <v>67</v>
      </c>
      <c r="N245" s="10">
        <v>356.8</v>
      </c>
      <c r="O245" s="9">
        <v>2023</v>
      </c>
      <c r="P245" s="9">
        <v>12</v>
      </c>
      <c r="Q245" s="9" t="s">
        <v>529</v>
      </c>
      <c r="R245" s="9" t="s">
        <v>458</v>
      </c>
      <c r="S245" s="10">
        <v>356.8</v>
      </c>
      <c r="T245" s="45">
        <v>35.68</v>
      </c>
    </row>
    <row r="246" spans="1:20" x14ac:dyDescent="0.35">
      <c r="A246" s="40">
        <v>45269</v>
      </c>
      <c r="B246" s="41" t="s">
        <v>542</v>
      </c>
      <c r="C246" s="41" t="s">
        <v>74</v>
      </c>
      <c r="D246" s="41" t="s">
        <v>22</v>
      </c>
      <c r="E246" s="41" t="s">
        <v>23</v>
      </c>
      <c r="F246" s="41">
        <v>5</v>
      </c>
      <c r="G246" s="42">
        <v>169.14</v>
      </c>
      <c r="H246" s="41" t="s">
        <v>44</v>
      </c>
      <c r="I246" s="41" t="s">
        <v>543</v>
      </c>
      <c r="J246" s="41" t="s">
        <v>26</v>
      </c>
      <c r="K246" s="41" t="s">
        <v>60</v>
      </c>
      <c r="L246" s="41" t="s">
        <v>66</v>
      </c>
      <c r="M246" s="41" t="s">
        <v>79</v>
      </c>
      <c r="N246" s="42">
        <v>594.16</v>
      </c>
      <c r="O246" s="41">
        <v>2023</v>
      </c>
      <c r="P246" s="41">
        <v>12</v>
      </c>
      <c r="Q246" s="41" t="s">
        <v>529</v>
      </c>
      <c r="R246" s="41" t="s">
        <v>458</v>
      </c>
      <c r="S246" s="42">
        <v>594.16</v>
      </c>
      <c r="T246" s="43">
        <v>297.08</v>
      </c>
    </row>
    <row r="247" spans="1:20" x14ac:dyDescent="0.35">
      <c r="A247" s="44">
        <v>45270</v>
      </c>
      <c r="B247" s="9" t="s">
        <v>486</v>
      </c>
      <c r="C247" s="9" t="s">
        <v>74</v>
      </c>
      <c r="D247" s="9" t="s">
        <v>22</v>
      </c>
      <c r="E247" s="9" t="s">
        <v>23</v>
      </c>
      <c r="F247" s="9">
        <v>5</v>
      </c>
      <c r="G247" s="10">
        <v>169.87</v>
      </c>
      <c r="H247" s="9" t="s">
        <v>35</v>
      </c>
      <c r="I247" s="9" t="s">
        <v>544</v>
      </c>
      <c r="J247" s="9" t="s">
        <v>26</v>
      </c>
      <c r="K247" s="9" t="s">
        <v>60</v>
      </c>
      <c r="L247" s="9" t="s">
        <v>66</v>
      </c>
      <c r="M247" s="9" t="s">
        <v>101</v>
      </c>
      <c r="N247" s="10">
        <v>74.88</v>
      </c>
      <c r="O247" s="9">
        <v>2023</v>
      </c>
      <c r="P247" s="9">
        <v>12</v>
      </c>
      <c r="Q247" s="9" t="s">
        <v>529</v>
      </c>
      <c r="R247" s="9" t="s">
        <v>458</v>
      </c>
      <c r="S247" s="10">
        <v>74.88</v>
      </c>
      <c r="T247" s="45">
        <v>8.32</v>
      </c>
    </row>
    <row r="248" spans="1:20" x14ac:dyDescent="0.35">
      <c r="A248" s="40">
        <v>45271</v>
      </c>
      <c r="B248" s="41" t="s">
        <v>545</v>
      </c>
      <c r="C248" s="41" t="s">
        <v>74</v>
      </c>
      <c r="D248" s="41" t="s">
        <v>22</v>
      </c>
      <c r="E248" s="41" t="s">
        <v>23</v>
      </c>
      <c r="F248" s="41">
        <v>5</v>
      </c>
      <c r="G248" s="42">
        <v>170.02</v>
      </c>
      <c r="H248" s="41" t="s">
        <v>24</v>
      </c>
      <c r="I248" s="41" t="s">
        <v>546</v>
      </c>
      <c r="J248" s="41" t="s">
        <v>26</v>
      </c>
      <c r="K248" s="41" t="s">
        <v>60</v>
      </c>
      <c r="L248" s="41" t="s">
        <v>39</v>
      </c>
      <c r="M248" s="41" t="s">
        <v>29</v>
      </c>
      <c r="N248" s="42">
        <v>2922.48</v>
      </c>
      <c r="O248" s="41">
        <v>2023</v>
      </c>
      <c r="P248" s="41">
        <v>12</v>
      </c>
      <c r="Q248" s="41" t="s">
        <v>529</v>
      </c>
      <c r="R248" s="41" t="s">
        <v>458</v>
      </c>
      <c r="S248" s="42">
        <v>2922.48</v>
      </c>
      <c r="T248" s="43">
        <v>324.72000000000003</v>
      </c>
    </row>
    <row r="249" spans="1:20" x14ac:dyDescent="0.35">
      <c r="A249" s="44">
        <v>45273</v>
      </c>
      <c r="B249" s="9" t="s">
        <v>547</v>
      </c>
      <c r="C249" s="9" t="s">
        <v>74</v>
      </c>
      <c r="D249" s="9" t="s">
        <v>22</v>
      </c>
      <c r="E249" s="9" t="s">
        <v>23</v>
      </c>
      <c r="F249" s="9">
        <v>5</v>
      </c>
      <c r="G249" s="10">
        <v>170.54</v>
      </c>
      <c r="H249" s="9" t="s">
        <v>58</v>
      </c>
      <c r="I249" s="9" t="s">
        <v>548</v>
      </c>
      <c r="J249" s="9" t="s">
        <v>26</v>
      </c>
      <c r="K249" s="9" t="s">
        <v>60</v>
      </c>
      <c r="L249" s="9" t="s">
        <v>39</v>
      </c>
      <c r="M249" s="9" t="s">
        <v>67</v>
      </c>
      <c r="N249" s="10">
        <v>1452</v>
      </c>
      <c r="O249" s="9">
        <v>2023</v>
      </c>
      <c r="P249" s="9">
        <v>12</v>
      </c>
      <c r="Q249" s="9" t="s">
        <v>529</v>
      </c>
      <c r="R249" s="9" t="s">
        <v>458</v>
      </c>
      <c r="S249" s="10">
        <v>1452</v>
      </c>
      <c r="T249" s="45">
        <v>290.39999999999998</v>
      </c>
    </row>
    <row r="250" spans="1:20" x14ac:dyDescent="0.35">
      <c r="A250" s="40">
        <v>45279</v>
      </c>
      <c r="B250" s="41" t="s">
        <v>396</v>
      </c>
      <c r="C250" s="41" t="s">
        <v>74</v>
      </c>
      <c r="D250" s="41" t="s">
        <v>22</v>
      </c>
      <c r="E250" s="41" t="s">
        <v>23</v>
      </c>
      <c r="F250" s="41">
        <v>5</v>
      </c>
      <c r="G250" s="42">
        <v>171.08</v>
      </c>
      <c r="H250" s="41" t="s">
        <v>44</v>
      </c>
      <c r="I250" s="41" t="s">
        <v>549</v>
      </c>
      <c r="J250" s="41" t="s">
        <v>26</v>
      </c>
      <c r="K250" s="41" t="s">
        <v>60</v>
      </c>
      <c r="L250" s="41" t="s">
        <v>66</v>
      </c>
      <c r="M250" s="41" t="s">
        <v>49</v>
      </c>
      <c r="N250" s="42">
        <v>398.15</v>
      </c>
      <c r="O250" s="41">
        <v>2023</v>
      </c>
      <c r="P250" s="41">
        <v>12</v>
      </c>
      <c r="Q250" s="41" t="s">
        <v>529</v>
      </c>
      <c r="R250" s="41" t="s">
        <v>458</v>
      </c>
      <c r="S250" s="42">
        <v>398.15</v>
      </c>
      <c r="T250" s="43">
        <v>79.63</v>
      </c>
    </row>
    <row r="251" spans="1:20" x14ac:dyDescent="0.35">
      <c r="A251" s="44">
        <v>45279</v>
      </c>
      <c r="B251" s="9" t="s">
        <v>550</v>
      </c>
      <c r="C251" s="9" t="s">
        <v>74</v>
      </c>
      <c r="D251" s="9" t="s">
        <v>22</v>
      </c>
      <c r="E251" s="9" t="s">
        <v>23</v>
      </c>
      <c r="F251" s="9">
        <v>5</v>
      </c>
      <c r="G251" s="10">
        <v>171.3</v>
      </c>
      <c r="H251" s="9" t="s">
        <v>44</v>
      </c>
      <c r="I251" s="9" t="s">
        <v>551</v>
      </c>
      <c r="J251" s="9" t="s">
        <v>26</v>
      </c>
      <c r="K251" s="9" t="s">
        <v>60</v>
      </c>
      <c r="L251" s="9" t="s">
        <v>39</v>
      </c>
      <c r="M251" s="9" t="s">
        <v>49</v>
      </c>
      <c r="N251" s="10">
        <v>1710.8</v>
      </c>
      <c r="O251" s="9">
        <v>2023</v>
      </c>
      <c r="P251" s="9">
        <v>12</v>
      </c>
      <c r="Q251" s="9" t="s">
        <v>529</v>
      </c>
      <c r="R251" s="9" t="s">
        <v>458</v>
      </c>
      <c r="S251" s="10">
        <v>1710.8</v>
      </c>
      <c r="T251" s="45">
        <v>171.08</v>
      </c>
    </row>
    <row r="252" spans="1:20" x14ac:dyDescent="0.35">
      <c r="A252" s="40">
        <v>45279</v>
      </c>
      <c r="B252" s="41" t="s">
        <v>552</v>
      </c>
      <c r="C252" s="41" t="s">
        <v>74</v>
      </c>
      <c r="D252" s="41" t="s">
        <v>22</v>
      </c>
      <c r="E252" s="41" t="s">
        <v>23</v>
      </c>
      <c r="F252" s="41">
        <v>5</v>
      </c>
      <c r="G252" s="42">
        <v>172.32</v>
      </c>
      <c r="H252" s="41" t="s">
        <v>44</v>
      </c>
      <c r="I252" s="41" t="s">
        <v>553</v>
      </c>
      <c r="J252" s="41" t="s">
        <v>26</v>
      </c>
      <c r="K252" s="41" t="s">
        <v>60</v>
      </c>
      <c r="L252" s="41" t="s">
        <v>39</v>
      </c>
      <c r="M252" s="41" t="s">
        <v>49</v>
      </c>
      <c r="N252" s="42">
        <v>318.93</v>
      </c>
      <c r="O252" s="41">
        <v>2023</v>
      </c>
      <c r="P252" s="41">
        <v>12</v>
      </c>
      <c r="Q252" s="41" t="s">
        <v>529</v>
      </c>
      <c r="R252" s="41" t="s">
        <v>458</v>
      </c>
      <c r="S252" s="42">
        <v>318.93</v>
      </c>
      <c r="T252" s="43">
        <v>318.93</v>
      </c>
    </row>
    <row r="253" spans="1:20" x14ac:dyDescent="0.35">
      <c r="A253" s="44">
        <v>45280</v>
      </c>
      <c r="B253" s="9" t="s">
        <v>554</v>
      </c>
      <c r="C253" s="9" t="s">
        <v>74</v>
      </c>
      <c r="D253" s="9" t="s">
        <v>22</v>
      </c>
      <c r="E253" s="9" t="s">
        <v>23</v>
      </c>
      <c r="F253" s="9">
        <v>5</v>
      </c>
      <c r="G253" s="10">
        <v>173.09</v>
      </c>
      <c r="H253" s="9" t="s">
        <v>44</v>
      </c>
      <c r="I253" s="9" t="s">
        <v>555</v>
      </c>
      <c r="J253" s="9" t="s">
        <v>26</v>
      </c>
      <c r="K253" s="9" t="s">
        <v>60</v>
      </c>
      <c r="L253" s="9" t="s">
        <v>28</v>
      </c>
      <c r="M253" s="9" t="s">
        <v>67</v>
      </c>
      <c r="N253" s="10">
        <v>2698.6</v>
      </c>
      <c r="O253" s="9">
        <v>2023</v>
      </c>
      <c r="P253" s="9">
        <v>12</v>
      </c>
      <c r="Q253" s="9" t="s">
        <v>529</v>
      </c>
      <c r="R253" s="9" t="s">
        <v>458</v>
      </c>
      <c r="S253" s="10">
        <v>2698.6</v>
      </c>
      <c r="T253" s="45">
        <v>269.86</v>
      </c>
    </row>
    <row r="254" spans="1:20" x14ac:dyDescent="0.35">
      <c r="A254" s="40">
        <v>45281</v>
      </c>
      <c r="B254" s="41" t="s">
        <v>556</v>
      </c>
      <c r="C254" s="41" t="s">
        <v>74</v>
      </c>
      <c r="D254" s="41" t="s">
        <v>22</v>
      </c>
      <c r="E254" s="41" t="s">
        <v>23</v>
      </c>
      <c r="F254" s="41">
        <v>5</v>
      </c>
      <c r="G254" s="42">
        <v>173.42</v>
      </c>
      <c r="H254" s="41" t="s">
        <v>35</v>
      </c>
      <c r="I254" s="41" t="s">
        <v>557</v>
      </c>
      <c r="J254" s="41" t="s">
        <v>26</v>
      </c>
      <c r="K254" s="41" t="s">
        <v>60</v>
      </c>
      <c r="L254" s="41" t="s">
        <v>28</v>
      </c>
      <c r="M254" s="41" t="s">
        <v>56</v>
      </c>
      <c r="N254" s="42">
        <v>497.38</v>
      </c>
      <c r="O254" s="41">
        <v>2023</v>
      </c>
      <c r="P254" s="41">
        <v>12</v>
      </c>
      <c r="Q254" s="41" t="s">
        <v>529</v>
      </c>
      <c r="R254" s="41" t="s">
        <v>458</v>
      </c>
      <c r="S254" s="42">
        <v>497.38</v>
      </c>
      <c r="T254" s="43">
        <v>248.69</v>
      </c>
    </row>
    <row r="255" spans="1:20" x14ac:dyDescent="0.35">
      <c r="A255" s="44">
        <v>45284</v>
      </c>
      <c r="B255" s="9" t="s">
        <v>558</v>
      </c>
      <c r="C255" s="9" t="s">
        <v>74</v>
      </c>
      <c r="D255" s="9" t="s">
        <v>22</v>
      </c>
      <c r="E255" s="9" t="s">
        <v>23</v>
      </c>
      <c r="F255" s="9">
        <v>5</v>
      </c>
      <c r="G255" s="10">
        <v>174.62</v>
      </c>
      <c r="H255" s="9" t="s">
        <v>58</v>
      </c>
      <c r="I255" s="9" t="s">
        <v>559</v>
      </c>
      <c r="J255" s="9" t="s">
        <v>26</v>
      </c>
      <c r="K255" s="9" t="s">
        <v>60</v>
      </c>
      <c r="L255" s="9" t="s">
        <v>39</v>
      </c>
      <c r="M255" s="9" t="s">
        <v>101</v>
      </c>
      <c r="N255" s="10">
        <v>1574.48</v>
      </c>
      <c r="O255" s="9">
        <v>2023</v>
      </c>
      <c r="P255" s="9">
        <v>12</v>
      </c>
      <c r="Q255" s="9" t="s">
        <v>529</v>
      </c>
      <c r="R255" s="9" t="s">
        <v>458</v>
      </c>
      <c r="S255" s="10">
        <v>1574.48</v>
      </c>
      <c r="T255" s="45">
        <v>393.62</v>
      </c>
    </row>
    <row r="256" spans="1:20" x14ac:dyDescent="0.35">
      <c r="A256" s="40">
        <v>45287</v>
      </c>
      <c r="B256" s="41" t="s">
        <v>448</v>
      </c>
      <c r="C256" s="41" t="s">
        <v>74</v>
      </c>
      <c r="D256" s="41" t="s">
        <v>22</v>
      </c>
      <c r="E256" s="41" t="s">
        <v>23</v>
      </c>
      <c r="F256" s="41">
        <v>5</v>
      </c>
      <c r="G256" s="42">
        <v>176.35</v>
      </c>
      <c r="H256" s="41" t="s">
        <v>35</v>
      </c>
      <c r="I256" s="41" t="s">
        <v>560</v>
      </c>
      <c r="J256" s="41" t="s">
        <v>26</v>
      </c>
      <c r="K256" s="41" t="s">
        <v>60</v>
      </c>
      <c r="L256" s="41" t="s">
        <v>66</v>
      </c>
      <c r="M256" s="41" t="s">
        <v>67</v>
      </c>
      <c r="N256" s="42">
        <v>3914.3</v>
      </c>
      <c r="O256" s="41">
        <v>2023</v>
      </c>
      <c r="P256" s="41">
        <v>12</v>
      </c>
      <c r="Q256" s="41" t="s">
        <v>529</v>
      </c>
      <c r="R256" s="41" t="s">
        <v>458</v>
      </c>
      <c r="S256" s="42">
        <v>3914.3</v>
      </c>
      <c r="T256" s="43">
        <v>391.43</v>
      </c>
    </row>
    <row r="257" spans="1:20" x14ac:dyDescent="0.35">
      <c r="A257" s="44">
        <v>45288</v>
      </c>
      <c r="B257" s="9" t="s">
        <v>439</v>
      </c>
      <c r="C257" s="9" t="s">
        <v>74</v>
      </c>
      <c r="D257" s="9" t="s">
        <v>22</v>
      </c>
      <c r="E257" s="9" t="s">
        <v>23</v>
      </c>
      <c r="F257" s="9">
        <v>5</v>
      </c>
      <c r="G257" s="10">
        <v>176.82</v>
      </c>
      <c r="H257" s="9" t="s">
        <v>24</v>
      </c>
      <c r="I257" s="9" t="s">
        <v>561</v>
      </c>
      <c r="J257" s="9" t="s">
        <v>26</v>
      </c>
      <c r="K257" s="9" t="s">
        <v>60</v>
      </c>
      <c r="L257" s="9" t="s">
        <v>28</v>
      </c>
      <c r="M257" s="9" t="s">
        <v>56</v>
      </c>
      <c r="N257" s="10">
        <v>202.72</v>
      </c>
      <c r="O257" s="9">
        <v>2023</v>
      </c>
      <c r="P257" s="9">
        <v>12</v>
      </c>
      <c r="Q257" s="9" t="s">
        <v>529</v>
      </c>
      <c r="R257" s="9" t="s">
        <v>458</v>
      </c>
      <c r="S257" s="10">
        <v>202.72</v>
      </c>
      <c r="T257" s="45">
        <v>202.72</v>
      </c>
    </row>
    <row r="258" spans="1:20" x14ac:dyDescent="0.35">
      <c r="A258" s="40">
        <v>45288</v>
      </c>
      <c r="B258" s="41" t="s">
        <v>562</v>
      </c>
      <c r="C258" s="41" t="s">
        <v>74</v>
      </c>
      <c r="D258" s="41" t="s">
        <v>22</v>
      </c>
      <c r="E258" s="41" t="s">
        <v>23</v>
      </c>
      <c r="F258" s="41">
        <v>5</v>
      </c>
      <c r="G258" s="42">
        <v>177.74</v>
      </c>
      <c r="H258" s="41" t="s">
        <v>35</v>
      </c>
      <c r="I258" s="41" t="s">
        <v>563</v>
      </c>
      <c r="J258" s="41" t="s">
        <v>26</v>
      </c>
      <c r="K258" s="41" t="s">
        <v>60</v>
      </c>
      <c r="L258" s="41" t="s">
        <v>28</v>
      </c>
      <c r="M258" s="41" t="s">
        <v>56</v>
      </c>
      <c r="N258" s="42">
        <v>2035</v>
      </c>
      <c r="O258" s="41">
        <v>2023</v>
      </c>
      <c r="P258" s="41">
        <v>12</v>
      </c>
      <c r="Q258" s="41" t="s">
        <v>529</v>
      </c>
      <c r="R258" s="41" t="s">
        <v>458</v>
      </c>
      <c r="S258" s="42">
        <v>2035</v>
      </c>
      <c r="T258" s="43">
        <v>203.5</v>
      </c>
    </row>
    <row r="259" spans="1:20" x14ac:dyDescent="0.35">
      <c r="A259" s="44">
        <v>45290</v>
      </c>
      <c r="B259" s="9" t="s">
        <v>564</v>
      </c>
      <c r="C259" s="9" t="s">
        <v>74</v>
      </c>
      <c r="D259" s="9" t="s">
        <v>22</v>
      </c>
      <c r="E259" s="9" t="s">
        <v>23</v>
      </c>
      <c r="F259" s="9">
        <v>5</v>
      </c>
      <c r="G259" s="10">
        <v>180.96</v>
      </c>
      <c r="H259" s="9" t="s">
        <v>35</v>
      </c>
      <c r="I259" s="9" t="s">
        <v>565</v>
      </c>
      <c r="J259" s="9" t="s">
        <v>26</v>
      </c>
      <c r="K259" s="9" t="s">
        <v>60</v>
      </c>
      <c r="L259" s="9" t="s">
        <v>66</v>
      </c>
      <c r="M259" s="9" t="s">
        <v>79</v>
      </c>
      <c r="N259" s="10">
        <v>269.56</v>
      </c>
      <c r="O259" s="9">
        <v>2023</v>
      </c>
      <c r="P259" s="9">
        <v>12</v>
      </c>
      <c r="Q259" s="9" t="s">
        <v>529</v>
      </c>
      <c r="R259" s="9" t="s">
        <v>458</v>
      </c>
      <c r="S259" s="10">
        <v>269.56</v>
      </c>
      <c r="T259" s="45">
        <v>67.39</v>
      </c>
    </row>
    <row r="260" spans="1:20" x14ac:dyDescent="0.35">
      <c r="A260" s="40">
        <v>45292</v>
      </c>
      <c r="B260" s="41" t="s">
        <v>566</v>
      </c>
      <c r="C260" s="41" t="s">
        <v>74</v>
      </c>
      <c r="D260" s="41" t="s">
        <v>22</v>
      </c>
      <c r="E260" s="41" t="s">
        <v>23</v>
      </c>
      <c r="F260" s="41">
        <v>5</v>
      </c>
      <c r="G260" s="42">
        <v>181.04</v>
      </c>
      <c r="H260" s="41" t="s">
        <v>35</v>
      </c>
      <c r="I260" s="41" t="s">
        <v>567</v>
      </c>
      <c r="J260" s="41" t="s">
        <v>26</v>
      </c>
      <c r="K260" s="41" t="s">
        <v>60</v>
      </c>
      <c r="L260" s="41" t="s">
        <v>28</v>
      </c>
      <c r="M260" s="41" t="s">
        <v>29</v>
      </c>
      <c r="N260" s="42">
        <v>1099.77</v>
      </c>
      <c r="O260" s="41">
        <v>2024</v>
      </c>
      <c r="P260" s="41">
        <v>1</v>
      </c>
      <c r="Q260" s="41" t="s">
        <v>30</v>
      </c>
      <c r="R260" s="41" t="s">
        <v>31</v>
      </c>
      <c r="S260" s="42">
        <v>1099.77</v>
      </c>
      <c r="T260" s="43">
        <v>157.11000000000001</v>
      </c>
    </row>
    <row r="261" spans="1:20" x14ac:dyDescent="0.35">
      <c r="A261" s="44">
        <v>45292</v>
      </c>
      <c r="B261" s="9" t="s">
        <v>275</v>
      </c>
      <c r="C261" s="9" t="s">
        <v>74</v>
      </c>
      <c r="D261" s="9" t="s">
        <v>22</v>
      </c>
      <c r="E261" s="9" t="s">
        <v>23</v>
      </c>
      <c r="F261" s="9">
        <v>5</v>
      </c>
      <c r="G261" s="10">
        <v>181.86</v>
      </c>
      <c r="H261" s="9" t="s">
        <v>58</v>
      </c>
      <c r="I261" s="9" t="s">
        <v>568</v>
      </c>
      <c r="J261" s="9" t="s">
        <v>26</v>
      </c>
      <c r="K261" s="9" t="s">
        <v>60</v>
      </c>
      <c r="L261" s="9" t="s">
        <v>39</v>
      </c>
      <c r="M261" s="9" t="s">
        <v>29</v>
      </c>
      <c r="N261" s="10">
        <v>227.17</v>
      </c>
      <c r="O261" s="9">
        <v>2024</v>
      </c>
      <c r="P261" s="9">
        <v>1</v>
      </c>
      <c r="Q261" s="9" t="s">
        <v>30</v>
      </c>
      <c r="R261" s="9" t="s">
        <v>31</v>
      </c>
      <c r="S261" s="10">
        <v>227.17</v>
      </c>
      <c r="T261" s="45">
        <v>227.17</v>
      </c>
    </row>
    <row r="262" spans="1:20" x14ac:dyDescent="0.35">
      <c r="A262" s="40">
        <v>45293</v>
      </c>
      <c r="B262" s="41" t="s">
        <v>569</v>
      </c>
      <c r="C262" s="41" t="s">
        <v>74</v>
      </c>
      <c r="D262" s="41" t="s">
        <v>22</v>
      </c>
      <c r="E262" s="41" t="s">
        <v>23</v>
      </c>
      <c r="F262" s="41">
        <v>5</v>
      </c>
      <c r="G262" s="42">
        <v>182.9</v>
      </c>
      <c r="H262" s="41" t="s">
        <v>64</v>
      </c>
      <c r="I262" s="41" t="s">
        <v>570</v>
      </c>
      <c r="J262" s="41" t="s">
        <v>26</v>
      </c>
      <c r="K262" s="41" t="s">
        <v>60</v>
      </c>
      <c r="L262" s="41" t="s">
        <v>39</v>
      </c>
      <c r="M262" s="41" t="s">
        <v>49</v>
      </c>
      <c r="N262" s="42">
        <v>3154.14</v>
      </c>
      <c r="O262" s="41">
        <v>2024</v>
      </c>
      <c r="P262" s="41">
        <v>1</v>
      </c>
      <c r="Q262" s="41" t="s">
        <v>30</v>
      </c>
      <c r="R262" s="41" t="s">
        <v>31</v>
      </c>
      <c r="S262" s="42">
        <v>3154.14</v>
      </c>
      <c r="T262" s="43">
        <v>350.46</v>
      </c>
    </row>
    <row r="263" spans="1:20" x14ac:dyDescent="0.35">
      <c r="A263" s="44">
        <v>45294</v>
      </c>
      <c r="B263" s="9" t="s">
        <v>571</v>
      </c>
      <c r="C263" s="9" t="s">
        <v>74</v>
      </c>
      <c r="D263" s="9" t="s">
        <v>22</v>
      </c>
      <c r="E263" s="9" t="s">
        <v>23</v>
      </c>
      <c r="F263" s="9">
        <v>5</v>
      </c>
      <c r="G263" s="10">
        <v>185.4</v>
      </c>
      <c r="H263" s="9" t="s">
        <v>24</v>
      </c>
      <c r="I263" s="9" t="s">
        <v>572</v>
      </c>
      <c r="J263" s="9" t="s">
        <v>26</v>
      </c>
      <c r="K263" s="9" t="s">
        <v>60</v>
      </c>
      <c r="L263" s="9" t="s">
        <v>39</v>
      </c>
      <c r="M263" s="9" t="s">
        <v>67</v>
      </c>
      <c r="N263" s="10">
        <v>1372.3</v>
      </c>
      <c r="O263" s="9">
        <v>2024</v>
      </c>
      <c r="P263" s="9">
        <v>1</v>
      </c>
      <c r="Q263" s="9" t="s">
        <v>30</v>
      </c>
      <c r="R263" s="9" t="s">
        <v>31</v>
      </c>
      <c r="S263" s="10">
        <v>1372.3</v>
      </c>
      <c r="T263" s="45">
        <v>137.22999999999999</v>
      </c>
    </row>
    <row r="264" spans="1:20" x14ac:dyDescent="0.35">
      <c r="A264" s="40">
        <v>45295</v>
      </c>
      <c r="B264" s="41" t="s">
        <v>573</v>
      </c>
      <c r="C264" s="41" t="s">
        <v>74</v>
      </c>
      <c r="D264" s="41" t="s">
        <v>22</v>
      </c>
      <c r="E264" s="41" t="s">
        <v>23</v>
      </c>
      <c r="F264" s="41">
        <v>5</v>
      </c>
      <c r="G264" s="42">
        <v>188.28</v>
      </c>
      <c r="H264" s="41" t="s">
        <v>44</v>
      </c>
      <c r="I264" s="41" t="s">
        <v>574</v>
      </c>
      <c r="J264" s="41" t="s">
        <v>26</v>
      </c>
      <c r="K264" s="41" t="s">
        <v>60</v>
      </c>
      <c r="L264" s="41" t="s">
        <v>66</v>
      </c>
      <c r="M264" s="41" t="s">
        <v>56</v>
      </c>
      <c r="N264" s="42">
        <v>782.56</v>
      </c>
      <c r="O264" s="41">
        <v>2024</v>
      </c>
      <c r="P264" s="41">
        <v>1</v>
      </c>
      <c r="Q264" s="41" t="s">
        <v>30</v>
      </c>
      <c r="R264" s="41" t="s">
        <v>31</v>
      </c>
      <c r="S264" s="42">
        <v>782.56</v>
      </c>
      <c r="T264" s="43">
        <v>391.28</v>
      </c>
    </row>
    <row r="265" spans="1:20" x14ac:dyDescent="0.35">
      <c r="A265" s="44">
        <v>45296</v>
      </c>
      <c r="B265" s="9" t="s">
        <v>575</v>
      </c>
      <c r="C265" s="9" t="s">
        <v>74</v>
      </c>
      <c r="D265" s="9" t="s">
        <v>22</v>
      </c>
      <c r="E265" s="9" t="s">
        <v>23</v>
      </c>
      <c r="F265" s="9">
        <v>5</v>
      </c>
      <c r="G265" s="10">
        <v>188.93</v>
      </c>
      <c r="H265" s="9" t="s">
        <v>35</v>
      </c>
      <c r="I265" s="9" t="s">
        <v>576</v>
      </c>
      <c r="J265" s="9" t="s">
        <v>26</v>
      </c>
      <c r="K265" s="9" t="s">
        <v>60</v>
      </c>
      <c r="L265" s="9" t="s">
        <v>39</v>
      </c>
      <c r="M265" s="9" t="s">
        <v>61</v>
      </c>
      <c r="N265" s="10">
        <v>2387.1</v>
      </c>
      <c r="O265" s="9">
        <v>2024</v>
      </c>
      <c r="P265" s="9">
        <v>1</v>
      </c>
      <c r="Q265" s="9" t="s">
        <v>30</v>
      </c>
      <c r="R265" s="9" t="s">
        <v>31</v>
      </c>
      <c r="S265" s="10">
        <v>2387.1</v>
      </c>
      <c r="T265" s="45">
        <v>397.85</v>
      </c>
    </row>
    <row r="266" spans="1:20" x14ac:dyDescent="0.35">
      <c r="A266" s="40">
        <v>45299</v>
      </c>
      <c r="B266" s="41" t="s">
        <v>577</v>
      </c>
      <c r="C266" s="41" t="s">
        <v>74</v>
      </c>
      <c r="D266" s="41" t="s">
        <v>22</v>
      </c>
      <c r="E266" s="41" t="s">
        <v>23</v>
      </c>
      <c r="F266" s="41">
        <v>5</v>
      </c>
      <c r="G266" s="42">
        <v>190.84</v>
      </c>
      <c r="H266" s="41" t="s">
        <v>64</v>
      </c>
      <c r="I266" s="41" t="s">
        <v>578</v>
      </c>
      <c r="J266" s="41" t="s">
        <v>26</v>
      </c>
      <c r="K266" s="41" t="s">
        <v>60</v>
      </c>
      <c r="L266" s="41" t="s">
        <v>39</v>
      </c>
      <c r="M266" s="41" t="s">
        <v>29</v>
      </c>
      <c r="N266" s="42">
        <v>342.6</v>
      </c>
      <c r="O266" s="41">
        <v>2024</v>
      </c>
      <c r="P266" s="41">
        <v>1</v>
      </c>
      <c r="Q266" s="41" t="s">
        <v>30</v>
      </c>
      <c r="R266" s="41" t="s">
        <v>31</v>
      </c>
      <c r="S266" s="42">
        <v>342.6</v>
      </c>
      <c r="T266" s="43">
        <v>171.3</v>
      </c>
    </row>
    <row r="267" spans="1:20" x14ac:dyDescent="0.35">
      <c r="A267" s="44">
        <v>45299</v>
      </c>
      <c r="B267" s="9" t="s">
        <v>296</v>
      </c>
      <c r="C267" s="9" t="s">
        <v>74</v>
      </c>
      <c r="D267" s="9" t="s">
        <v>22</v>
      </c>
      <c r="E267" s="9" t="s">
        <v>23</v>
      </c>
      <c r="F267" s="9">
        <v>5</v>
      </c>
      <c r="G267" s="10">
        <v>191.77</v>
      </c>
      <c r="H267" s="9" t="s">
        <v>24</v>
      </c>
      <c r="I267" s="9" t="s">
        <v>579</v>
      </c>
      <c r="J267" s="9" t="s">
        <v>26</v>
      </c>
      <c r="K267" s="9" t="s">
        <v>60</v>
      </c>
      <c r="L267" s="9" t="s">
        <v>28</v>
      </c>
      <c r="M267" s="9" t="s">
        <v>29</v>
      </c>
      <c r="N267" s="10">
        <v>1263.52</v>
      </c>
      <c r="O267" s="9">
        <v>2024</v>
      </c>
      <c r="P267" s="9">
        <v>1</v>
      </c>
      <c r="Q267" s="9" t="s">
        <v>30</v>
      </c>
      <c r="R267" s="9" t="s">
        <v>31</v>
      </c>
      <c r="S267" s="10">
        <v>1263.52</v>
      </c>
      <c r="T267" s="45">
        <v>157.94</v>
      </c>
    </row>
    <row r="268" spans="1:20" x14ac:dyDescent="0.35">
      <c r="A268" s="40">
        <v>45300</v>
      </c>
      <c r="B268" s="41" t="s">
        <v>279</v>
      </c>
      <c r="C268" s="41" t="s">
        <v>74</v>
      </c>
      <c r="D268" s="41" t="s">
        <v>22</v>
      </c>
      <c r="E268" s="41" t="s">
        <v>23</v>
      </c>
      <c r="F268" s="41">
        <v>5</v>
      </c>
      <c r="G268" s="42">
        <v>193.95</v>
      </c>
      <c r="H268" s="41" t="s">
        <v>24</v>
      </c>
      <c r="I268" s="41" t="s">
        <v>580</v>
      </c>
      <c r="J268" s="41" t="s">
        <v>26</v>
      </c>
      <c r="K268" s="41" t="s">
        <v>60</v>
      </c>
      <c r="L268" s="41" t="s">
        <v>28</v>
      </c>
      <c r="M268" s="41" t="s">
        <v>49</v>
      </c>
      <c r="N268" s="42">
        <v>3696.3</v>
      </c>
      <c r="O268" s="41">
        <v>2024</v>
      </c>
      <c r="P268" s="41">
        <v>1</v>
      </c>
      <c r="Q268" s="41" t="s">
        <v>30</v>
      </c>
      <c r="R268" s="41" t="s">
        <v>31</v>
      </c>
      <c r="S268" s="42">
        <v>3696.3</v>
      </c>
      <c r="T268" s="43">
        <v>369.63</v>
      </c>
    </row>
    <row r="269" spans="1:20" x14ac:dyDescent="0.35">
      <c r="A269" s="44">
        <v>45304</v>
      </c>
      <c r="B269" s="9" t="s">
        <v>581</v>
      </c>
      <c r="C269" s="9" t="s">
        <v>74</v>
      </c>
      <c r="D269" s="9" t="s">
        <v>22</v>
      </c>
      <c r="E269" s="9" t="s">
        <v>23</v>
      </c>
      <c r="F269" s="9">
        <v>5</v>
      </c>
      <c r="G269" s="10">
        <v>194.66</v>
      </c>
      <c r="H269" s="9" t="s">
        <v>58</v>
      </c>
      <c r="I269" s="9" t="s">
        <v>582</v>
      </c>
      <c r="J269" s="9" t="s">
        <v>26</v>
      </c>
      <c r="K269" s="9" t="s">
        <v>60</v>
      </c>
      <c r="L269" s="9" t="s">
        <v>66</v>
      </c>
      <c r="M269" s="9" t="s">
        <v>79</v>
      </c>
      <c r="N269" s="10">
        <v>980.55</v>
      </c>
      <c r="O269" s="9">
        <v>2024</v>
      </c>
      <c r="P269" s="9">
        <v>1</v>
      </c>
      <c r="Q269" s="9" t="s">
        <v>30</v>
      </c>
      <c r="R269" s="9" t="s">
        <v>31</v>
      </c>
      <c r="S269" s="10">
        <v>980.55</v>
      </c>
      <c r="T269" s="45">
        <v>108.95</v>
      </c>
    </row>
    <row r="270" spans="1:20" x14ac:dyDescent="0.35">
      <c r="A270" s="40">
        <v>45306</v>
      </c>
      <c r="B270" s="41" t="s">
        <v>187</v>
      </c>
      <c r="C270" s="41" t="s">
        <v>74</v>
      </c>
      <c r="D270" s="41" t="s">
        <v>22</v>
      </c>
      <c r="E270" s="41" t="s">
        <v>23</v>
      </c>
      <c r="F270" s="41">
        <v>5</v>
      </c>
      <c r="G270" s="42">
        <v>195.04</v>
      </c>
      <c r="H270" s="41" t="s">
        <v>35</v>
      </c>
      <c r="I270" s="41" t="s">
        <v>583</v>
      </c>
      <c r="J270" s="41" t="s">
        <v>26</v>
      </c>
      <c r="K270" s="41" t="s">
        <v>60</v>
      </c>
      <c r="L270" s="41" t="s">
        <v>28</v>
      </c>
      <c r="M270" s="41" t="s">
        <v>29</v>
      </c>
      <c r="N270" s="42">
        <v>1183.3</v>
      </c>
      <c r="O270" s="41">
        <v>2024</v>
      </c>
      <c r="P270" s="41">
        <v>1</v>
      </c>
      <c r="Q270" s="41" t="s">
        <v>30</v>
      </c>
      <c r="R270" s="41" t="s">
        <v>31</v>
      </c>
      <c r="S270" s="42">
        <v>1183.3</v>
      </c>
      <c r="T270" s="43">
        <v>236.66</v>
      </c>
    </row>
    <row r="271" spans="1:20" x14ac:dyDescent="0.35">
      <c r="A271" s="44">
        <v>45308</v>
      </c>
      <c r="B271" s="9" t="s">
        <v>283</v>
      </c>
      <c r="C271" s="9" t="s">
        <v>74</v>
      </c>
      <c r="D271" s="9" t="s">
        <v>22</v>
      </c>
      <c r="E271" s="9" t="s">
        <v>23</v>
      </c>
      <c r="F271" s="9">
        <v>5</v>
      </c>
      <c r="G271" s="10">
        <v>195.86</v>
      </c>
      <c r="H271" s="9" t="s">
        <v>44</v>
      </c>
      <c r="I271" s="9" t="s">
        <v>584</v>
      </c>
      <c r="J271" s="9" t="s">
        <v>26</v>
      </c>
      <c r="K271" s="9" t="s">
        <v>60</v>
      </c>
      <c r="L271" s="9" t="s">
        <v>39</v>
      </c>
      <c r="M271" s="9" t="s">
        <v>67</v>
      </c>
      <c r="N271" s="10">
        <v>1236.96</v>
      </c>
      <c r="O271" s="9">
        <v>2024</v>
      </c>
      <c r="P271" s="9">
        <v>1</v>
      </c>
      <c r="Q271" s="9" t="s">
        <v>30</v>
      </c>
      <c r="R271" s="9" t="s">
        <v>31</v>
      </c>
      <c r="S271" s="10">
        <v>1236.96</v>
      </c>
      <c r="T271" s="45">
        <v>206.16</v>
      </c>
    </row>
    <row r="272" spans="1:20" x14ac:dyDescent="0.35">
      <c r="A272" s="40">
        <v>45313</v>
      </c>
      <c r="B272" s="41" t="s">
        <v>370</v>
      </c>
      <c r="C272" s="41" t="s">
        <v>74</v>
      </c>
      <c r="D272" s="41" t="s">
        <v>22</v>
      </c>
      <c r="E272" s="41" t="s">
        <v>23</v>
      </c>
      <c r="F272" s="41">
        <v>5</v>
      </c>
      <c r="G272" s="42">
        <v>195.91</v>
      </c>
      <c r="H272" s="41" t="s">
        <v>58</v>
      </c>
      <c r="I272" s="41" t="s">
        <v>585</v>
      </c>
      <c r="J272" s="41" t="s">
        <v>26</v>
      </c>
      <c r="K272" s="41" t="s">
        <v>60</v>
      </c>
      <c r="L272" s="41" t="s">
        <v>28</v>
      </c>
      <c r="M272" s="41" t="s">
        <v>29</v>
      </c>
      <c r="N272" s="42">
        <v>1054.6199999999999</v>
      </c>
      <c r="O272" s="41">
        <v>2024</v>
      </c>
      <c r="P272" s="41">
        <v>1</v>
      </c>
      <c r="Q272" s="41" t="s">
        <v>30</v>
      </c>
      <c r="R272" s="41" t="s">
        <v>31</v>
      </c>
      <c r="S272" s="42">
        <v>1054.6199999999999</v>
      </c>
      <c r="T272" s="43">
        <v>351.54</v>
      </c>
    </row>
    <row r="273" spans="1:20" x14ac:dyDescent="0.35">
      <c r="A273" s="44">
        <v>45317</v>
      </c>
      <c r="B273" s="9" t="s">
        <v>586</v>
      </c>
      <c r="C273" s="9" t="s">
        <v>74</v>
      </c>
      <c r="D273" s="9" t="s">
        <v>22</v>
      </c>
      <c r="E273" s="9" t="s">
        <v>23</v>
      </c>
      <c r="F273" s="9">
        <v>5</v>
      </c>
      <c r="G273" s="10">
        <v>197.52</v>
      </c>
      <c r="H273" s="9" t="s">
        <v>44</v>
      </c>
      <c r="I273" s="9" t="s">
        <v>587</v>
      </c>
      <c r="J273" s="9" t="s">
        <v>26</v>
      </c>
      <c r="K273" s="9" t="s">
        <v>60</v>
      </c>
      <c r="L273" s="9" t="s">
        <v>28</v>
      </c>
      <c r="M273" s="9" t="s">
        <v>61</v>
      </c>
      <c r="N273" s="10">
        <v>1264.1600000000001</v>
      </c>
      <c r="O273" s="9">
        <v>2024</v>
      </c>
      <c r="P273" s="9">
        <v>1</v>
      </c>
      <c r="Q273" s="9" t="s">
        <v>30</v>
      </c>
      <c r="R273" s="9" t="s">
        <v>31</v>
      </c>
      <c r="S273" s="10">
        <v>1264.1600000000001</v>
      </c>
      <c r="T273" s="45">
        <v>158.02000000000001</v>
      </c>
    </row>
    <row r="274" spans="1:20" x14ac:dyDescent="0.35">
      <c r="A274" s="40">
        <v>45317</v>
      </c>
      <c r="B274" s="41" t="s">
        <v>588</v>
      </c>
      <c r="C274" s="41" t="s">
        <v>74</v>
      </c>
      <c r="D274" s="41" t="s">
        <v>22</v>
      </c>
      <c r="E274" s="41" t="s">
        <v>23</v>
      </c>
      <c r="F274" s="41">
        <v>5</v>
      </c>
      <c r="G274" s="42">
        <v>198.77</v>
      </c>
      <c r="H274" s="41" t="s">
        <v>44</v>
      </c>
      <c r="I274" s="41" t="s">
        <v>589</v>
      </c>
      <c r="J274" s="41" t="s">
        <v>26</v>
      </c>
      <c r="K274" s="41" t="s">
        <v>60</v>
      </c>
      <c r="L274" s="41" t="s">
        <v>66</v>
      </c>
      <c r="M274" s="41" t="s">
        <v>61</v>
      </c>
      <c r="N274" s="42">
        <v>308.26</v>
      </c>
      <c r="O274" s="41">
        <v>2024</v>
      </c>
      <c r="P274" s="41">
        <v>1</v>
      </c>
      <c r="Q274" s="41" t="s">
        <v>30</v>
      </c>
      <c r="R274" s="41" t="s">
        <v>31</v>
      </c>
      <c r="S274" s="42">
        <v>308.26</v>
      </c>
      <c r="T274" s="43">
        <v>308.26</v>
      </c>
    </row>
    <row r="275" spans="1:20" x14ac:dyDescent="0.35">
      <c r="A275" s="44">
        <v>45319</v>
      </c>
      <c r="B275" s="9" t="s">
        <v>590</v>
      </c>
      <c r="C275" s="9" t="s">
        <v>74</v>
      </c>
      <c r="D275" s="9" t="s">
        <v>22</v>
      </c>
      <c r="E275" s="9" t="s">
        <v>23</v>
      </c>
      <c r="F275" s="9">
        <v>5</v>
      </c>
      <c r="G275" s="10">
        <v>199.4</v>
      </c>
      <c r="H275" s="9" t="s">
        <v>64</v>
      </c>
      <c r="I275" s="9" t="s">
        <v>591</v>
      </c>
      <c r="J275" s="9" t="s">
        <v>26</v>
      </c>
      <c r="K275" s="9" t="s">
        <v>60</v>
      </c>
      <c r="L275" s="9" t="s">
        <v>39</v>
      </c>
      <c r="M275" s="9" t="s">
        <v>101</v>
      </c>
      <c r="N275" s="10">
        <v>86.84</v>
      </c>
      <c r="O275" s="9">
        <v>2024</v>
      </c>
      <c r="P275" s="9">
        <v>1</v>
      </c>
      <c r="Q275" s="9" t="s">
        <v>30</v>
      </c>
      <c r="R275" s="9" t="s">
        <v>31</v>
      </c>
      <c r="S275" s="10">
        <v>86.84</v>
      </c>
      <c r="T275" s="45">
        <v>43.42</v>
      </c>
    </row>
    <row r="276" spans="1:20" x14ac:dyDescent="0.35">
      <c r="A276" s="40">
        <v>45321</v>
      </c>
      <c r="B276" s="41" t="s">
        <v>200</v>
      </c>
      <c r="C276" s="41" t="s">
        <v>74</v>
      </c>
      <c r="D276" s="41" t="s">
        <v>22</v>
      </c>
      <c r="E276" s="41" t="s">
        <v>23</v>
      </c>
      <c r="F276" s="41">
        <v>5</v>
      </c>
      <c r="G276" s="42">
        <v>200.64</v>
      </c>
      <c r="H276" s="41" t="s">
        <v>58</v>
      </c>
      <c r="I276" s="41" t="s">
        <v>592</v>
      </c>
      <c r="J276" s="41" t="s">
        <v>26</v>
      </c>
      <c r="K276" s="41" t="s">
        <v>60</v>
      </c>
      <c r="L276" s="41" t="s">
        <v>28</v>
      </c>
      <c r="M276" s="41" t="s">
        <v>49</v>
      </c>
      <c r="N276" s="42">
        <v>2102.4499999999998</v>
      </c>
      <c r="O276" s="41">
        <v>2024</v>
      </c>
      <c r="P276" s="41">
        <v>1</v>
      </c>
      <c r="Q276" s="41" t="s">
        <v>30</v>
      </c>
      <c r="R276" s="41" t="s">
        <v>31</v>
      </c>
      <c r="S276" s="42">
        <v>2102.4499999999998</v>
      </c>
      <c r="T276" s="43">
        <v>300.35000000000002</v>
      </c>
    </row>
    <row r="277" spans="1:20" x14ac:dyDescent="0.35">
      <c r="A277" s="44">
        <v>45323</v>
      </c>
      <c r="B277" s="9" t="s">
        <v>348</v>
      </c>
      <c r="C277" s="9" t="s">
        <v>74</v>
      </c>
      <c r="D277" s="9" t="s">
        <v>22</v>
      </c>
      <c r="E277" s="9" t="s">
        <v>23</v>
      </c>
      <c r="F277" s="9">
        <v>5</v>
      </c>
      <c r="G277" s="10">
        <v>201.06</v>
      </c>
      <c r="H277" s="9" t="s">
        <v>35</v>
      </c>
      <c r="I277" s="9" t="s">
        <v>593</v>
      </c>
      <c r="J277" s="9" t="s">
        <v>26</v>
      </c>
      <c r="K277" s="9" t="s">
        <v>60</v>
      </c>
      <c r="L277" s="9" t="s">
        <v>28</v>
      </c>
      <c r="M277" s="9" t="s">
        <v>56</v>
      </c>
      <c r="N277" s="10">
        <v>1810.15</v>
      </c>
      <c r="O277" s="9">
        <v>2024</v>
      </c>
      <c r="P277" s="9">
        <v>2</v>
      </c>
      <c r="Q277" s="9" t="s">
        <v>118</v>
      </c>
      <c r="R277" s="9" t="s">
        <v>31</v>
      </c>
      <c r="S277" s="10">
        <v>1810.15</v>
      </c>
      <c r="T277" s="45">
        <v>362.03</v>
      </c>
    </row>
    <row r="278" spans="1:20" x14ac:dyDescent="0.35">
      <c r="A278" s="40">
        <v>45324</v>
      </c>
      <c r="B278" s="41" t="s">
        <v>594</v>
      </c>
      <c r="C278" s="41" t="s">
        <v>74</v>
      </c>
      <c r="D278" s="41" t="s">
        <v>22</v>
      </c>
      <c r="E278" s="41" t="s">
        <v>23</v>
      </c>
      <c r="F278" s="41">
        <v>5</v>
      </c>
      <c r="G278" s="42">
        <v>201.35</v>
      </c>
      <c r="H278" s="41" t="s">
        <v>58</v>
      </c>
      <c r="I278" s="41" t="s">
        <v>595</v>
      </c>
      <c r="J278" s="41" t="s">
        <v>26</v>
      </c>
      <c r="K278" s="41" t="s">
        <v>60</v>
      </c>
      <c r="L278" s="41" t="s">
        <v>39</v>
      </c>
      <c r="M278" s="41" t="s">
        <v>61</v>
      </c>
      <c r="N278" s="42">
        <v>1316.28</v>
      </c>
      <c r="O278" s="41">
        <v>2024</v>
      </c>
      <c r="P278" s="41">
        <v>2</v>
      </c>
      <c r="Q278" s="41" t="s">
        <v>118</v>
      </c>
      <c r="R278" s="41" t="s">
        <v>31</v>
      </c>
      <c r="S278" s="42">
        <v>1316.28</v>
      </c>
      <c r="T278" s="43">
        <v>329.07</v>
      </c>
    </row>
    <row r="279" spans="1:20" x14ac:dyDescent="0.35">
      <c r="A279" s="44">
        <v>45324</v>
      </c>
      <c r="B279" s="9" t="s">
        <v>596</v>
      </c>
      <c r="C279" s="9" t="s">
        <v>74</v>
      </c>
      <c r="D279" s="9" t="s">
        <v>22</v>
      </c>
      <c r="E279" s="9" t="s">
        <v>23</v>
      </c>
      <c r="F279" s="9">
        <v>5</v>
      </c>
      <c r="G279" s="10">
        <v>201.46</v>
      </c>
      <c r="H279" s="9" t="s">
        <v>35</v>
      </c>
      <c r="I279" s="9" t="s">
        <v>597</v>
      </c>
      <c r="J279" s="9" t="s">
        <v>26</v>
      </c>
      <c r="K279" s="9" t="s">
        <v>60</v>
      </c>
      <c r="L279" s="9" t="s">
        <v>39</v>
      </c>
      <c r="M279" s="9" t="s">
        <v>61</v>
      </c>
      <c r="N279" s="10">
        <v>1534.16</v>
      </c>
      <c r="O279" s="9">
        <v>2024</v>
      </c>
      <c r="P279" s="9">
        <v>2</v>
      </c>
      <c r="Q279" s="9" t="s">
        <v>118</v>
      </c>
      <c r="R279" s="9" t="s">
        <v>31</v>
      </c>
      <c r="S279" s="10">
        <v>1534.16</v>
      </c>
      <c r="T279" s="45">
        <v>191.77</v>
      </c>
    </row>
    <row r="280" spans="1:20" x14ac:dyDescent="0.35">
      <c r="A280" s="40">
        <v>45327</v>
      </c>
      <c r="B280" s="41" t="s">
        <v>598</v>
      </c>
      <c r="C280" s="41" t="s">
        <v>74</v>
      </c>
      <c r="D280" s="41" t="s">
        <v>22</v>
      </c>
      <c r="E280" s="41" t="s">
        <v>23</v>
      </c>
      <c r="F280" s="41">
        <v>5</v>
      </c>
      <c r="G280" s="42">
        <v>201.54</v>
      </c>
      <c r="H280" s="41" t="s">
        <v>44</v>
      </c>
      <c r="I280" s="41" t="s">
        <v>599</v>
      </c>
      <c r="J280" s="41" t="s">
        <v>26</v>
      </c>
      <c r="K280" s="41" t="s">
        <v>60</v>
      </c>
      <c r="L280" s="41" t="s">
        <v>39</v>
      </c>
      <c r="M280" s="41" t="s">
        <v>29</v>
      </c>
      <c r="N280" s="42">
        <v>2029.2</v>
      </c>
      <c r="O280" s="41">
        <v>2024</v>
      </c>
      <c r="P280" s="41">
        <v>2</v>
      </c>
      <c r="Q280" s="41" t="s">
        <v>118</v>
      </c>
      <c r="R280" s="41" t="s">
        <v>31</v>
      </c>
      <c r="S280" s="42">
        <v>2029.2</v>
      </c>
      <c r="T280" s="43">
        <v>338.2</v>
      </c>
    </row>
    <row r="281" spans="1:20" x14ac:dyDescent="0.35">
      <c r="A281" s="44">
        <v>45328</v>
      </c>
      <c r="B281" s="9" t="s">
        <v>147</v>
      </c>
      <c r="C281" s="9" t="s">
        <v>74</v>
      </c>
      <c r="D281" s="9" t="s">
        <v>22</v>
      </c>
      <c r="E281" s="9" t="s">
        <v>23</v>
      </c>
      <c r="F281" s="9">
        <v>5</v>
      </c>
      <c r="G281" s="10">
        <v>201.85</v>
      </c>
      <c r="H281" s="9" t="s">
        <v>35</v>
      </c>
      <c r="I281" s="9" t="s">
        <v>600</v>
      </c>
      <c r="J281" s="9" t="s">
        <v>26</v>
      </c>
      <c r="K281" s="9" t="s">
        <v>60</v>
      </c>
      <c r="L281" s="9" t="s">
        <v>28</v>
      </c>
      <c r="M281" s="9" t="s">
        <v>49</v>
      </c>
      <c r="N281" s="10">
        <v>992.81</v>
      </c>
      <c r="O281" s="9">
        <v>2024</v>
      </c>
      <c r="P281" s="9">
        <v>2</v>
      </c>
      <c r="Q281" s="9" t="s">
        <v>118</v>
      </c>
      <c r="R281" s="9" t="s">
        <v>31</v>
      </c>
      <c r="S281" s="10">
        <v>992.81</v>
      </c>
      <c r="T281" s="45">
        <v>141.83000000000001</v>
      </c>
    </row>
    <row r="282" spans="1:20" x14ac:dyDescent="0.35">
      <c r="A282" s="40">
        <v>45331</v>
      </c>
      <c r="B282" s="41" t="s">
        <v>147</v>
      </c>
      <c r="C282" s="41" t="s">
        <v>74</v>
      </c>
      <c r="D282" s="41" t="s">
        <v>22</v>
      </c>
      <c r="E282" s="41" t="s">
        <v>23</v>
      </c>
      <c r="F282" s="41">
        <v>5</v>
      </c>
      <c r="G282" s="42">
        <v>202.35</v>
      </c>
      <c r="H282" s="41" t="s">
        <v>35</v>
      </c>
      <c r="I282" s="41" t="s">
        <v>601</v>
      </c>
      <c r="J282" s="41" t="s">
        <v>26</v>
      </c>
      <c r="K282" s="41" t="s">
        <v>60</v>
      </c>
      <c r="L282" s="41" t="s">
        <v>28</v>
      </c>
      <c r="M282" s="41" t="s">
        <v>61</v>
      </c>
      <c r="N282" s="42">
        <v>27.15</v>
      </c>
      <c r="O282" s="41">
        <v>2024</v>
      </c>
      <c r="P282" s="41">
        <v>2</v>
      </c>
      <c r="Q282" s="41" t="s">
        <v>118</v>
      </c>
      <c r="R282" s="41" t="s">
        <v>31</v>
      </c>
      <c r="S282" s="42">
        <v>27.15</v>
      </c>
      <c r="T282" s="43">
        <v>9.0500000000000007</v>
      </c>
    </row>
    <row r="283" spans="1:20" x14ac:dyDescent="0.35">
      <c r="A283" s="44">
        <v>45332</v>
      </c>
      <c r="B283" s="9" t="s">
        <v>425</v>
      </c>
      <c r="C283" s="9" t="s">
        <v>74</v>
      </c>
      <c r="D283" s="9" t="s">
        <v>22</v>
      </c>
      <c r="E283" s="9" t="s">
        <v>23</v>
      </c>
      <c r="F283" s="9">
        <v>5</v>
      </c>
      <c r="G283" s="10">
        <v>202.46</v>
      </c>
      <c r="H283" s="9" t="s">
        <v>24</v>
      </c>
      <c r="I283" s="9" t="s">
        <v>602</v>
      </c>
      <c r="J283" s="9" t="s">
        <v>26</v>
      </c>
      <c r="K283" s="9" t="s">
        <v>60</v>
      </c>
      <c r="L283" s="9" t="s">
        <v>66</v>
      </c>
      <c r="M283" s="9" t="s">
        <v>79</v>
      </c>
      <c r="N283" s="10">
        <v>61.14</v>
      </c>
      <c r="O283" s="9">
        <v>2024</v>
      </c>
      <c r="P283" s="9">
        <v>2</v>
      </c>
      <c r="Q283" s="9" t="s">
        <v>118</v>
      </c>
      <c r="R283" s="9" t="s">
        <v>31</v>
      </c>
      <c r="S283" s="10">
        <v>61.14</v>
      </c>
      <c r="T283" s="45">
        <v>61.14</v>
      </c>
    </row>
    <row r="284" spans="1:20" x14ac:dyDescent="0.35">
      <c r="A284" s="40">
        <v>45332</v>
      </c>
      <c r="B284" s="41" t="s">
        <v>603</v>
      </c>
      <c r="C284" s="41" t="s">
        <v>74</v>
      </c>
      <c r="D284" s="41" t="s">
        <v>33</v>
      </c>
      <c r="E284" s="41" t="s">
        <v>23</v>
      </c>
      <c r="F284" s="41">
        <v>5</v>
      </c>
      <c r="G284" s="42">
        <v>202.72</v>
      </c>
      <c r="H284" s="41" t="s">
        <v>44</v>
      </c>
      <c r="I284" s="41" t="s">
        <v>604</v>
      </c>
      <c r="J284" s="41" t="s">
        <v>26</v>
      </c>
      <c r="K284" s="41" t="s">
        <v>60</v>
      </c>
      <c r="L284" s="41" t="s">
        <v>66</v>
      </c>
      <c r="M284" s="41" t="s">
        <v>79</v>
      </c>
      <c r="N284" s="42">
        <v>3806.3</v>
      </c>
      <c r="O284" s="41">
        <v>2024</v>
      </c>
      <c r="P284" s="41">
        <v>2</v>
      </c>
      <c r="Q284" s="41" t="s">
        <v>118</v>
      </c>
      <c r="R284" s="41" t="s">
        <v>31</v>
      </c>
      <c r="S284" s="42">
        <v>3806.3</v>
      </c>
      <c r="T284" s="43">
        <v>380.63</v>
      </c>
    </row>
    <row r="285" spans="1:20" x14ac:dyDescent="0.35">
      <c r="A285" s="44">
        <v>45335</v>
      </c>
      <c r="B285" s="9" t="s">
        <v>605</v>
      </c>
      <c r="C285" s="9" t="s">
        <v>74</v>
      </c>
      <c r="D285" s="9" t="s">
        <v>33</v>
      </c>
      <c r="E285" s="9" t="s">
        <v>23</v>
      </c>
      <c r="F285" s="9">
        <v>5</v>
      </c>
      <c r="G285" s="10">
        <v>202.73</v>
      </c>
      <c r="H285" s="9" t="s">
        <v>24</v>
      </c>
      <c r="I285" s="9" t="s">
        <v>606</v>
      </c>
      <c r="J285" s="9" t="s">
        <v>26</v>
      </c>
      <c r="K285" s="9" t="s">
        <v>60</v>
      </c>
      <c r="L285" s="9" t="s">
        <v>28</v>
      </c>
      <c r="M285" s="9" t="s">
        <v>49</v>
      </c>
      <c r="N285" s="10">
        <v>664.12</v>
      </c>
      <c r="O285" s="9">
        <v>2024</v>
      </c>
      <c r="P285" s="9">
        <v>2</v>
      </c>
      <c r="Q285" s="9" t="s">
        <v>118</v>
      </c>
      <c r="R285" s="9" t="s">
        <v>31</v>
      </c>
      <c r="S285" s="10">
        <v>664.12</v>
      </c>
      <c r="T285" s="45">
        <v>332.06</v>
      </c>
    </row>
    <row r="286" spans="1:20" x14ac:dyDescent="0.35">
      <c r="A286" s="40">
        <v>45335</v>
      </c>
      <c r="B286" s="41" t="s">
        <v>607</v>
      </c>
      <c r="C286" s="41" t="s">
        <v>74</v>
      </c>
      <c r="D286" s="41" t="s">
        <v>33</v>
      </c>
      <c r="E286" s="41" t="s">
        <v>23</v>
      </c>
      <c r="F286" s="41">
        <v>5</v>
      </c>
      <c r="G286" s="42">
        <v>202.76</v>
      </c>
      <c r="H286" s="41" t="s">
        <v>64</v>
      </c>
      <c r="I286" s="41" t="s">
        <v>608</v>
      </c>
      <c r="J286" s="41" t="s">
        <v>26</v>
      </c>
      <c r="K286" s="41" t="s">
        <v>60</v>
      </c>
      <c r="L286" s="41" t="s">
        <v>66</v>
      </c>
      <c r="M286" s="41" t="s">
        <v>49</v>
      </c>
      <c r="N286" s="42">
        <v>1737.25</v>
      </c>
      <c r="O286" s="41">
        <v>2024</v>
      </c>
      <c r="P286" s="41">
        <v>2</v>
      </c>
      <c r="Q286" s="41" t="s">
        <v>118</v>
      </c>
      <c r="R286" s="41" t="s">
        <v>31</v>
      </c>
      <c r="S286" s="42">
        <v>1737.25</v>
      </c>
      <c r="T286" s="43">
        <v>347.45</v>
      </c>
    </row>
    <row r="287" spans="1:20" x14ac:dyDescent="0.35">
      <c r="A287" s="44">
        <v>45336</v>
      </c>
      <c r="B287" s="9" t="s">
        <v>174</v>
      </c>
      <c r="C287" s="9" t="s">
        <v>74</v>
      </c>
      <c r="D287" s="9" t="s">
        <v>33</v>
      </c>
      <c r="E287" s="9" t="s">
        <v>23</v>
      </c>
      <c r="F287" s="9">
        <v>5</v>
      </c>
      <c r="G287" s="10">
        <v>202.95</v>
      </c>
      <c r="H287" s="9" t="s">
        <v>58</v>
      </c>
      <c r="I287" s="9" t="s">
        <v>609</v>
      </c>
      <c r="J287" s="9" t="s">
        <v>26</v>
      </c>
      <c r="K287" s="9" t="s">
        <v>60</v>
      </c>
      <c r="L287" s="9" t="s">
        <v>28</v>
      </c>
      <c r="M287" s="9" t="s">
        <v>67</v>
      </c>
      <c r="N287" s="10">
        <v>801.66</v>
      </c>
      <c r="O287" s="9">
        <v>2024</v>
      </c>
      <c r="P287" s="9">
        <v>2</v>
      </c>
      <c r="Q287" s="9" t="s">
        <v>118</v>
      </c>
      <c r="R287" s="9" t="s">
        <v>31</v>
      </c>
      <c r="S287" s="10">
        <v>801.66</v>
      </c>
      <c r="T287" s="45">
        <v>267.22000000000003</v>
      </c>
    </row>
    <row r="288" spans="1:20" x14ac:dyDescent="0.35">
      <c r="A288" s="40">
        <v>45337</v>
      </c>
      <c r="B288" s="41" t="s">
        <v>610</v>
      </c>
      <c r="C288" s="41" t="s">
        <v>74</v>
      </c>
      <c r="D288" s="41" t="s">
        <v>33</v>
      </c>
      <c r="E288" s="41" t="s">
        <v>23</v>
      </c>
      <c r="F288" s="41">
        <v>5</v>
      </c>
      <c r="G288" s="42">
        <v>203.5</v>
      </c>
      <c r="H288" s="41" t="s">
        <v>64</v>
      </c>
      <c r="I288" s="41" t="s">
        <v>611</v>
      </c>
      <c r="J288" s="41" t="s">
        <v>26</v>
      </c>
      <c r="K288" s="41" t="s">
        <v>60</v>
      </c>
      <c r="L288" s="41" t="s">
        <v>66</v>
      </c>
      <c r="M288" s="41" t="s">
        <v>56</v>
      </c>
      <c r="N288" s="42">
        <v>1540.2</v>
      </c>
      <c r="O288" s="41">
        <v>2024</v>
      </c>
      <c r="P288" s="41">
        <v>2</v>
      </c>
      <c r="Q288" s="41" t="s">
        <v>118</v>
      </c>
      <c r="R288" s="41" t="s">
        <v>31</v>
      </c>
      <c r="S288" s="42">
        <v>1540.2</v>
      </c>
      <c r="T288" s="43">
        <v>385.05</v>
      </c>
    </row>
    <row r="289" spans="1:20" x14ac:dyDescent="0.35">
      <c r="A289" s="44">
        <v>45338</v>
      </c>
      <c r="B289" s="9" t="s">
        <v>612</v>
      </c>
      <c r="C289" s="9" t="s">
        <v>74</v>
      </c>
      <c r="D289" s="9" t="s">
        <v>33</v>
      </c>
      <c r="E289" s="9" t="s">
        <v>23</v>
      </c>
      <c r="F289" s="9">
        <v>5</v>
      </c>
      <c r="G289" s="10">
        <v>204</v>
      </c>
      <c r="H289" s="9" t="s">
        <v>44</v>
      </c>
      <c r="I289" s="9" t="s">
        <v>613</v>
      </c>
      <c r="J289" s="9" t="s">
        <v>26</v>
      </c>
      <c r="K289" s="9" t="s">
        <v>78</v>
      </c>
      <c r="L289" s="9" t="s">
        <v>39</v>
      </c>
      <c r="M289" s="9" t="s">
        <v>61</v>
      </c>
      <c r="N289" s="10">
        <v>461.92</v>
      </c>
      <c r="O289" s="9">
        <v>2024</v>
      </c>
      <c r="P289" s="9">
        <v>2</v>
      </c>
      <c r="Q289" s="9" t="s">
        <v>118</v>
      </c>
      <c r="R289" s="9" t="s">
        <v>31</v>
      </c>
      <c r="S289" s="10">
        <v>461.92</v>
      </c>
      <c r="T289" s="45">
        <v>230.96</v>
      </c>
    </row>
    <row r="290" spans="1:20" x14ac:dyDescent="0.35">
      <c r="A290" s="40">
        <v>45338</v>
      </c>
      <c r="B290" s="41" t="s">
        <v>614</v>
      </c>
      <c r="C290" s="41" t="s">
        <v>41</v>
      </c>
      <c r="D290" s="41" t="s">
        <v>33</v>
      </c>
      <c r="E290" s="41" t="s">
        <v>23</v>
      </c>
      <c r="F290" s="41">
        <v>5</v>
      </c>
      <c r="G290" s="42">
        <v>206.01</v>
      </c>
      <c r="H290" s="41" t="s">
        <v>64</v>
      </c>
      <c r="I290" s="41" t="s">
        <v>615</v>
      </c>
      <c r="J290" s="41" t="s">
        <v>26</v>
      </c>
      <c r="K290" s="41" t="s">
        <v>78</v>
      </c>
      <c r="L290" s="41" t="s">
        <v>28</v>
      </c>
      <c r="M290" s="41" t="s">
        <v>61</v>
      </c>
      <c r="N290" s="42">
        <v>1054.5</v>
      </c>
      <c r="O290" s="41">
        <v>2024</v>
      </c>
      <c r="P290" s="41">
        <v>2</v>
      </c>
      <c r="Q290" s="41" t="s">
        <v>118</v>
      </c>
      <c r="R290" s="41" t="s">
        <v>31</v>
      </c>
      <c r="S290" s="42">
        <v>1054.5</v>
      </c>
      <c r="T290" s="43">
        <v>105.45</v>
      </c>
    </row>
    <row r="291" spans="1:20" x14ac:dyDescent="0.35">
      <c r="A291" s="44">
        <v>45339</v>
      </c>
      <c r="B291" s="9" t="s">
        <v>616</v>
      </c>
      <c r="C291" s="9" t="s">
        <v>41</v>
      </c>
      <c r="D291" s="9" t="s">
        <v>33</v>
      </c>
      <c r="E291" s="9" t="s">
        <v>23</v>
      </c>
      <c r="F291" s="9">
        <v>5</v>
      </c>
      <c r="G291" s="10">
        <v>206.04</v>
      </c>
      <c r="H291" s="9" t="s">
        <v>35</v>
      </c>
      <c r="I291" s="9" t="s">
        <v>617</v>
      </c>
      <c r="J291" s="9" t="s">
        <v>26</v>
      </c>
      <c r="K291" s="9" t="s">
        <v>78</v>
      </c>
      <c r="L291" s="9" t="s">
        <v>39</v>
      </c>
      <c r="M291" s="9" t="s">
        <v>79</v>
      </c>
      <c r="N291" s="10">
        <v>120.72</v>
      </c>
      <c r="O291" s="9">
        <v>2024</v>
      </c>
      <c r="P291" s="9">
        <v>2</v>
      </c>
      <c r="Q291" s="9" t="s">
        <v>118</v>
      </c>
      <c r="R291" s="9" t="s">
        <v>31</v>
      </c>
      <c r="S291" s="10">
        <v>120.72</v>
      </c>
      <c r="T291" s="45">
        <v>40.24</v>
      </c>
    </row>
    <row r="292" spans="1:20" x14ac:dyDescent="0.35">
      <c r="A292" s="40">
        <v>45340</v>
      </c>
      <c r="B292" s="41" t="s">
        <v>618</v>
      </c>
      <c r="C292" s="41" t="s">
        <v>41</v>
      </c>
      <c r="D292" s="41" t="s">
        <v>33</v>
      </c>
      <c r="E292" s="41" t="s">
        <v>23</v>
      </c>
      <c r="F292" s="41">
        <v>5</v>
      </c>
      <c r="G292" s="42">
        <v>206.16</v>
      </c>
      <c r="H292" s="41" t="s">
        <v>44</v>
      </c>
      <c r="I292" s="41" t="s">
        <v>619</v>
      </c>
      <c r="J292" s="41" t="s">
        <v>26</v>
      </c>
      <c r="K292" s="41" t="s">
        <v>78</v>
      </c>
      <c r="L292" s="41" t="s">
        <v>39</v>
      </c>
      <c r="M292" s="41" t="s">
        <v>101</v>
      </c>
      <c r="N292" s="42">
        <v>1861.92</v>
      </c>
      <c r="O292" s="41">
        <v>2024</v>
      </c>
      <c r="P292" s="41">
        <v>2</v>
      </c>
      <c r="Q292" s="41" t="s">
        <v>118</v>
      </c>
      <c r="R292" s="41" t="s">
        <v>31</v>
      </c>
      <c r="S292" s="42">
        <v>1861.92</v>
      </c>
      <c r="T292" s="43">
        <v>310.32</v>
      </c>
    </row>
    <row r="293" spans="1:20" x14ac:dyDescent="0.35">
      <c r="A293" s="44">
        <v>45341</v>
      </c>
      <c r="B293" s="9" t="s">
        <v>261</v>
      </c>
      <c r="C293" s="9" t="s">
        <v>41</v>
      </c>
      <c r="D293" s="9" t="s">
        <v>33</v>
      </c>
      <c r="E293" s="9" t="s">
        <v>23</v>
      </c>
      <c r="F293" s="9">
        <v>5</v>
      </c>
      <c r="G293" s="10">
        <v>206.22</v>
      </c>
      <c r="H293" s="9" t="s">
        <v>44</v>
      </c>
      <c r="I293" s="9" t="s">
        <v>620</v>
      </c>
      <c r="J293" s="9" t="s">
        <v>26</v>
      </c>
      <c r="K293" s="9" t="s">
        <v>78</v>
      </c>
      <c r="L293" s="9" t="s">
        <v>39</v>
      </c>
      <c r="M293" s="9" t="s">
        <v>29</v>
      </c>
      <c r="N293" s="10">
        <v>353.52</v>
      </c>
      <c r="O293" s="9">
        <v>2024</v>
      </c>
      <c r="P293" s="9">
        <v>2</v>
      </c>
      <c r="Q293" s="9" t="s">
        <v>118</v>
      </c>
      <c r="R293" s="9" t="s">
        <v>31</v>
      </c>
      <c r="S293" s="10">
        <v>353.52</v>
      </c>
      <c r="T293" s="45">
        <v>58.92</v>
      </c>
    </row>
    <row r="294" spans="1:20" x14ac:dyDescent="0.35">
      <c r="A294" s="40">
        <v>45341</v>
      </c>
      <c r="B294" s="41" t="s">
        <v>621</v>
      </c>
      <c r="C294" s="41" t="s">
        <v>41</v>
      </c>
      <c r="D294" s="41" t="s">
        <v>33</v>
      </c>
      <c r="E294" s="41" t="s">
        <v>23</v>
      </c>
      <c r="F294" s="41">
        <v>5</v>
      </c>
      <c r="G294" s="42">
        <v>206.84</v>
      </c>
      <c r="H294" s="41" t="s">
        <v>44</v>
      </c>
      <c r="I294" s="41" t="s">
        <v>622</v>
      </c>
      <c r="J294" s="41" t="s">
        <v>26</v>
      </c>
      <c r="K294" s="41" t="s">
        <v>78</v>
      </c>
      <c r="L294" s="41" t="s">
        <v>39</v>
      </c>
      <c r="M294" s="41" t="s">
        <v>29</v>
      </c>
      <c r="N294" s="42">
        <v>116.2</v>
      </c>
      <c r="O294" s="41">
        <v>2024</v>
      </c>
      <c r="P294" s="41">
        <v>2</v>
      </c>
      <c r="Q294" s="41" t="s">
        <v>118</v>
      </c>
      <c r="R294" s="41" t="s">
        <v>31</v>
      </c>
      <c r="S294" s="42">
        <v>116.2</v>
      </c>
      <c r="T294" s="43">
        <v>29.05</v>
      </c>
    </row>
    <row r="295" spans="1:20" x14ac:dyDescent="0.35">
      <c r="A295" s="44">
        <v>45342</v>
      </c>
      <c r="B295" s="9" t="s">
        <v>416</v>
      </c>
      <c r="C295" s="9" t="s">
        <v>41</v>
      </c>
      <c r="D295" s="9" t="s">
        <v>33</v>
      </c>
      <c r="E295" s="9" t="s">
        <v>23</v>
      </c>
      <c r="F295" s="9">
        <v>5</v>
      </c>
      <c r="G295" s="10">
        <v>207.33</v>
      </c>
      <c r="H295" s="9" t="s">
        <v>24</v>
      </c>
      <c r="I295" s="9" t="s">
        <v>623</v>
      </c>
      <c r="J295" s="9" t="s">
        <v>26</v>
      </c>
      <c r="K295" s="9" t="s">
        <v>78</v>
      </c>
      <c r="L295" s="9" t="s">
        <v>39</v>
      </c>
      <c r="M295" s="9" t="s">
        <v>49</v>
      </c>
      <c r="N295" s="10">
        <v>2622.08</v>
      </c>
      <c r="O295" s="9">
        <v>2024</v>
      </c>
      <c r="P295" s="9">
        <v>2</v>
      </c>
      <c r="Q295" s="9" t="s">
        <v>118</v>
      </c>
      <c r="R295" s="9" t="s">
        <v>31</v>
      </c>
      <c r="S295" s="10">
        <v>2622.08</v>
      </c>
      <c r="T295" s="45">
        <v>327.76</v>
      </c>
    </row>
    <row r="296" spans="1:20" x14ac:dyDescent="0.35">
      <c r="A296" s="40">
        <v>45342</v>
      </c>
      <c r="B296" s="41" t="s">
        <v>145</v>
      </c>
      <c r="C296" s="41" t="s">
        <v>41</v>
      </c>
      <c r="D296" s="41" t="s">
        <v>33</v>
      </c>
      <c r="E296" s="41" t="s">
        <v>23</v>
      </c>
      <c r="F296" s="41">
        <v>5</v>
      </c>
      <c r="G296" s="42">
        <v>207.59</v>
      </c>
      <c r="H296" s="41" t="s">
        <v>64</v>
      </c>
      <c r="I296" s="41" t="s">
        <v>624</v>
      </c>
      <c r="J296" s="41" t="s">
        <v>26</v>
      </c>
      <c r="K296" s="41" t="s">
        <v>78</v>
      </c>
      <c r="L296" s="41" t="s">
        <v>28</v>
      </c>
      <c r="M296" s="41" t="s">
        <v>49</v>
      </c>
      <c r="N296" s="42">
        <v>90.56</v>
      </c>
      <c r="O296" s="41">
        <v>2024</v>
      </c>
      <c r="P296" s="41">
        <v>2</v>
      </c>
      <c r="Q296" s="41" t="s">
        <v>118</v>
      </c>
      <c r="R296" s="41" t="s">
        <v>31</v>
      </c>
      <c r="S296" s="42">
        <v>90.56</v>
      </c>
      <c r="T296" s="43">
        <v>45.28</v>
      </c>
    </row>
    <row r="297" spans="1:20" x14ac:dyDescent="0.35">
      <c r="A297" s="44">
        <v>45342</v>
      </c>
      <c r="B297" s="9" t="s">
        <v>625</v>
      </c>
      <c r="C297" s="9" t="s">
        <v>41</v>
      </c>
      <c r="D297" s="9" t="s">
        <v>33</v>
      </c>
      <c r="E297" s="9" t="s">
        <v>23</v>
      </c>
      <c r="F297" s="9">
        <v>5</v>
      </c>
      <c r="G297" s="10">
        <v>208.28</v>
      </c>
      <c r="H297" s="9" t="s">
        <v>58</v>
      </c>
      <c r="I297" s="9" t="s">
        <v>626</v>
      </c>
      <c r="J297" s="9" t="s">
        <v>26</v>
      </c>
      <c r="K297" s="9" t="s">
        <v>78</v>
      </c>
      <c r="L297" s="9" t="s">
        <v>66</v>
      </c>
      <c r="M297" s="9" t="s">
        <v>49</v>
      </c>
      <c r="N297" s="10">
        <v>1602.79</v>
      </c>
      <c r="O297" s="9">
        <v>2024</v>
      </c>
      <c r="P297" s="9">
        <v>2</v>
      </c>
      <c r="Q297" s="9" t="s">
        <v>118</v>
      </c>
      <c r="R297" s="9" t="s">
        <v>31</v>
      </c>
      <c r="S297" s="10">
        <v>1602.79</v>
      </c>
      <c r="T297" s="45">
        <v>228.97</v>
      </c>
    </row>
    <row r="298" spans="1:20" x14ac:dyDescent="0.35">
      <c r="A298" s="40">
        <v>45344</v>
      </c>
      <c r="B298" s="41" t="s">
        <v>627</v>
      </c>
      <c r="C298" s="41" t="s">
        <v>41</v>
      </c>
      <c r="D298" s="41" t="s">
        <v>33</v>
      </c>
      <c r="E298" s="41" t="s">
        <v>23</v>
      </c>
      <c r="F298" s="41">
        <v>5</v>
      </c>
      <c r="G298" s="42">
        <v>208.83</v>
      </c>
      <c r="H298" s="41" t="s">
        <v>64</v>
      </c>
      <c r="I298" s="41" t="s">
        <v>628</v>
      </c>
      <c r="J298" s="41" t="s">
        <v>26</v>
      </c>
      <c r="K298" s="41" t="s">
        <v>78</v>
      </c>
      <c r="L298" s="41" t="s">
        <v>39</v>
      </c>
      <c r="M298" s="41" t="s">
        <v>56</v>
      </c>
      <c r="N298" s="42">
        <v>3503.25</v>
      </c>
      <c r="O298" s="41">
        <v>2024</v>
      </c>
      <c r="P298" s="41">
        <v>2</v>
      </c>
      <c r="Q298" s="41" t="s">
        <v>118</v>
      </c>
      <c r="R298" s="41" t="s">
        <v>31</v>
      </c>
      <c r="S298" s="42">
        <v>3503.25</v>
      </c>
      <c r="T298" s="43">
        <v>389.25</v>
      </c>
    </row>
    <row r="299" spans="1:20" x14ac:dyDescent="0.35">
      <c r="A299" s="44">
        <v>45347</v>
      </c>
      <c r="B299" s="9" t="s">
        <v>629</v>
      </c>
      <c r="C299" s="9" t="s">
        <v>41</v>
      </c>
      <c r="D299" s="9" t="s">
        <v>33</v>
      </c>
      <c r="E299" s="9" t="s">
        <v>23</v>
      </c>
      <c r="F299" s="9">
        <v>5</v>
      </c>
      <c r="G299" s="10">
        <v>209.05</v>
      </c>
      <c r="H299" s="9" t="s">
        <v>35</v>
      </c>
      <c r="I299" s="9" t="s">
        <v>630</v>
      </c>
      <c r="J299" s="9" t="s">
        <v>26</v>
      </c>
      <c r="K299" s="9" t="s">
        <v>78</v>
      </c>
      <c r="L299" s="9" t="s">
        <v>28</v>
      </c>
      <c r="M299" s="9" t="s">
        <v>101</v>
      </c>
      <c r="N299" s="10">
        <v>724.16</v>
      </c>
      <c r="O299" s="9">
        <v>2024</v>
      </c>
      <c r="P299" s="9">
        <v>2</v>
      </c>
      <c r="Q299" s="9" t="s">
        <v>118</v>
      </c>
      <c r="R299" s="9" t="s">
        <v>31</v>
      </c>
      <c r="S299" s="10">
        <v>724.16</v>
      </c>
      <c r="T299" s="45">
        <v>181.04</v>
      </c>
    </row>
    <row r="300" spans="1:20" x14ac:dyDescent="0.35">
      <c r="A300" s="40">
        <v>45347</v>
      </c>
      <c r="B300" s="41" t="s">
        <v>409</v>
      </c>
      <c r="C300" s="41" t="s">
        <v>41</v>
      </c>
      <c r="D300" s="41" t="s">
        <v>33</v>
      </c>
      <c r="E300" s="41" t="s">
        <v>23</v>
      </c>
      <c r="F300" s="41">
        <v>5</v>
      </c>
      <c r="G300" s="42">
        <v>210.94</v>
      </c>
      <c r="H300" s="41" t="s">
        <v>64</v>
      </c>
      <c r="I300" s="41" t="s">
        <v>631</v>
      </c>
      <c r="J300" s="41" t="s">
        <v>26</v>
      </c>
      <c r="K300" s="41" t="s">
        <v>78</v>
      </c>
      <c r="L300" s="41" t="s">
        <v>39</v>
      </c>
      <c r="M300" s="41" t="s">
        <v>101</v>
      </c>
      <c r="N300" s="42">
        <v>1262.0999999999999</v>
      </c>
      <c r="O300" s="41">
        <v>2024</v>
      </c>
      <c r="P300" s="41">
        <v>2</v>
      </c>
      <c r="Q300" s="41" t="s">
        <v>118</v>
      </c>
      <c r="R300" s="41" t="s">
        <v>31</v>
      </c>
      <c r="S300" s="42">
        <v>1262.0999999999999</v>
      </c>
      <c r="T300" s="43">
        <v>252.42</v>
      </c>
    </row>
    <row r="301" spans="1:20" x14ac:dyDescent="0.35">
      <c r="A301" s="44">
        <v>45348</v>
      </c>
      <c r="B301" s="9" t="s">
        <v>632</v>
      </c>
      <c r="C301" s="9" t="s">
        <v>41</v>
      </c>
      <c r="D301" s="9" t="s">
        <v>33</v>
      </c>
      <c r="E301" s="9" t="s">
        <v>23</v>
      </c>
      <c r="F301" s="9">
        <v>5</v>
      </c>
      <c r="G301" s="10">
        <v>211.91</v>
      </c>
      <c r="H301" s="9" t="s">
        <v>35</v>
      </c>
      <c r="I301" s="9" t="s">
        <v>633</v>
      </c>
      <c r="J301" s="9" t="s">
        <v>26</v>
      </c>
      <c r="K301" s="9" t="s">
        <v>78</v>
      </c>
      <c r="L301" s="9" t="s">
        <v>39</v>
      </c>
      <c r="M301" s="9" t="s">
        <v>29</v>
      </c>
      <c r="N301" s="10">
        <v>705.57</v>
      </c>
      <c r="O301" s="9">
        <v>2024</v>
      </c>
      <c r="P301" s="9">
        <v>2</v>
      </c>
      <c r="Q301" s="9" t="s">
        <v>118</v>
      </c>
      <c r="R301" s="9" t="s">
        <v>31</v>
      </c>
      <c r="S301" s="10">
        <v>705.57</v>
      </c>
      <c r="T301" s="45">
        <v>235.19</v>
      </c>
    </row>
    <row r="302" spans="1:20" x14ac:dyDescent="0.35">
      <c r="A302" s="40">
        <v>45349</v>
      </c>
      <c r="B302" s="41" t="s">
        <v>634</v>
      </c>
      <c r="C302" s="41" t="s">
        <v>41</v>
      </c>
      <c r="D302" s="41" t="s">
        <v>33</v>
      </c>
      <c r="E302" s="41" t="s">
        <v>23</v>
      </c>
      <c r="F302" s="41">
        <v>5</v>
      </c>
      <c r="G302" s="42">
        <v>212.07</v>
      </c>
      <c r="H302" s="41" t="s">
        <v>58</v>
      </c>
      <c r="I302" s="41" t="s">
        <v>635</v>
      </c>
      <c r="J302" s="41" t="s">
        <v>26</v>
      </c>
      <c r="K302" s="41" t="s">
        <v>78</v>
      </c>
      <c r="L302" s="41" t="s">
        <v>39</v>
      </c>
      <c r="M302" s="41" t="s">
        <v>49</v>
      </c>
      <c r="N302" s="42">
        <v>3140.1</v>
      </c>
      <c r="O302" s="41">
        <v>2024</v>
      </c>
      <c r="P302" s="41">
        <v>2</v>
      </c>
      <c r="Q302" s="41" t="s">
        <v>118</v>
      </c>
      <c r="R302" s="41" t="s">
        <v>31</v>
      </c>
      <c r="S302" s="42">
        <v>3140.1</v>
      </c>
      <c r="T302" s="43">
        <v>314.01</v>
      </c>
    </row>
    <row r="303" spans="1:20" x14ac:dyDescent="0.35">
      <c r="A303" s="44">
        <v>45352</v>
      </c>
      <c r="B303" s="9" t="s">
        <v>636</v>
      </c>
      <c r="C303" s="9" t="s">
        <v>41</v>
      </c>
      <c r="D303" s="9" t="s">
        <v>33</v>
      </c>
      <c r="E303" s="9" t="s">
        <v>23</v>
      </c>
      <c r="F303" s="9">
        <v>5</v>
      </c>
      <c r="G303" s="10">
        <v>213.13</v>
      </c>
      <c r="H303" s="9" t="s">
        <v>35</v>
      </c>
      <c r="I303" s="9" t="s">
        <v>637</v>
      </c>
      <c r="J303" s="9" t="s">
        <v>26</v>
      </c>
      <c r="K303" s="9" t="s">
        <v>78</v>
      </c>
      <c r="L303" s="9" t="s">
        <v>66</v>
      </c>
      <c r="M303" s="9" t="s">
        <v>61</v>
      </c>
      <c r="N303" s="10">
        <v>1811.2</v>
      </c>
      <c r="O303" s="9">
        <v>2024</v>
      </c>
      <c r="P303" s="9">
        <v>3</v>
      </c>
      <c r="Q303" s="9" t="s">
        <v>155</v>
      </c>
      <c r="R303" s="9" t="s">
        <v>31</v>
      </c>
      <c r="S303" s="10">
        <v>1811.2</v>
      </c>
      <c r="T303" s="45">
        <v>226.4</v>
      </c>
    </row>
    <row r="304" spans="1:20" x14ac:dyDescent="0.35">
      <c r="A304" s="40">
        <v>45354</v>
      </c>
      <c r="B304" s="41" t="s">
        <v>638</v>
      </c>
      <c r="C304" s="41" t="s">
        <v>41</v>
      </c>
      <c r="D304" s="41" t="s">
        <v>33</v>
      </c>
      <c r="E304" s="41" t="s">
        <v>23</v>
      </c>
      <c r="F304" s="41">
        <v>5</v>
      </c>
      <c r="G304" s="42">
        <v>213.15</v>
      </c>
      <c r="H304" s="41" t="s">
        <v>44</v>
      </c>
      <c r="I304" s="41" t="s">
        <v>639</v>
      </c>
      <c r="J304" s="41" t="s">
        <v>26</v>
      </c>
      <c r="K304" s="41" t="s">
        <v>78</v>
      </c>
      <c r="L304" s="41" t="s">
        <v>39</v>
      </c>
      <c r="M304" s="41" t="s">
        <v>101</v>
      </c>
      <c r="N304" s="42">
        <v>322.88</v>
      </c>
      <c r="O304" s="41">
        <v>2024</v>
      </c>
      <c r="P304" s="41">
        <v>3</v>
      </c>
      <c r="Q304" s="41" t="s">
        <v>155</v>
      </c>
      <c r="R304" s="41" t="s">
        <v>31</v>
      </c>
      <c r="S304" s="42">
        <v>322.88</v>
      </c>
      <c r="T304" s="43">
        <v>161.44</v>
      </c>
    </row>
    <row r="305" spans="1:20" x14ac:dyDescent="0.35">
      <c r="A305" s="44">
        <v>45356</v>
      </c>
      <c r="B305" s="9" t="s">
        <v>640</v>
      </c>
      <c r="C305" s="9" t="s">
        <v>41</v>
      </c>
      <c r="D305" s="9" t="s">
        <v>33</v>
      </c>
      <c r="E305" s="9" t="s">
        <v>23</v>
      </c>
      <c r="F305" s="9">
        <v>6</v>
      </c>
      <c r="G305" s="10">
        <v>213.22</v>
      </c>
      <c r="H305" s="9" t="s">
        <v>58</v>
      </c>
      <c r="I305" s="9" t="s">
        <v>641</v>
      </c>
      <c r="J305" s="9" t="s">
        <v>26</v>
      </c>
      <c r="K305" s="9" t="s">
        <v>78</v>
      </c>
      <c r="L305" s="9" t="s">
        <v>28</v>
      </c>
      <c r="M305" s="9" t="s">
        <v>49</v>
      </c>
      <c r="N305" s="10">
        <v>2948.08</v>
      </c>
      <c r="O305" s="9">
        <v>2024</v>
      </c>
      <c r="P305" s="9">
        <v>3</v>
      </c>
      <c r="Q305" s="9" t="s">
        <v>155</v>
      </c>
      <c r="R305" s="9" t="s">
        <v>31</v>
      </c>
      <c r="S305" s="10">
        <v>2948.08</v>
      </c>
      <c r="T305" s="45">
        <v>368.51</v>
      </c>
    </row>
    <row r="306" spans="1:20" x14ac:dyDescent="0.35">
      <c r="A306" s="40">
        <v>45358</v>
      </c>
      <c r="B306" s="41" t="s">
        <v>642</v>
      </c>
      <c r="C306" s="41" t="s">
        <v>41</v>
      </c>
      <c r="D306" s="41" t="s">
        <v>33</v>
      </c>
      <c r="E306" s="41" t="s">
        <v>23</v>
      </c>
      <c r="F306" s="41">
        <v>6</v>
      </c>
      <c r="G306" s="42">
        <v>214.03</v>
      </c>
      <c r="H306" s="41" t="s">
        <v>58</v>
      </c>
      <c r="I306" s="41" t="s">
        <v>643</v>
      </c>
      <c r="J306" s="41" t="s">
        <v>26</v>
      </c>
      <c r="K306" s="41" t="s">
        <v>78</v>
      </c>
      <c r="L306" s="41" t="s">
        <v>39</v>
      </c>
      <c r="M306" s="41" t="s">
        <v>56</v>
      </c>
      <c r="N306" s="42">
        <v>563.96</v>
      </c>
      <c r="O306" s="41">
        <v>2024</v>
      </c>
      <c r="P306" s="41">
        <v>3</v>
      </c>
      <c r="Q306" s="41" t="s">
        <v>155</v>
      </c>
      <c r="R306" s="41" t="s">
        <v>31</v>
      </c>
      <c r="S306" s="42">
        <v>563.96</v>
      </c>
      <c r="T306" s="43">
        <v>281.98</v>
      </c>
    </row>
    <row r="307" spans="1:20" x14ac:dyDescent="0.35">
      <c r="A307" s="44">
        <v>45359</v>
      </c>
      <c r="B307" s="9" t="s">
        <v>644</v>
      </c>
      <c r="C307" s="9" t="s">
        <v>41</v>
      </c>
      <c r="D307" s="9" t="s">
        <v>33</v>
      </c>
      <c r="E307" s="9" t="s">
        <v>23</v>
      </c>
      <c r="F307" s="9">
        <v>6</v>
      </c>
      <c r="G307" s="10">
        <v>214.18</v>
      </c>
      <c r="H307" s="9" t="s">
        <v>64</v>
      </c>
      <c r="I307" s="9" t="s">
        <v>645</v>
      </c>
      <c r="J307" s="9" t="s">
        <v>26</v>
      </c>
      <c r="K307" s="9" t="s">
        <v>78</v>
      </c>
      <c r="L307" s="9" t="s">
        <v>28</v>
      </c>
      <c r="M307" s="9" t="s">
        <v>61</v>
      </c>
      <c r="N307" s="10">
        <v>209.8</v>
      </c>
      <c r="O307" s="9">
        <v>2024</v>
      </c>
      <c r="P307" s="9">
        <v>3</v>
      </c>
      <c r="Q307" s="9" t="s">
        <v>155</v>
      </c>
      <c r="R307" s="9" t="s">
        <v>31</v>
      </c>
      <c r="S307" s="10">
        <v>209.8</v>
      </c>
      <c r="T307" s="45">
        <v>20.98</v>
      </c>
    </row>
    <row r="308" spans="1:20" x14ac:dyDescent="0.35">
      <c r="A308" s="40">
        <v>45359</v>
      </c>
      <c r="B308" s="41" t="s">
        <v>646</v>
      </c>
      <c r="C308" s="41" t="s">
        <v>41</v>
      </c>
      <c r="D308" s="41" t="s">
        <v>33</v>
      </c>
      <c r="E308" s="41" t="s">
        <v>23</v>
      </c>
      <c r="F308" s="41">
        <v>6</v>
      </c>
      <c r="G308" s="42">
        <v>214.89</v>
      </c>
      <c r="H308" s="41" t="s">
        <v>44</v>
      </c>
      <c r="I308" s="41" t="s">
        <v>647</v>
      </c>
      <c r="J308" s="41" t="s">
        <v>26</v>
      </c>
      <c r="K308" s="41" t="s">
        <v>78</v>
      </c>
      <c r="L308" s="41" t="s">
        <v>28</v>
      </c>
      <c r="M308" s="41" t="s">
        <v>61</v>
      </c>
      <c r="N308" s="42">
        <v>842.28</v>
      </c>
      <c r="O308" s="41">
        <v>2024</v>
      </c>
      <c r="P308" s="41">
        <v>3</v>
      </c>
      <c r="Q308" s="41" t="s">
        <v>155</v>
      </c>
      <c r="R308" s="41" t="s">
        <v>31</v>
      </c>
      <c r="S308" s="42">
        <v>842.28</v>
      </c>
      <c r="T308" s="43">
        <v>140.38</v>
      </c>
    </row>
    <row r="309" spans="1:20" x14ac:dyDescent="0.35">
      <c r="A309" s="44">
        <v>45360</v>
      </c>
      <c r="B309" s="9" t="s">
        <v>648</v>
      </c>
      <c r="C309" s="9" t="s">
        <v>41</v>
      </c>
      <c r="D309" s="9" t="s">
        <v>33</v>
      </c>
      <c r="E309" s="9" t="s">
        <v>23</v>
      </c>
      <c r="F309" s="9">
        <v>6</v>
      </c>
      <c r="G309" s="10">
        <v>215.47</v>
      </c>
      <c r="H309" s="9" t="s">
        <v>44</v>
      </c>
      <c r="I309" s="9" t="s">
        <v>649</v>
      </c>
      <c r="J309" s="9" t="s">
        <v>26</v>
      </c>
      <c r="K309" s="9" t="s">
        <v>78</v>
      </c>
      <c r="L309" s="9" t="s">
        <v>66</v>
      </c>
      <c r="M309" s="9" t="s">
        <v>79</v>
      </c>
      <c r="N309" s="10">
        <v>542.88</v>
      </c>
      <c r="O309" s="9">
        <v>2024</v>
      </c>
      <c r="P309" s="9">
        <v>3</v>
      </c>
      <c r="Q309" s="9" t="s">
        <v>155</v>
      </c>
      <c r="R309" s="9" t="s">
        <v>31</v>
      </c>
      <c r="S309" s="10">
        <v>542.88</v>
      </c>
      <c r="T309" s="45">
        <v>180.96</v>
      </c>
    </row>
    <row r="310" spans="1:20" x14ac:dyDescent="0.35">
      <c r="A310" s="40">
        <v>45362</v>
      </c>
      <c r="B310" s="41" t="s">
        <v>468</v>
      </c>
      <c r="C310" s="41" t="s">
        <v>41</v>
      </c>
      <c r="D310" s="41" t="s">
        <v>33</v>
      </c>
      <c r="E310" s="41" t="s">
        <v>23</v>
      </c>
      <c r="F310" s="41">
        <v>6</v>
      </c>
      <c r="G310" s="42">
        <v>215.6</v>
      </c>
      <c r="H310" s="41" t="s">
        <v>35</v>
      </c>
      <c r="I310" s="41" t="s">
        <v>650</v>
      </c>
      <c r="J310" s="41" t="s">
        <v>26</v>
      </c>
      <c r="K310" s="41" t="s">
        <v>78</v>
      </c>
      <c r="L310" s="41" t="s">
        <v>66</v>
      </c>
      <c r="M310" s="41" t="s">
        <v>29</v>
      </c>
      <c r="N310" s="42">
        <v>980.9</v>
      </c>
      <c r="O310" s="41">
        <v>2024</v>
      </c>
      <c r="P310" s="41">
        <v>3</v>
      </c>
      <c r="Q310" s="41" t="s">
        <v>155</v>
      </c>
      <c r="R310" s="41" t="s">
        <v>31</v>
      </c>
      <c r="S310" s="42">
        <v>980.9</v>
      </c>
      <c r="T310" s="43">
        <v>98.09</v>
      </c>
    </row>
    <row r="311" spans="1:20" x14ac:dyDescent="0.35">
      <c r="A311" s="44">
        <v>45364</v>
      </c>
      <c r="B311" s="9" t="s">
        <v>651</v>
      </c>
      <c r="C311" s="9" t="s">
        <v>41</v>
      </c>
      <c r="D311" s="9" t="s">
        <v>33</v>
      </c>
      <c r="E311" s="9" t="s">
        <v>23</v>
      </c>
      <c r="F311" s="9">
        <v>6</v>
      </c>
      <c r="G311" s="10">
        <v>215.64</v>
      </c>
      <c r="H311" s="9" t="s">
        <v>35</v>
      </c>
      <c r="I311" s="9" t="s">
        <v>652</v>
      </c>
      <c r="J311" s="9" t="s">
        <v>26</v>
      </c>
      <c r="K311" s="9" t="s">
        <v>78</v>
      </c>
      <c r="L311" s="9" t="s">
        <v>28</v>
      </c>
      <c r="M311" s="9" t="s">
        <v>67</v>
      </c>
      <c r="N311" s="10">
        <v>1851.76</v>
      </c>
      <c r="O311" s="9">
        <v>2024</v>
      </c>
      <c r="P311" s="9">
        <v>3</v>
      </c>
      <c r="Q311" s="9" t="s">
        <v>155</v>
      </c>
      <c r="R311" s="9" t="s">
        <v>31</v>
      </c>
      <c r="S311" s="10">
        <v>1851.76</v>
      </c>
      <c r="T311" s="45">
        <v>231.47</v>
      </c>
    </row>
    <row r="312" spans="1:20" x14ac:dyDescent="0.35">
      <c r="A312" s="40">
        <v>45367</v>
      </c>
      <c r="B312" s="41" t="s">
        <v>653</v>
      </c>
      <c r="C312" s="41" t="s">
        <v>41</v>
      </c>
      <c r="D312" s="41" t="s">
        <v>33</v>
      </c>
      <c r="E312" s="41" t="s">
        <v>23</v>
      </c>
      <c r="F312" s="41">
        <v>6</v>
      </c>
      <c r="G312" s="42">
        <v>216.28</v>
      </c>
      <c r="H312" s="41" t="s">
        <v>44</v>
      </c>
      <c r="I312" s="41" t="s">
        <v>654</v>
      </c>
      <c r="J312" s="41" t="s">
        <v>26</v>
      </c>
      <c r="K312" s="41" t="s">
        <v>78</v>
      </c>
      <c r="L312" s="41" t="s">
        <v>39</v>
      </c>
      <c r="M312" s="41" t="s">
        <v>79</v>
      </c>
      <c r="N312" s="42">
        <v>3121.4</v>
      </c>
      <c r="O312" s="41">
        <v>2024</v>
      </c>
      <c r="P312" s="41">
        <v>3</v>
      </c>
      <c r="Q312" s="41" t="s">
        <v>155</v>
      </c>
      <c r="R312" s="41" t="s">
        <v>31</v>
      </c>
      <c r="S312" s="42">
        <v>3121.4</v>
      </c>
      <c r="T312" s="43">
        <v>312.14</v>
      </c>
    </row>
    <row r="313" spans="1:20" x14ac:dyDescent="0.35">
      <c r="A313" s="44">
        <v>45367</v>
      </c>
      <c r="B313" s="9" t="s">
        <v>160</v>
      </c>
      <c r="C313" s="9" t="s">
        <v>41</v>
      </c>
      <c r="D313" s="9" t="s">
        <v>33</v>
      </c>
      <c r="E313" s="9" t="s">
        <v>23</v>
      </c>
      <c r="F313" s="9">
        <v>6</v>
      </c>
      <c r="G313" s="10">
        <v>216.91</v>
      </c>
      <c r="H313" s="9" t="s">
        <v>44</v>
      </c>
      <c r="I313" s="9" t="s">
        <v>655</v>
      </c>
      <c r="J313" s="9" t="s">
        <v>26</v>
      </c>
      <c r="K313" s="9" t="s">
        <v>78</v>
      </c>
      <c r="L313" s="9" t="s">
        <v>39</v>
      </c>
      <c r="M313" s="9" t="s">
        <v>79</v>
      </c>
      <c r="N313" s="10">
        <v>808.29</v>
      </c>
      <c r="O313" s="9">
        <v>2024</v>
      </c>
      <c r="P313" s="9">
        <v>3</v>
      </c>
      <c r="Q313" s="9" t="s">
        <v>155</v>
      </c>
      <c r="R313" s="9" t="s">
        <v>31</v>
      </c>
      <c r="S313" s="10">
        <v>808.29</v>
      </c>
      <c r="T313" s="45">
        <v>269.43</v>
      </c>
    </row>
    <row r="314" spans="1:20" x14ac:dyDescent="0.35">
      <c r="A314" s="40">
        <v>45370</v>
      </c>
      <c r="B314" s="41" t="s">
        <v>656</v>
      </c>
      <c r="C314" s="41" t="s">
        <v>41</v>
      </c>
      <c r="D314" s="41" t="s">
        <v>33</v>
      </c>
      <c r="E314" s="41" t="s">
        <v>23</v>
      </c>
      <c r="F314" s="41">
        <v>6</v>
      </c>
      <c r="G314" s="42">
        <v>217.07</v>
      </c>
      <c r="H314" s="41" t="s">
        <v>58</v>
      </c>
      <c r="I314" s="41" t="s">
        <v>657</v>
      </c>
      <c r="J314" s="41" t="s">
        <v>26</v>
      </c>
      <c r="K314" s="41" t="s">
        <v>78</v>
      </c>
      <c r="L314" s="41" t="s">
        <v>39</v>
      </c>
      <c r="M314" s="41" t="s">
        <v>49</v>
      </c>
      <c r="N314" s="42">
        <v>1711.56</v>
      </c>
      <c r="O314" s="41">
        <v>2024</v>
      </c>
      <c r="P314" s="41">
        <v>3</v>
      </c>
      <c r="Q314" s="41" t="s">
        <v>155</v>
      </c>
      <c r="R314" s="41" t="s">
        <v>31</v>
      </c>
      <c r="S314" s="42">
        <v>1711.56</v>
      </c>
      <c r="T314" s="43">
        <v>285.26</v>
      </c>
    </row>
    <row r="315" spans="1:20" x14ac:dyDescent="0.35">
      <c r="A315" s="44">
        <v>45371</v>
      </c>
      <c r="B315" s="9" t="s">
        <v>658</v>
      </c>
      <c r="C315" s="9" t="s">
        <v>41</v>
      </c>
      <c r="D315" s="9" t="s">
        <v>33</v>
      </c>
      <c r="E315" s="9" t="s">
        <v>23</v>
      </c>
      <c r="F315" s="9">
        <v>6</v>
      </c>
      <c r="G315" s="10">
        <v>217.67</v>
      </c>
      <c r="H315" s="9" t="s">
        <v>58</v>
      </c>
      <c r="I315" s="9" t="s">
        <v>659</v>
      </c>
      <c r="J315" s="9" t="s">
        <v>26</v>
      </c>
      <c r="K315" s="9" t="s">
        <v>78</v>
      </c>
      <c r="L315" s="9" t="s">
        <v>39</v>
      </c>
      <c r="M315" s="9" t="s">
        <v>67</v>
      </c>
      <c r="N315" s="10">
        <v>1763.19</v>
      </c>
      <c r="O315" s="9">
        <v>2024</v>
      </c>
      <c r="P315" s="9">
        <v>3</v>
      </c>
      <c r="Q315" s="9" t="s">
        <v>155</v>
      </c>
      <c r="R315" s="9" t="s">
        <v>31</v>
      </c>
      <c r="S315" s="10">
        <v>1763.19</v>
      </c>
      <c r="T315" s="45">
        <v>195.91</v>
      </c>
    </row>
    <row r="316" spans="1:20" x14ac:dyDescent="0.35">
      <c r="A316" s="40">
        <v>45371</v>
      </c>
      <c r="B316" s="41" t="s">
        <v>319</v>
      </c>
      <c r="C316" s="41" t="s">
        <v>41</v>
      </c>
      <c r="D316" s="41" t="s">
        <v>33</v>
      </c>
      <c r="E316" s="41" t="s">
        <v>23</v>
      </c>
      <c r="F316" s="41">
        <v>6</v>
      </c>
      <c r="G316" s="42">
        <v>217.89</v>
      </c>
      <c r="H316" s="41" t="s">
        <v>24</v>
      </c>
      <c r="I316" s="41" t="s">
        <v>660</v>
      </c>
      <c r="J316" s="41" t="s">
        <v>26</v>
      </c>
      <c r="K316" s="41" t="s">
        <v>78</v>
      </c>
      <c r="L316" s="41" t="s">
        <v>28</v>
      </c>
      <c r="M316" s="41" t="s">
        <v>67</v>
      </c>
      <c r="N316" s="42">
        <v>708.28</v>
      </c>
      <c r="O316" s="41">
        <v>2024</v>
      </c>
      <c r="P316" s="41">
        <v>3</v>
      </c>
      <c r="Q316" s="41" t="s">
        <v>155</v>
      </c>
      <c r="R316" s="41" t="s">
        <v>31</v>
      </c>
      <c r="S316" s="42">
        <v>708.28</v>
      </c>
      <c r="T316" s="43">
        <v>354.14</v>
      </c>
    </row>
    <row r="317" spans="1:20" x14ac:dyDescent="0.35">
      <c r="A317" s="44">
        <v>45371</v>
      </c>
      <c r="B317" s="9" t="s">
        <v>661</v>
      </c>
      <c r="C317" s="9" t="s">
        <v>41</v>
      </c>
      <c r="D317" s="9" t="s">
        <v>33</v>
      </c>
      <c r="E317" s="9" t="s">
        <v>23</v>
      </c>
      <c r="F317" s="9">
        <v>6</v>
      </c>
      <c r="G317" s="10">
        <v>218.33</v>
      </c>
      <c r="H317" s="9" t="s">
        <v>35</v>
      </c>
      <c r="I317" s="9" t="s">
        <v>662</v>
      </c>
      <c r="J317" s="9" t="s">
        <v>26</v>
      </c>
      <c r="K317" s="9" t="s">
        <v>78</v>
      </c>
      <c r="L317" s="9" t="s">
        <v>39</v>
      </c>
      <c r="M317" s="9" t="s">
        <v>67</v>
      </c>
      <c r="N317" s="10">
        <v>449.91</v>
      </c>
      <c r="O317" s="9">
        <v>2024</v>
      </c>
      <c r="P317" s="9">
        <v>3</v>
      </c>
      <c r="Q317" s="9" t="s">
        <v>155</v>
      </c>
      <c r="R317" s="9" t="s">
        <v>31</v>
      </c>
      <c r="S317" s="10">
        <v>449.91</v>
      </c>
      <c r="T317" s="45">
        <v>49.99</v>
      </c>
    </row>
    <row r="318" spans="1:20" x14ac:dyDescent="0.35">
      <c r="A318" s="40">
        <v>45372</v>
      </c>
      <c r="B318" s="41" t="s">
        <v>663</v>
      </c>
      <c r="C318" s="41" t="s">
        <v>41</v>
      </c>
      <c r="D318" s="41" t="s">
        <v>33</v>
      </c>
      <c r="E318" s="41" t="s">
        <v>23</v>
      </c>
      <c r="F318" s="41">
        <v>6</v>
      </c>
      <c r="G318" s="42">
        <v>218.42</v>
      </c>
      <c r="H318" s="41" t="s">
        <v>58</v>
      </c>
      <c r="I318" s="41" t="s">
        <v>664</v>
      </c>
      <c r="J318" s="41" t="s">
        <v>26</v>
      </c>
      <c r="K318" s="41" t="s">
        <v>78</v>
      </c>
      <c r="L318" s="41" t="s">
        <v>66</v>
      </c>
      <c r="M318" s="41" t="s">
        <v>56</v>
      </c>
      <c r="N318" s="42">
        <v>871.56</v>
      </c>
      <c r="O318" s="41">
        <v>2024</v>
      </c>
      <c r="P318" s="41">
        <v>3</v>
      </c>
      <c r="Q318" s="41" t="s">
        <v>155</v>
      </c>
      <c r="R318" s="41" t="s">
        <v>31</v>
      </c>
      <c r="S318" s="42">
        <v>871.56</v>
      </c>
      <c r="T318" s="43">
        <v>217.89</v>
      </c>
    </row>
    <row r="319" spans="1:20" x14ac:dyDescent="0.35">
      <c r="A319" s="44">
        <v>45374</v>
      </c>
      <c r="B319" s="9" t="s">
        <v>665</v>
      </c>
      <c r="C319" s="9" t="s">
        <v>41</v>
      </c>
      <c r="D319" s="9" t="s">
        <v>33</v>
      </c>
      <c r="E319" s="9" t="s">
        <v>23</v>
      </c>
      <c r="F319" s="9">
        <v>6</v>
      </c>
      <c r="G319" s="10">
        <v>218.66</v>
      </c>
      <c r="H319" s="9" t="s">
        <v>35</v>
      </c>
      <c r="I319" s="9" t="s">
        <v>666</v>
      </c>
      <c r="J319" s="9" t="s">
        <v>26</v>
      </c>
      <c r="K319" s="9" t="s">
        <v>78</v>
      </c>
      <c r="L319" s="9" t="s">
        <v>28</v>
      </c>
      <c r="M319" s="9" t="s">
        <v>79</v>
      </c>
      <c r="N319" s="10">
        <v>723.06</v>
      </c>
      <c r="O319" s="9">
        <v>2024</v>
      </c>
      <c r="P319" s="9">
        <v>3</v>
      </c>
      <c r="Q319" s="9" t="s">
        <v>155</v>
      </c>
      <c r="R319" s="9" t="s">
        <v>31</v>
      </c>
      <c r="S319" s="10">
        <v>723.06</v>
      </c>
      <c r="T319" s="45">
        <v>80.34</v>
      </c>
    </row>
    <row r="320" spans="1:20" x14ac:dyDescent="0.35">
      <c r="A320" s="40">
        <v>45375</v>
      </c>
      <c r="B320" s="41" t="s">
        <v>667</v>
      </c>
      <c r="C320" s="41" t="s">
        <v>41</v>
      </c>
      <c r="D320" s="41" t="s">
        <v>33</v>
      </c>
      <c r="E320" s="41" t="s">
        <v>23</v>
      </c>
      <c r="F320" s="41">
        <v>6</v>
      </c>
      <c r="G320" s="42">
        <v>219.3</v>
      </c>
      <c r="H320" s="41" t="s">
        <v>64</v>
      </c>
      <c r="I320" s="41" t="s">
        <v>668</v>
      </c>
      <c r="J320" s="41" t="s">
        <v>26</v>
      </c>
      <c r="K320" s="41" t="s">
        <v>78</v>
      </c>
      <c r="L320" s="41" t="s">
        <v>66</v>
      </c>
      <c r="M320" s="41" t="s">
        <v>101</v>
      </c>
      <c r="N320" s="42">
        <v>33.06</v>
      </c>
      <c r="O320" s="41">
        <v>2024</v>
      </c>
      <c r="P320" s="41">
        <v>3</v>
      </c>
      <c r="Q320" s="41" t="s">
        <v>155</v>
      </c>
      <c r="R320" s="41" t="s">
        <v>31</v>
      </c>
      <c r="S320" s="42">
        <v>33.06</v>
      </c>
      <c r="T320" s="43">
        <v>11.02</v>
      </c>
    </row>
    <row r="321" spans="1:20" x14ac:dyDescent="0.35">
      <c r="A321" s="44">
        <v>45381</v>
      </c>
      <c r="B321" s="9" t="s">
        <v>669</v>
      </c>
      <c r="C321" s="9" t="s">
        <v>41</v>
      </c>
      <c r="D321" s="9" t="s">
        <v>33</v>
      </c>
      <c r="E321" s="9" t="s">
        <v>23</v>
      </c>
      <c r="F321" s="9">
        <v>6</v>
      </c>
      <c r="G321" s="10">
        <v>219.6</v>
      </c>
      <c r="H321" s="9" t="s">
        <v>24</v>
      </c>
      <c r="I321" s="9" t="s">
        <v>670</v>
      </c>
      <c r="J321" s="9" t="s">
        <v>26</v>
      </c>
      <c r="K321" s="9" t="s">
        <v>78</v>
      </c>
      <c r="L321" s="9" t="s">
        <v>39</v>
      </c>
      <c r="M321" s="9" t="s">
        <v>79</v>
      </c>
      <c r="N321" s="10">
        <v>1092.6600000000001</v>
      </c>
      <c r="O321" s="9">
        <v>2024</v>
      </c>
      <c r="P321" s="9">
        <v>3</v>
      </c>
      <c r="Q321" s="9" t="s">
        <v>155</v>
      </c>
      <c r="R321" s="9" t="s">
        <v>31</v>
      </c>
      <c r="S321" s="10">
        <v>1092.6600000000001</v>
      </c>
      <c r="T321" s="45">
        <v>364.22</v>
      </c>
    </row>
    <row r="322" spans="1:20" x14ac:dyDescent="0.35">
      <c r="A322" s="40">
        <v>45382</v>
      </c>
      <c r="B322" s="41" t="s">
        <v>671</v>
      </c>
      <c r="C322" s="41" t="s">
        <v>41</v>
      </c>
      <c r="D322" s="41" t="s">
        <v>33</v>
      </c>
      <c r="E322" s="41" t="s">
        <v>23</v>
      </c>
      <c r="F322" s="41">
        <v>6</v>
      </c>
      <c r="G322" s="42">
        <v>221.11</v>
      </c>
      <c r="H322" s="41" t="s">
        <v>44</v>
      </c>
      <c r="I322" s="41" t="s">
        <v>672</v>
      </c>
      <c r="J322" s="41" t="s">
        <v>26</v>
      </c>
      <c r="K322" s="41" t="s">
        <v>78</v>
      </c>
      <c r="L322" s="41" t="s">
        <v>66</v>
      </c>
      <c r="M322" s="41" t="s">
        <v>101</v>
      </c>
      <c r="N322" s="42">
        <v>785.28</v>
      </c>
      <c r="O322" s="41">
        <v>2024</v>
      </c>
      <c r="P322" s="41">
        <v>3</v>
      </c>
      <c r="Q322" s="41" t="s">
        <v>155</v>
      </c>
      <c r="R322" s="41" t="s">
        <v>31</v>
      </c>
      <c r="S322" s="42">
        <v>785.28</v>
      </c>
      <c r="T322" s="43">
        <v>261.76</v>
      </c>
    </row>
    <row r="323" spans="1:20" x14ac:dyDescent="0.35">
      <c r="A323" s="44">
        <v>45384</v>
      </c>
      <c r="B323" s="9" t="s">
        <v>673</v>
      </c>
      <c r="C323" s="9" t="s">
        <v>41</v>
      </c>
      <c r="D323" s="9" t="s">
        <v>33</v>
      </c>
      <c r="E323" s="9" t="s">
        <v>23</v>
      </c>
      <c r="F323" s="9">
        <v>6</v>
      </c>
      <c r="G323" s="10">
        <v>221.29</v>
      </c>
      <c r="H323" s="9" t="s">
        <v>35</v>
      </c>
      <c r="I323" s="9" t="s">
        <v>674</v>
      </c>
      <c r="J323" s="9" t="s">
        <v>26</v>
      </c>
      <c r="K323" s="9" t="s">
        <v>78</v>
      </c>
      <c r="L323" s="9" t="s">
        <v>28</v>
      </c>
      <c r="M323" s="9" t="s">
        <v>49</v>
      </c>
      <c r="N323" s="10">
        <v>2089.5300000000002</v>
      </c>
      <c r="O323" s="9">
        <v>2024</v>
      </c>
      <c r="P323" s="9">
        <v>4</v>
      </c>
      <c r="Q323" s="9" t="s">
        <v>216</v>
      </c>
      <c r="R323" s="9" t="s">
        <v>217</v>
      </c>
      <c r="S323" s="10">
        <v>2089.5300000000002</v>
      </c>
      <c r="T323" s="45">
        <v>232.17</v>
      </c>
    </row>
    <row r="324" spans="1:20" x14ac:dyDescent="0.35">
      <c r="A324" s="40">
        <v>45385</v>
      </c>
      <c r="B324" s="41" t="s">
        <v>675</v>
      </c>
      <c r="C324" s="41" t="s">
        <v>41</v>
      </c>
      <c r="D324" s="41" t="s">
        <v>33</v>
      </c>
      <c r="E324" s="41" t="s">
        <v>23</v>
      </c>
      <c r="F324" s="41">
        <v>6</v>
      </c>
      <c r="G324" s="42">
        <v>221.43</v>
      </c>
      <c r="H324" s="41" t="s">
        <v>64</v>
      </c>
      <c r="I324" s="41" t="s">
        <v>676</v>
      </c>
      <c r="J324" s="41" t="s">
        <v>26</v>
      </c>
      <c r="K324" s="41" t="s">
        <v>78</v>
      </c>
      <c r="L324" s="41" t="s">
        <v>66</v>
      </c>
      <c r="M324" s="41" t="s">
        <v>67</v>
      </c>
      <c r="N324" s="42">
        <v>1830.85</v>
      </c>
      <c r="O324" s="41">
        <v>2024</v>
      </c>
      <c r="P324" s="41">
        <v>4</v>
      </c>
      <c r="Q324" s="41" t="s">
        <v>216</v>
      </c>
      <c r="R324" s="41" t="s">
        <v>217</v>
      </c>
      <c r="S324" s="42">
        <v>1830.85</v>
      </c>
      <c r="T324" s="43">
        <v>366.17</v>
      </c>
    </row>
    <row r="325" spans="1:20" x14ac:dyDescent="0.35">
      <c r="A325" s="44">
        <v>45389</v>
      </c>
      <c r="B325" s="9" t="s">
        <v>677</v>
      </c>
      <c r="C325" s="9" t="s">
        <v>41</v>
      </c>
      <c r="D325" s="9" t="s">
        <v>33</v>
      </c>
      <c r="E325" s="9" t="s">
        <v>23</v>
      </c>
      <c r="F325" s="9">
        <v>6</v>
      </c>
      <c r="G325" s="10">
        <v>222.47</v>
      </c>
      <c r="H325" s="9" t="s">
        <v>44</v>
      </c>
      <c r="I325" s="9" t="s">
        <v>678</v>
      </c>
      <c r="J325" s="9" t="s">
        <v>26</v>
      </c>
      <c r="K325" s="9" t="s">
        <v>78</v>
      </c>
      <c r="L325" s="9" t="s">
        <v>66</v>
      </c>
      <c r="M325" s="9" t="s">
        <v>101</v>
      </c>
      <c r="N325" s="10">
        <v>3306</v>
      </c>
      <c r="O325" s="9">
        <v>2024</v>
      </c>
      <c r="P325" s="9">
        <v>4</v>
      </c>
      <c r="Q325" s="9" t="s">
        <v>216</v>
      </c>
      <c r="R325" s="9" t="s">
        <v>217</v>
      </c>
      <c r="S325" s="10">
        <v>3306</v>
      </c>
      <c r="T325" s="45">
        <v>330.6</v>
      </c>
    </row>
    <row r="326" spans="1:20" x14ac:dyDescent="0.35">
      <c r="A326" s="40">
        <v>45389</v>
      </c>
      <c r="B326" s="41" t="s">
        <v>679</v>
      </c>
      <c r="C326" s="41" t="s">
        <v>41</v>
      </c>
      <c r="D326" s="41" t="s">
        <v>33</v>
      </c>
      <c r="E326" s="41" t="s">
        <v>23</v>
      </c>
      <c r="F326" s="41">
        <v>6</v>
      </c>
      <c r="G326" s="42">
        <v>222.61</v>
      </c>
      <c r="H326" s="41" t="s">
        <v>58</v>
      </c>
      <c r="I326" s="41" t="s">
        <v>680</v>
      </c>
      <c r="J326" s="41" t="s">
        <v>26</v>
      </c>
      <c r="K326" s="41" t="s">
        <v>78</v>
      </c>
      <c r="L326" s="41" t="s">
        <v>28</v>
      </c>
      <c r="M326" s="41" t="s">
        <v>101</v>
      </c>
      <c r="N326" s="42">
        <v>763.14</v>
      </c>
      <c r="O326" s="41">
        <v>2024</v>
      </c>
      <c r="P326" s="41">
        <v>4</v>
      </c>
      <c r="Q326" s="41" t="s">
        <v>216</v>
      </c>
      <c r="R326" s="41" t="s">
        <v>217</v>
      </c>
      <c r="S326" s="42">
        <v>763.14</v>
      </c>
      <c r="T326" s="43">
        <v>127.19</v>
      </c>
    </row>
    <row r="327" spans="1:20" x14ac:dyDescent="0.35">
      <c r="A327" s="44">
        <v>45391</v>
      </c>
      <c r="B327" s="9" t="s">
        <v>681</v>
      </c>
      <c r="C327" s="9" t="s">
        <v>41</v>
      </c>
      <c r="D327" s="9" t="s">
        <v>33</v>
      </c>
      <c r="E327" s="9" t="s">
        <v>23</v>
      </c>
      <c r="F327" s="9">
        <v>6</v>
      </c>
      <c r="G327" s="10">
        <v>223.23</v>
      </c>
      <c r="H327" s="9" t="s">
        <v>64</v>
      </c>
      <c r="I327" s="9" t="s">
        <v>682</v>
      </c>
      <c r="J327" s="9" t="s">
        <v>26</v>
      </c>
      <c r="K327" s="9" t="s">
        <v>78</v>
      </c>
      <c r="L327" s="9" t="s">
        <v>39</v>
      </c>
      <c r="M327" s="9" t="s">
        <v>49</v>
      </c>
      <c r="N327" s="10">
        <v>1297.5999999999999</v>
      </c>
      <c r="O327" s="9">
        <v>2024</v>
      </c>
      <c r="P327" s="9">
        <v>4</v>
      </c>
      <c r="Q327" s="9" t="s">
        <v>216</v>
      </c>
      <c r="R327" s="9" t="s">
        <v>217</v>
      </c>
      <c r="S327" s="10">
        <v>1297.5999999999999</v>
      </c>
      <c r="T327" s="45">
        <v>129.76</v>
      </c>
    </row>
    <row r="328" spans="1:20" x14ac:dyDescent="0.35">
      <c r="A328" s="40">
        <v>45394</v>
      </c>
      <c r="B328" s="41" t="s">
        <v>586</v>
      </c>
      <c r="C328" s="41" t="s">
        <v>41</v>
      </c>
      <c r="D328" s="41" t="s">
        <v>33</v>
      </c>
      <c r="E328" s="41" t="s">
        <v>23</v>
      </c>
      <c r="F328" s="41">
        <v>6</v>
      </c>
      <c r="G328" s="42">
        <v>224.47</v>
      </c>
      <c r="H328" s="41" t="s">
        <v>24</v>
      </c>
      <c r="I328" s="41" t="s">
        <v>683</v>
      </c>
      <c r="J328" s="41" t="s">
        <v>26</v>
      </c>
      <c r="K328" s="41" t="s">
        <v>78</v>
      </c>
      <c r="L328" s="41" t="s">
        <v>28</v>
      </c>
      <c r="M328" s="41" t="s">
        <v>61</v>
      </c>
      <c r="N328" s="42">
        <v>230.76</v>
      </c>
      <c r="O328" s="41">
        <v>2024</v>
      </c>
      <c r="P328" s="41">
        <v>4</v>
      </c>
      <c r="Q328" s="41" t="s">
        <v>216</v>
      </c>
      <c r="R328" s="41" t="s">
        <v>217</v>
      </c>
      <c r="S328" s="42">
        <v>230.76</v>
      </c>
      <c r="T328" s="43">
        <v>76.92</v>
      </c>
    </row>
    <row r="329" spans="1:20" x14ac:dyDescent="0.35">
      <c r="A329" s="44">
        <v>45399</v>
      </c>
      <c r="B329" s="9" t="s">
        <v>386</v>
      </c>
      <c r="C329" s="9" t="s">
        <v>41</v>
      </c>
      <c r="D329" s="9" t="s">
        <v>33</v>
      </c>
      <c r="E329" s="9" t="s">
        <v>23</v>
      </c>
      <c r="F329" s="9">
        <v>6</v>
      </c>
      <c r="G329" s="10">
        <v>224.48</v>
      </c>
      <c r="H329" s="9" t="s">
        <v>64</v>
      </c>
      <c r="I329" s="9" t="s">
        <v>684</v>
      </c>
      <c r="J329" s="9" t="s">
        <v>26</v>
      </c>
      <c r="K329" s="9" t="s">
        <v>78</v>
      </c>
      <c r="L329" s="9" t="s">
        <v>28</v>
      </c>
      <c r="M329" s="9" t="s">
        <v>67</v>
      </c>
      <c r="N329" s="10">
        <v>442.58</v>
      </c>
      <c r="O329" s="9">
        <v>2024</v>
      </c>
      <c r="P329" s="9">
        <v>4</v>
      </c>
      <c r="Q329" s="9" t="s">
        <v>216</v>
      </c>
      <c r="R329" s="9" t="s">
        <v>217</v>
      </c>
      <c r="S329" s="10">
        <v>442.58</v>
      </c>
      <c r="T329" s="45">
        <v>221.29</v>
      </c>
    </row>
    <row r="330" spans="1:20" x14ac:dyDescent="0.35">
      <c r="A330" s="40">
        <v>45404</v>
      </c>
      <c r="B330" s="41" t="s">
        <v>441</v>
      </c>
      <c r="C330" s="41" t="s">
        <v>41</v>
      </c>
      <c r="D330" s="41" t="s">
        <v>33</v>
      </c>
      <c r="E330" s="41" t="s">
        <v>23</v>
      </c>
      <c r="F330" s="41">
        <v>6</v>
      </c>
      <c r="G330" s="42">
        <v>226.4</v>
      </c>
      <c r="H330" s="41" t="s">
        <v>64</v>
      </c>
      <c r="I330" s="41" t="s">
        <v>685</v>
      </c>
      <c r="J330" s="41" t="s">
        <v>26</v>
      </c>
      <c r="K330" s="41" t="s">
        <v>78</v>
      </c>
      <c r="L330" s="41" t="s">
        <v>28</v>
      </c>
      <c r="M330" s="41" t="s">
        <v>29</v>
      </c>
      <c r="N330" s="42">
        <v>165.46</v>
      </c>
      <c r="O330" s="41">
        <v>2024</v>
      </c>
      <c r="P330" s="41">
        <v>4</v>
      </c>
      <c r="Q330" s="41" t="s">
        <v>216</v>
      </c>
      <c r="R330" s="41" t="s">
        <v>217</v>
      </c>
      <c r="S330" s="42">
        <v>165.46</v>
      </c>
      <c r="T330" s="43">
        <v>82.73</v>
      </c>
    </row>
    <row r="331" spans="1:20" x14ac:dyDescent="0.35">
      <c r="A331" s="44">
        <v>45405</v>
      </c>
      <c r="B331" s="9" t="s">
        <v>166</v>
      </c>
      <c r="C331" s="9" t="s">
        <v>41</v>
      </c>
      <c r="D331" s="9" t="s">
        <v>33</v>
      </c>
      <c r="E331" s="9" t="s">
        <v>23</v>
      </c>
      <c r="F331" s="9">
        <v>6</v>
      </c>
      <c r="G331" s="10">
        <v>226.69</v>
      </c>
      <c r="H331" s="9" t="s">
        <v>35</v>
      </c>
      <c r="I331" s="9" t="s">
        <v>686</v>
      </c>
      <c r="J331" s="9" t="s">
        <v>26</v>
      </c>
      <c r="K331" s="9" t="s">
        <v>78</v>
      </c>
      <c r="L331" s="9" t="s">
        <v>39</v>
      </c>
      <c r="M331" s="9" t="s">
        <v>49</v>
      </c>
      <c r="N331" s="10">
        <v>31.5</v>
      </c>
      <c r="O331" s="9">
        <v>2024</v>
      </c>
      <c r="P331" s="9">
        <v>4</v>
      </c>
      <c r="Q331" s="9" t="s">
        <v>216</v>
      </c>
      <c r="R331" s="9" t="s">
        <v>217</v>
      </c>
      <c r="S331" s="10">
        <v>31.5</v>
      </c>
      <c r="T331" s="45">
        <v>31.5</v>
      </c>
    </row>
    <row r="332" spans="1:20" x14ac:dyDescent="0.35">
      <c r="A332" s="40">
        <v>45405</v>
      </c>
      <c r="B332" s="41" t="s">
        <v>687</v>
      </c>
      <c r="C332" s="41" t="s">
        <v>41</v>
      </c>
      <c r="D332" s="41" t="s">
        <v>33</v>
      </c>
      <c r="E332" s="41" t="s">
        <v>34</v>
      </c>
      <c r="F332" s="41">
        <v>6</v>
      </c>
      <c r="G332" s="42">
        <v>227.11</v>
      </c>
      <c r="H332" s="41" t="s">
        <v>35</v>
      </c>
      <c r="I332" s="41" t="s">
        <v>688</v>
      </c>
      <c r="J332" s="41" t="s">
        <v>26</v>
      </c>
      <c r="K332" s="41" t="s">
        <v>78</v>
      </c>
      <c r="L332" s="41" t="s">
        <v>39</v>
      </c>
      <c r="M332" s="41" t="s">
        <v>49</v>
      </c>
      <c r="N332" s="42">
        <v>1314.52</v>
      </c>
      <c r="O332" s="41">
        <v>2024</v>
      </c>
      <c r="P332" s="41">
        <v>4</v>
      </c>
      <c r="Q332" s="41" t="s">
        <v>216</v>
      </c>
      <c r="R332" s="41" t="s">
        <v>217</v>
      </c>
      <c r="S332" s="42">
        <v>1314.52</v>
      </c>
      <c r="T332" s="43">
        <v>328.63</v>
      </c>
    </row>
    <row r="333" spans="1:20" x14ac:dyDescent="0.35">
      <c r="A333" s="44">
        <v>45407</v>
      </c>
      <c r="B333" s="9" t="s">
        <v>689</v>
      </c>
      <c r="C333" s="9" t="s">
        <v>41</v>
      </c>
      <c r="D333" s="9" t="s">
        <v>33</v>
      </c>
      <c r="E333" s="9" t="s">
        <v>34</v>
      </c>
      <c r="F333" s="9">
        <v>6</v>
      </c>
      <c r="G333" s="10">
        <v>227.17</v>
      </c>
      <c r="H333" s="9" t="s">
        <v>35</v>
      </c>
      <c r="I333" s="9" t="s">
        <v>690</v>
      </c>
      <c r="J333" s="9" t="s">
        <v>26</v>
      </c>
      <c r="K333" s="9" t="s">
        <v>78</v>
      </c>
      <c r="L333" s="9" t="s">
        <v>39</v>
      </c>
      <c r="M333" s="9" t="s">
        <v>56</v>
      </c>
      <c r="N333" s="10">
        <v>1155.06</v>
      </c>
      <c r="O333" s="9">
        <v>2024</v>
      </c>
      <c r="P333" s="9">
        <v>4</v>
      </c>
      <c r="Q333" s="9" t="s">
        <v>216</v>
      </c>
      <c r="R333" s="9" t="s">
        <v>217</v>
      </c>
      <c r="S333" s="10">
        <v>1155.06</v>
      </c>
      <c r="T333" s="45">
        <v>385.02</v>
      </c>
    </row>
    <row r="334" spans="1:20" x14ac:dyDescent="0.35">
      <c r="A334" s="40">
        <v>45408</v>
      </c>
      <c r="B334" s="41" t="s">
        <v>427</v>
      </c>
      <c r="C334" s="41" t="s">
        <v>41</v>
      </c>
      <c r="D334" s="41" t="s">
        <v>33</v>
      </c>
      <c r="E334" s="41" t="s">
        <v>34</v>
      </c>
      <c r="F334" s="41">
        <v>6</v>
      </c>
      <c r="G334" s="42">
        <v>227.57</v>
      </c>
      <c r="H334" s="41" t="s">
        <v>35</v>
      </c>
      <c r="I334" s="41" t="s">
        <v>691</v>
      </c>
      <c r="J334" s="41" t="s">
        <v>26</v>
      </c>
      <c r="K334" s="41" t="s">
        <v>78</v>
      </c>
      <c r="L334" s="41" t="s">
        <v>28</v>
      </c>
      <c r="M334" s="41" t="s">
        <v>61</v>
      </c>
      <c r="N334" s="42">
        <v>3580.2</v>
      </c>
      <c r="O334" s="41">
        <v>2024</v>
      </c>
      <c r="P334" s="41">
        <v>4</v>
      </c>
      <c r="Q334" s="41" t="s">
        <v>216</v>
      </c>
      <c r="R334" s="41" t="s">
        <v>217</v>
      </c>
      <c r="S334" s="42">
        <v>3580.2</v>
      </c>
      <c r="T334" s="43">
        <v>397.8</v>
      </c>
    </row>
    <row r="335" spans="1:20" x14ac:dyDescent="0.35">
      <c r="A335" s="44">
        <v>45409</v>
      </c>
      <c r="B335" s="9" t="s">
        <v>326</v>
      </c>
      <c r="C335" s="9" t="s">
        <v>41</v>
      </c>
      <c r="D335" s="9" t="s">
        <v>33</v>
      </c>
      <c r="E335" s="9" t="s">
        <v>34</v>
      </c>
      <c r="F335" s="9">
        <v>6</v>
      </c>
      <c r="G335" s="10">
        <v>227.58</v>
      </c>
      <c r="H335" s="9" t="s">
        <v>24</v>
      </c>
      <c r="I335" s="9" t="s">
        <v>692</v>
      </c>
      <c r="J335" s="9" t="s">
        <v>26</v>
      </c>
      <c r="K335" s="9" t="s">
        <v>78</v>
      </c>
      <c r="L335" s="9" t="s">
        <v>28</v>
      </c>
      <c r="M335" s="9" t="s">
        <v>79</v>
      </c>
      <c r="N335" s="10">
        <v>292.55</v>
      </c>
      <c r="O335" s="9">
        <v>2024</v>
      </c>
      <c r="P335" s="9">
        <v>4</v>
      </c>
      <c r="Q335" s="9" t="s">
        <v>216</v>
      </c>
      <c r="R335" s="9" t="s">
        <v>217</v>
      </c>
      <c r="S335" s="10">
        <v>292.55</v>
      </c>
      <c r="T335" s="45">
        <v>58.51</v>
      </c>
    </row>
    <row r="336" spans="1:20" x14ac:dyDescent="0.35">
      <c r="A336" s="40">
        <v>45414</v>
      </c>
      <c r="B336" s="41" t="s">
        <v>693</v>
      </c>
      <c r="C336" s="41" t="s">
        <v>41</v>
      </c>
      <c r="D336" s="41" t="s">
        <v>33</v>
      </c>
      <c r="E336" s="41" t="s">
        <v>34</v>
      </c>
      <c r="F336" s="41">
        <v>6</v>
      </c>
      <c r="G336" s="42">
        <v>228.97</v>
      </c>
      <c r="H336" s="41" t="s">
        <v>44</v>
      </c>
      <c r="I336" s="41" t="s">
        <v>694</v>
      </c>
      <c r="J336" s="41" t="s">
        <v>26</v>
      </c>
      <c r="K336" s="41" t="s">
        <v>78</v>
      </c>
      <c r="L336" s="41" t="s">
        <v>28</v>
      </c>
      <c r="M336" s="41" t="s">
        <v>56</v>
      </c>
      <c r="N336" s="42">
        <v>3466.2</v>
      </c>
      <c r="O336" s="41">
        <v>2024</v>
      </c>
      <c r="P336" s="41">
        <v>5</v>
      </c>
      <c r="Q336" s="41" t="s">
        <v>267</v>
      </c>
      <c r="R336" s="41" t="s">
        <v>217</v>
      </c>
      <c r="S336" s="42">
        <v>3466.2</v>
      </c>
      <c r="T336" s="43">
        <v>346.62</v>
      </c>
    </row>
    <row r="337" spans="1:20" x14ac:dyDescent="0.35">
      <c r="A337" s="44">
        <v>45416</v>
      </c>
      <c r="B337" s="9" t="s">
        <v>695</v>
      </c>
      <c r="C337" s="9" t="s">
        <v>41</v>
      </c>
      <c r="D337" s="9" t="s">
        <v>33</v>
      </c>
      <c r="E337" s="9" t="s">
        <v>34</v>
      </c>
      <c r="F337" s="9">
        <v>6</v>
      </c>
      <c r="G337" s="10">
        <v>229.25</v>
      </c>
      <c r="H337" s="9" t="s">
        <v>24</v>
      </c>
      <c r="I337" s="9" t="s">
        <v>696</v>
      </c>
      <c r="J337" s="9" t="s">
        <v>26</v>
      </c>
      <c r="K337" s="9" t="s">
        <v>78</v>
      </c>
      <c r="L337" s="9" t="s">
        <v>66</v>
      </c>
      <c r="M337" s="9" t="s">
        <v>79</v>
      </c>
      <c r="N337" s="10">
        <v>891.51</v>
      </c>
      <c r="O337" s="9">
        <v>2024</v>
      </c>
      <c r="P337" s="9">
        <v>5</v>
      </c>
      <c r="Q337" s="9" t="s">
        <v>267</v>
      </c>
      <c r="R337" s="9" t="s">
        <v>217</v>
      </c>
      <c r="S337" s="10">
        <v>891.51</v>
      </c>
      <c r="T337" s="45">
        <v>297.17</v>
      </c>
    </row>
    <row r="338" spans="1:20" x14ac:dyDescent="0.35">
      <c r="A338" s="40">
        <v>45417</v>
      </c>
      <c r="B338" s="41" t="s">
        <v>697</v>
      </c>
      <c r="C338" s="41" t="s">
        <v>41</v>
      </c>
      <c r="D338" s="41" t="s">
        <v>33</v>
      </c>
      <c r="E338" s="41" t="s">
        <v>34</v>
      </c>
      <c r="F338" s="41">
        <v>6</v>
      </c>
      <c r="G338" s="42">
        <v>229.45</v>
      </c>
      <c r="H338" s="41" t="s">
        <v>35</v>
      </c>
      <c r="I338" s="41" t="s">
        <v>698</v>
      </c>
      <c r="J338" s="41" t="s">
        <v>26</v>
      </c>
      <c r="K338" s="41" t="s">
        <v>78</v>
      </c>
      <c r="L338" s="41" t="s">
        <v>66</v>
      </c>
      <c r="M338" s="41" t="s">
        <v>101</v>
      </c>
      <c r="N338" s="42">
        <v>681.18</v>
      </c>
      <c r="O338" s="41">
        <v>2024</v>
      </c>
      <c r="P338" s="41">
        <v>5</v>
      </c>
      <c r="Q338" s="41" t="s">
        <v>267</v>
      </c>
      <c r="R338" s="41" t="s">
        <v>217</v>
      </c>
      <c r="S338" s="42">
        <v>681.18</v>
      </c>
      <c r="T338" s="43">
        <v>113.53</v>
      </c>
    </row>
    <row r="339" spans="1:20" x14ac:dyDescent="0.35">
      <c r="A339" s="44">
        <v>45418</v>
      </c>
      <c r="B339" s="9" t="s">
        <v>699</v>
      </c>
      <c r="C339" s="9" t="s">
        <v>41</v>
      </c>
      <c r="D339" s="9" t="s">
        <v>33</v>
      </c>
      <c r="E339" s="9" t="s">
        <v>34</v>
      </c>
      <c r="F339" s="9">
        <v>6</v>
      </c>
      <c r="G339" s="10">
        <v>229.82</v>
      </c>
      <c r="H339" s="9" t="s">
        <v>35</v>
      </c>
      <c r="I339" s="9" t="s">
        <v>700</v>
      </c>
      <c r="J339" s="9" t="s">
        <v>26</v>
      </c>
      <c r="K339" s="9" t="s">
        <v>78</v>
      </c>
      <c r="L339" s="9" t="s">
        <v>28</v>
      </c>
      <c r="M339" s="9" t="s">
        <v>29</v>
      </c>
      <c r="N339" s="10">
        <v>392.8</v>
      </c>
      <c r="O339" s="9">
        <v>2024</v>
      </c>
      <c r="P339" s="9">
        <v>5</v>
      </c>
      <c r="Q339" s="9" t="s">
        <v>267</v>
      </c>
      <c r="R339" s="9" t="s">
        <v>217</v>
      </c>
      <c r="S339" s="10">
        <v>392.8</v>
      </c>
      <c r="T339" s="45">
        <v>78.56</v>
      </c>
    </row>
    <row r="340" spans="1:20" x14ac:dyDescent="0.35">
      <c r="A340" s="40">
        <v>45420</v>
      </c>
      <c r="B340" s="41" t="s">
        <v>701</v>
      </c>
      <c r="C340" s="41" t="s">
        <v>41</v>
      </c>
      <c r="D340" s="41" t="s">
        <v>33</v>
      </c>
      <c r="E340" s="41" t="s">
        <v>34</v>
      </c>
      <c r="F340" s="41">
        <v>6</v>
      </c>
      <c r="G340" s="42">
        <v>230.74</v>
      </c>
      <c r="H340" s="41" t="s">
        <v>44</v>
      </c>
      <c r="I340" s="41" t="s">
        <v>702</v>
      </c>
      <c r="J340" s="41" t="s">
        <v>26</v>
      </c>
      <c r="K340" s="41" t="s">
        <v>78</v>
      </c>
      <c r="L340" s="41" t="s">
        <v>39</v>
      </c>
      <c r="M340" s="41" t="s">
        <v>67</v>
      </c>
      <c r="N340" s="42">
        <v>3252.51</v>
      </c>
      <c r="O340" s="41">
        <v>2024</v>
      </c>
      <c r="P340" s="41">
        <v>5</v>
      </c>
      <c r="Q340" s="41" t="s">
        <v>267</v>
      </c>
      <c r="R340" s="41" t="s">
        <v>217</v>
      </c>
      <c r="S340" s="42">
        <v>3252.51</v>
      </c>
      <c r="T340" s="43">
        <v>361.39</v>
      </c>
    </row>
    <row r="341" spans="1:20" x14ac:dyDescent="0.35">
      <c r="A341" s="44">
        <v>45420</v>
      </c>
      <c r="B341" s="9" t="s">
        <v>317</v>
      </c>
      <c r="C341" s="9" t="s">
        <v>41</v>
      </c>
      <c r="D341" s="9" t="s">
        <v>33</v>
      </c>
      <c r="E341" s="9" t="s">
        <v>34</v>
      </c>
      <c r="F341" s="9">
        <v>6</v>
      </c>
      <c r="G341" s="10">
        <v>230.96</v>
      </c>
      <c r="H341" s="9" t="s">
        <v>44</v>
      </c>
      <c r="I341" s="9" t="s">
        <v>703</v>
      </c>
      <c r="J341" s="9" t="s">
        <v>26</v>
      </c>
      <c r="K341" s="9" t="s">
        <v>78</v>
      </c>
      <c r="L341" s="9" t="s">
        <v>28</v>
      </c>
      <c r="M341" s="9" t="s">
        <v>67</v>
      </c>
      <c r="N341" s="10">
        <v>1885.3</v>
      </c>
      <c r="O341" s="9">
        <v>2024</v>
      </c>
      <c r="P341" s="9">
        <v>5</v>
      </c>
      <c r="Q341" s="9" t="s">
        <v>267</v>
      </c>
      <c r="R341" s="9" t="s">
        <v>217</v>
      </c>
      <c r="S341" s="10">
        <v>1885.3</v>
      </c>
      <c r="T341" s="45">
        <v>377.06</v>
      </c>
    </row>
    <row r="342" spans="1:20" x14ac:dyDescent="0.35">
      <c r="A342" s="40">
        <v>45421</v>
      </c>
      <c r="B342" s="41" t="s">
        <v>704</v>
      </c>
      <c r="C342" s="41" t="s">
        <v>41</v>
      </c>
      <c r="D342" s="41" t="s">
        <v>33</v>
      </c>
      <c r="E342" s="41" t="s">
        <v>34</v>
      </c>
      <c r="F342" s="41">
        <v>6</v>
      </c>
      <c r="G342" s="42">
        <v>231.47</v>
      </c>
      <c r="H342" s="41" t="s">
        <v>35</v>
      </c>
      <c r="I342" s="41" t="s">
        <v>705</v>
      </c>
      <c r="J342" s="41" t="s">
        <v>26</v>
      </c>
      <c r="K342" s="41" t="s">
        <v>78</v>
      </c>
      <c r="L342" s="41" t="s">
        <v>28</v>
      </c>
      <c r="M342" s="41" t="s">
        <v>56</v>
      </c>
      <c r="N342" s="42">
        <v>2243.46</v>
      </c>
      <c r="O342" s="41">
        <v>2024</v>
      </c>
      <c r="P342" s="41">
        <v>5</v>
      </c>
      <c r="Q342" s="41" t="s">
        <v>267</v>
      </c>
      <c r="R342" s="41" t="s">
        <v>217</v>
      </c>
      <c r="S342" s="42">
        <v>2243.46</v>
      </c>
      <c r="T342" s="43">
        <v>373.91</v>
      </c>
    </row>
    <row r="343" spans="1:20" x14ac:dyDescent="0.35">
      <c r="A343" s="44">
        <v>45423</v>
      </c>
      <c r="B343" s="9" t="s">
        <v>706</v>
      </c>
      <c r="C343" s="9" t="s">
        <v>41</v>
      </c>
      <c r="D343" s="9" t="s">
        <v>33</v>
      </c>
      <c r="E343" s="9" t="s">
        <v>34</v>
      </c>
      <c r="F343" s="9">
        <v>6</v>
      </c>
      <c r="G343" s="10">
        <v>232.17</v>
      </c>
      <c r="H343" s="9" t="s">
        <v>24</v>
      </c>
      <c r="I343" s="9" t="s">
        <v>707</v>
      </c>
      <c r="J343" s="9" t="s">
        <v>26</v>
      </c>
      <c r="K343" s="9" t="s">
        <v>78</v>
      </c>
      <c r="L343" s="9" t="s">
        <v>28</v>
      </c>
      <c r="M343" s="9" t="s">
        <v>79</v>
      </c>
      <c r="N343" s="10">
        <v>263.81</v>
      </c>
      <c r="O343" s="9">
        <v>2024</v>
      </c>
      <c r="P343" s="9">
        <v>5</v>
      </c>
      <c r="Q343" s="9" t="s">
        <v>267</v>
      </c>
      <c r="R343" s="9" t="s">
        <v>217</v>
      </c>
      <c r="S343" s="10">
        <v>263.81</v>
      </c>
      <c r="T343" s="45">
        <v>263.81</v>
      </c>
    </row>
    <row r="344" spans="1:20" x14ac:dyDescent="0.35">
      <c r="A344" s="40">
        <v>45424</v>
      </c>
      <c r="B344" s="41" t="s">
        <v>708</v>
      </c>
      <c r="C344" s="41" t="s">
        <v>41</v>
      </c>
      <c r="D344" s="41" t="s">
        <v>33</v>
      </c>
      <c r="E344" s="41" t="s">
        <v>34</v>
      </c>
      <c r="F344" s="41">
        <v>6</v>
      </c>
      <c r="G344" s="42">
        <v>234.01</v>
      </c>
      <c r="H344" s="41" t="s">
        <v>64</v>
      </c>
      <c r="I344" s="41" t="s">
        <v>709</v>
      </c>
      <c r="J344" s="41" t="s">
        <v>26</v>
      </c>
      <c r="K344" s="41" t="s">
        <v>78</v>
      </c>
      <c r="L344" s="41" t="s">
        <v>28</v>
      </c>
      <c r="M344" s="41" t="s">
        <v>101</v>
      </c>
      <c r="N344" s="42">
        <v>766.32</v>
      </c>
      <c r="O344" s="41">
        <v>2024</v>
      </c>
      <c r="P344" s="41">
        <v>5</v>
      </c>
      <c r="Q344" s="41" t="s">
        <v>267</v>
      </c>
      <c r="R344" s="41" t="s">
        <v>217</v>
      </c>
      <c r="S344" s="42">
        <v>766.32</v>
      </c>
      <c r="T344" s="43">
        <v>95.79</v>
      </c>
    </row>
    <row r="345" spans="1:20" x14ac:dyDescent="0.35">
      <c r="A345" s="44">
        <v>45426</v>
      </c>
      <c r="B345" s="9" t="s">
        <v>433</v>
      </c>
      <c r="C345" s="9" t="s">
        <v>41</v>
      </c>
      <c r="D345" s="9" t="s">
        <v>33</v>
      </c>
      <c r="E345" s="9" t="s">
        <v>34</v>
      </c>
      <c r="F345" s="9">
        <v>6</v>
      </c>
      <c r="G345" s="10">
        <v>234.54</v>
      </c>
      <c r="H345" s="9" t="s">
        <v>44</v>
      </c>
      <c r="I345" s="9" t="s">
        <v>710</v>
      </c>
      <c r="J345" s="9" t="s">
        <v>26</v>
      </c>
      <c r="K345" s="9" t="s">
        <v>78</v>
      </c>
      <c r="L345" s="9" t="s">
        <v>66</v>
      </c>
      <c r="M345" s="9" t="s">
        <v>49</v>
      </c>
      <c r="N345" s="10">
        <v>989.1</v>
      </c>
      <c r="O345" s="9">
        <v>2024</v>
      </c>
      <c r="P345" s="9">
        <v>5</v>
      </c>
      <c r="Q345" s="9" t="s">
        <v>267</v>
      </c>
      <c r="R345" s="9" t="s">
        <v>217</v>
      </c>
      <c r="S345" s="10">
        <v>989.1</v>
      </c>
      <c r="T345" s="45">
        <v>109.9</v>
      </c>
    </row>
    <row r="346" spans="1:20" x14ac:dyDescent="0.35">
      <c r="A346" s="40">
        <v>45426</v>
      </c>
      <c r="B346" s="41" t="s">
        <v>711</v>
      </c>
      <c r="C346" s="41" t="s">
        <v>41</v>
      </c>
      <c r="D346" s="41" t="s">
        <v>33</v>
      </c>
      <c r="E346" s="41" t="s">
        <v>34</v>
      </c>
      <c r="F346" s="41">
        <v>6</v>
      </c>
      <c r="G346" s="42">
        <v>235.19</v>
      </c>
      <c r="H346" s="41" t="s">
        <v>64</v>
      </c>
      <c r="I346" s="41" t="s">
        <v>712</v>
      </c>
      <c r="J346" s="41" t="s">
        <v>26</v>
      </c>
      <c r="K346" s="41" t="s">
        <v>78</v>
      </c>
      <c r="L346" s="41" t="s">
        <v>28</v>
      </c>
      <c r="M346" s="41" t="s">
        <v>49</v>
      </c>
      <c r="N346" s="42">
        <v>2523.9</v>
      </c>
      <c r="O346" s="41">
        <v>2024</v>
      </c>
      <c r="P346" s="41">
        <v>5</v>
      </c>
      <c r="Q346" s="41" t="s">
        <v>267</v>
      </c>
      <c r="R346" s="41" t="s">
        <v>217</v>
      </c>
      <c r="S346" s="42">
        <v>2523.9</v>
      </c>
      <c r="T346" s="43">
        <v>252.39</v>
      </c>
    </row>
    <row r="347" spans="1:20" x14ac:dyDescent="0.35">
      <c r="A347" s="44">
        <v>45429</v>
      </c>
      <c r="B347" s="9" t="s">
        <v>713</v>
      </c>
      <c r="C347" s="9" t="s">
        <v>71</v>
      </c>
      <c r="D347" s="9" t="s">
        <v>33</v>
      </c>
      <c r="E347" s="9" t="s">
        <v>34</v>
      </c>
      <c r="F347" s="9">
        <v>6</v>
      </c>
      <c r="G347" s="10">
        <v>236.66</v>
      </c>
      <c r="H347" s="9" t="s">
        <v>58</v>
      </c>
      <c r="I347" s="9" t="s">
        <v>714</v>
      </c>
      <c r="J347" s="9" t="s">
        <v>26</v>
      </c>
      <c r="K347" s="9" t="s">
        <v>78</v>
      </c>
      <c r="L347" s="9" t="s">
        <v>39</v>
      </c>
      <c r="M347" s="9" t="s">
        <v>61</v>
      </c>
      <c r="N347" s="10">
        <v>202.95</v>
      </c>
      <c r="O347" s="9">
        <v>2024</v>
      </c>
      <c r="P347" s="9">
        <v>5</v>
      </c>
      <c r="Q347" s="9" t="s">
        <v>267</v>
      </c>
      <c r="R347" s="9" t="s">
        <v>217</v>
      </c>
      <c r="S347" s="10">
        <v>202.95</v>
      </c>
      <c r="T347" s="45">
        <v>202.95</v>
      </c>
    </row>
    <row r="348" spans="1:20" x14ac:dyDescent="0.35">
      <c r="A348" s="40">
        <v>45429</v>
      </c>
      <c r="B348" s="41" t="s">
        <v>715</v>
      </c>
      <c r="C348" s="41" t="s">
        <v>71</v>
      </c>
      <c r="D348" s="41" t="s">
        <v>33</v>
      </c>
      <c r="E348" s="41" t="s">
        <v>34</v>
      </c>
      <c r="F348" s="41">
        <v>6</v>
      </c>
      <c r="G348" s="42">
        <v>237.09</v>
      </c>
      <c r="H348" s="41" t="s">
        <v>44</v>
      </c>
      <c r="I348" s="41" t="s">
        <v>716</v>
      </c>
      <c r="J348" s="41" t="s">
        <v>26</v>
      </c>
      <c r="K348" s="41" t="s">
        <v>78</v>
      </c>
      <c r="L348" s="41" t="s">
        <v>39</v>
      </c>
      <c r="M348" s="41" t="s">
        <v>61</v>
      </c>
      <c r="N348" s="42">
        <v>2545.1999999999998</v>
      </c>
      <c r="O348" s="41">
        <v>2024</v>
      </c>
      <c r="P348" s="41">
        <v>5</v>
      </c>
      <c r="Q348" s="41" t="s">
        <v>267</v>
      </c>
      <c r="R348" s="41" t="s">
        <v>217</v>
      </c>
      <c r="S348" s="42">
        <v>2545.1999999999998</v>
      </c>
      <c r="T348" s="43">
        <v>254.52</v>
      </c>
    </row>
    <row r="349" spans="1:20" x14ac:dyDescent="0.35">
      <c r="A349" s="44">
        <v>45430</v>
      </c>
      <c r="B349" s="9" t="s">
        <v>717</v>
      </c>
      <c r="C349" s="9" t="s">
        <v>71</v>
      </c>
      <c r="D349" s="9" t="s">
        <v>33</v>
      </c>
      <c r="E349" s="9" t="s">
        <v>34</v>
      </c>
      <c r="F349" s="9">
        <v>6</v>
      </c>
      <c r="G349" s="10">
        <v>237.91</v>
      </c>
      <c r="H349" s="9" t="s">
        <v>35</v>
      </c>
      <c r="I349" s="9" t="s">
        <v>718</v>
      </c>
      <c r="J349" s="9" t="s">
        <v>26</v>
      </c>
      <c r="K349" s="9" t="s">
        <v>78</v>
      </c>
      <c r="L349" s="9" t="s">
        <v>39</v>
      </c>
      <c r="M349" s="9" t="s">
        <v>79</v>
      </c>
      <c r="N349" s="10">
        <v>654.28</v>
      </c>
      <c r="O349" s="9">
        <v>2024</v>
      </c>
      <c r="P349" s="9">
        <v>5</v>
      </c>
      <c r="Q349" s="9" t="s">
        <v>267</v>
      </c>
      <c r="R349" s="9" t="s">
        <v>217</v>
      </c>
      <c r="S349" s="10">
        <v>654.28</v>
      </c>
      <c r="T349" s="45">
        <v>163.57</v>
      </c>
    </row>
    <row r="350" spans="1:20" x14ac:dyDescent="0.35">
      <c r="A350" s="40">
        <v>45432</v>
      </c>
      <c r="B350" s="41" t="s">
        <v>719</v>
      </c>
      <c r="C350" s="41" t="s">
        <v>71</v>
      </c>
      <c r="D350" s="41" t="s">
        <v>33</v>
      </c>
      <c r="E350" s="41" t="s">
        <v>34</v>
      </c>
      <c r="F350" s="41">
        <v>6</v>
      </c>
      <c r="G350" s="42">
        <v>238.87</v>
      </c>
      <c r="H350" s="41" t="s">
        <v>64</v>
      </c>
      <c r="I350" s="41" t="s">
        <v>720</v>
      </c>
      <c r="J350" s="41" t="s">
        <v>26</v>
      </c>
      <c r="K350" s="41" t="s">
        <v>78</v>
      </c>
      <c r="L350" s="41" t="s">
        <v>66</v>
      </c>
      <c r="M350" s="41" t="s">
        <v>29</v>
      </c>
      <c r="N350" s="42">
        <v>2141.8000000000002</v>
      </c>
      <c r="O350" s="41">
        <v>2024</v>
      </c>
      <c r="P350" s="41">
        <v>5</v>
      </c>
      <c r="Q350" s="41" t="s">
        <v>267</v>
      </c>
      <c r="R350" s="41" t="s">
        <v>217</v>
      </c>
      <c r="S350" s="42">
        <v>2141.8000000000002</v>
      </c>
      <c r="T350" s="43">
        <v>214.18</v>
      </c>
    </row>
    <row r="351" spans="1:20" x14ac:dyDescent="0.35">
      <c r="A351" s="44">
        <v>45435</v>
      </c>
      <c r="B351" s="9" t="s">
        <v>721</v>
      </c>
      <c r="C351" s="9" t="s">
        <v>71</v>
      </c>
      <c r="D351" s="9" t="s">
        <v>33</v>
      </c>
      <c r="E351" s="9" t="s">
        <v>34</v>
      </c>
      <c r="F351" s="9">
        <v>6</v>
      </c>
      <c r="G351" s="10">
        <v>238.89</v>
      </c>
      <c r="H351" s="9" t="s">
        <v>24</v>
      </c>
      <c r="I351" s="9" t="s">
        <v>722</v>
      </c>
      <c r="J351" s="9" t="s">
        <v>26</v>
      </c>
      <c r="K351" s="9" t="s">
        <v>78</v>
      </c>
      <c r="L351" s="9" t="s">
        <v>39</v>
      </c>
      <c r="M351" s="9" t="s">
        <v>56</v>
      </c>
      <c r="N351" s="10">
        <v>369.36</v>
      </c>
      <c r="O351" s="9">
        <v>2024</v>
      </c>
      <c r="P351" s="9">
        <v>5</v>
      </c>
      <c r="Q351" s="9" t="s">
        <v>267</v>
      </c>
      <c r="R351" s="9" t="s">
        <v>217</v>
      </c>
      <c r="S351" s="10">
        <v>369.36</v>
      </c>
      <c r="T351" s="45">
        <v>46.17</v>
      </c>
    </row>
    <row r="352" spans="1:20" x14ac:dyDescent="0.35">
      <c r="A352" s="40">
        <v>45436</v>
      </c>
      <c r="B352" s="41" t="s">
        <v>388</v>
      </c>
      <c r="C352" s="41" t="s">
        <v>71</v>
      </c>
      <c r="D352" s="41" t="s">
        <v>33</v>
      </c>
      <c r="E352" s="41" t="s">
        <v>34</v>
      </c>
      <c r="F352" s="41">
        <v>6</v>
      </c>
      <c r="G352" s="42">
        <v>238.98</v>
      </c>
      <c r="H352" s="41" t="s">
        <v>44</v>
      </c>
      <c r="I352" s="41" t="s">
        <v>723</v>
      </c>
      <c r="J352" s="41" t="s">
        <v>26</v>
      </c>
      <c r="K352" s="41" t="s">
        <v>78</v>
      </c>
      <c r="L352" s="41" t="s">
        <v>28</v>
      </c>
      <c r="M352" s="41" t="s">
        <v>61</v>
      </c>
      <c r="N352" s="42">
        <v>2144.94</v>
      </c>
      <c r="O352" s="41">
        <v>2024</v>
      </c>
      <c r="P352" s="41">
        <v>5</v>
      </c>
      <c r="Q352" s="41" t="s">
        <v>267</v>
      </c>
      <c r="R352" s="41" t="s">
        <v>217</v>
      </c>
      <c r="S352" s="42">
        <v>2144.94</v>
      </c>
      <c r="T352" s="43">
        <v>306.42</v>
      </c>
    </row>
    <row r="353" spans="1:20" x14ac:dyDescent="0.35">
      <c r="A353" s="44">
        <v>45437</v>
      </c>
      <c r="B353" s="9" t="s">
        <v>378</v>
      </c>
      <c r="C353" s="9" t="s">
        <v>71</v>
      </c>
      <c r="D353" s="9" t="s">
        <v>33</v>
      </c>
      <c r="E353" s="9" t="s">
        <v>34</v>
      </c>
      <c r="F353" s="9">
        <v>6</v>
      </c>
      <c r="G353" s="10">
        <v>240.58</v>
      </c>
      <c r="H353" s="9" t="s">
        <v>64</v>
      </c>
      <c r="I353" s="9" t="s">
        <v>724</v>
      </c>
      <c r="J353" s="9" t="s">
        <v>26</v>
      </c>
      <c r="K353" s="9" t="s">
        <v>78</v>
      </c>
      <c r="L353" s="9" t="s">
        <v>66</v>
      </c>
      <c r="M353" s="9" t="s">
        <v>79</v>
      </c>
      <c r="N353" s="10">
        <v>64.2</v>
      </c>
      <c r="O353" s="9">
        <v>2024</v>
      </c>
      <c r="P353" s="9">
        <v>5</v>
      </c>
      <c r="Q353" s="9" t="s">
        <v>267</v>
      </c>
      <c r="R353" s="9" t="s">
        <v>217</v>
      </c>
      <c r="S353" s="10">
        <v>64.2</v>
      </c>
      <c r="T353" s="45">
        <v>12.84</v>
      </c>
    </row>
    <row r="354" spans="1:20" x14ac:dyDescent="0.35">
      <c r="A354" s="40">
        <v>45438</v>
      </c>
      <c r="B354" s="41" t="s">
        <v>68</v>
      </c>
      <c r="C354" s="41" t="s">
        <v>71</v>
      </c>
      <c r="D354" s="41" t="s">
        <v>33</v>
      </c>
      <c r="E354" s="41" t="s">
        <v>34</v>
      </c>
      <c r="F354" s="41">
        <v>6</v>
      </c>
      <c r="G354" s="42">
        <v>241.05</v>
      </c>
      <c r="H354" s="41" t="s">
        <v>35</v>
      </c>
      <c r="I354" s="41" t="s">
        <v>725</v>
      </c>
      <c r="J354" s="41" t="s">
        <v>26</v>
      </c>
      <c r="K354" s="41" t="s">
        <v>78</v>
      </c>
      <c r="L354" s="41" t="s">
        <v>28</v>
      </c>
      <c r="M354" s="41" t="s">
        <v>101</v>
      </c>
      <c r="N354" s="42">
        <v>3265.83</v>
      </c>
      <c r="O354" s="41">
        <v>2024</v>
      </c>
      <c r="P354" s="41">
        <v>5</v>
      </c>
      <c r="Q354" s="41" t="s">
        <v>267</v>
      </c>
      <c r="R354" s="41" t="s">
        <v>217</v>
      </c>
      <c r="S354" s="42">
        <v>3265.83</v>
      </c>
      <c r="T354" s="43">
        <v>362.87</v>
      </c>
    </row>
    <row r="355" spans="1:20" x14ac:dyDescent="0.35">
      <c r="A355" s="44">
        <v>45443</v>
      </c>
      <c r="B355" s="9" t="s">
        <v>450</v>
      </c>
      <c r="C355" s="9" t="s">
        <v>71</v>
      </c>
      <c r="D355" s="9" t="s">
        <v>33</v>
      </c>
      <c r="E355" s="9" t="s">
        <v>34</v>
      </c>
      <c r="F355" s="9">
        <v>6</v>
      </c>
      <c r="G355" s="10">
        <v>241.6</v>
      </c>
      <c r="H355" s="9" t="s">
        <v>44</v>
      </c>
      <c r="I355" s="9" t="s">
        <v>726</v>
      </c>
      <c r="J355" s="9" t="s">
        <v>26</v>
      </c>
      <c r="K355" s="9" t="s">
        <v>78</v>
      </c>
      <c r="L355" s="9" t="s">
        <v>39</v>
      </c>
      <c r="M355" s="9" t="s">
        <v>61</v>
      </c>
      <c r="N355" s="10">
        <v>1774.85</v>
      </c>
      <c r="O355" s="9">
        <v>2024</v>
      </c>
      <c r="P355" s="9">
        <v>5</v>
      </c>
      <c r="Q355" s="9" t="s">
        <v>267</v>
      </c>
      <c r="R355" s="9" t="s">
        <v>217</v>
      </c>
      <c r="S355" s="10">
        <v>1774.85</v>
      </c>
      <c r="T355" s="45">
        <v>354.97</v>
      </c>
    </row>
    <row r="356" spans="1:20" x14ac:dyDescent="0.35">
      <c r="A356" s="40">
        <v>45443</v>
      </c>
      <c r="B356" s="41" t="s">
        <v>727</v>
      </c>
      <c r="C356" s="41" t="s">
        <v>71</v>
      </c>
      <c r="D356" s="41" t="s">
        <v>33</v>
      </c>
      <c r="E356" s="41" t="s">
        <v>34</v>
      </c>
      <c r="F356" s="41">
        <v>6</v>
      </c>
      <c r="G356" s="42">
        <v>242.6</v>
      </c>
      <c r="H356" s="41" t="s">
        <v>24</v>
      </c>
      <c r="I356" s="41" t="s">
        <v>728</v>
      </c>
      <c r="J356" s="41" t="s">
        <v>26</v>
      </c>
      <c r="K356" s="41" t="s">
        <v>78</v>
      </c>
      <c r="L356" s="41" t="s">
        <v>28</v>
      </c>
      <c r="M356" s="41" t="s">
        <v>61</v>
      </c>
      <c r="N356" s="42">
        <v>873.32</v>
      </c>
      <c r="O356" s="41">
        <v>2024</v>
      </c>
      <c r="P356" s="41">
        <v>5</v>
      </c>
      <c r="Q356" s="41" t="s">
        <v>267</v>
      </c>
      <c r="R356" s="41" t="s">
        <v>217</v>
      </c>
      <c r="S356" s="42">
        <v>873.32</v>
      </c>
      <c r="T356" s="43">
        <v>124.76</v>
      </c>
    </row>
    <row r="357" spans="1:20" x14ac:dyDescent="0.35">
      <c r="A357" s="44">
        <v>45444</v>
      </c>
      <c r="B357" s="9" t="s">
        <v>729</v>
      </c>
      <c r="C357" s="9" t="s">
        <v>71</v>
      </c>
      <c r="D357" s="9" t="s">
        <v>33</v>
      </c>
      <c r="E357" s="9" t="s">
        <v>34</v>
      </c>
      <c r="F357" s="9">
        <v>6</v>
      </c>
      <c r="G357" s="10">
        <v>242.83</v>
      </c>
      <c r="H357" s="9" t="s">
        <v>44</v>
      </c>
      <c r="I357" s="9" t="s">
        <v>730</v>
      </c>
      <c r="J357" s="9" t="s">
        <v>26</v>
      </c>
      <c r="K357" s="9" t="s">
        <v>78</v>
      </c>
      <c r="L357" s="9" t="s">
        <v>28</v>
      </c>
      <c r="M357" s="9" t="s">
        <v>79</v>
      </c>
      <c r="N357" s="10">
        <v>87.7</v>
      </c>
      <c r="O357" s="9">
        <v>2024</v>
      </c>
      <c r="P357" s="9">
        <v>6</v>
      </c>
      <c r="Q357" s="9" t="s">
        <v>321</v>
      </c>
      <c r="R357" s="9" t="s">
        <v>217</v>
      </c>
      <c r="S357" s="10">
        <v>87.7</v>
      </c>
      <c r="T357" s="45">
        <v>87.7</v>
      </c>
    </row>
    <row r="358" spans="1:20" x14ac:dyDescent="0.35">
      <c r="A358" s="40">
        <v>45445</v>
      </c>
      <c r="B358" s="41" t="s">
        <v>731</v>
      </c>
      <c r="C358" s="41" t="s">
        <v>71</v>
      </c>
      <c r="D358" s="41" t="s">
        <v>33</v>
      </c>
      <c r="E358" s="41" t="s">
        <v>34</v>
      </c>
      <c r="F358" s="41">
        <v>7</v>
      </c>
      <c r="G358" s="42">
        <v>244.52</v>
      </c>
      <c r="H358" s="41" t="s">
        <v>64</v>
      </c>
      <c r="I358" s="41" t="s">
        <v>732</v>
      </c>
      <c r="J358" s="41" t="s">
        <v>26</v>
      </c>
      <c r="K358" s="41" t="s">
        <v>78</v>
      </c>
      <c r="L358" s="41" t="s">
        <v>66</v>
      </c>
      <c r="M358" s="41" t="s">
        <v>101</v>
      </c>
      <c r="N358" s="42">
        <v>910.05</v>
      </c>
      <c r="O358" s="41">
        <v>2024</v>
      </c>
      <c r="P358" s="41">
        <v>6</v>
      </c>
      <c r="Q358" s="41" t="s">
        <v>321</v>
      </c>
      <c r="R358" s="41" t="s">
        <v>217</v>
      </c>
      <c r="S358" s="42">
        <v>910.05</v>
      </c>
      <c r="T358" s="43">
        <v>303.35000000000002</v>
      </c>
    </row>
    <row r="359" spans="1:20" x14ac:dyDescent="0.35">
      <c r="A359" s="44">
        <v>45449</v>
      </c>
      <c r="B359" s="9" t="s">
        <v>507</v>
      </c>
      <c r="C359" s="9" t="s">
        <v>71</v>
      </c>
      <c r="D359" s="9" t="s">
        <v>33</v>
      </c>
      <c r="E359" s="9" t="s">
        <v>34</v>
      </c>
      <c r="F359" s="9">
        <v>7</v>
      </c>
      <c r="G359" s="10">
        <v>244.78</v>
      </c>
      <c r="H359" s="9" t="s">
        <v>64</v>
      </c>
      <c r="I359" s="9" t="s">
        <v>733</v>
      </c>
      <c r="J359" s="9" t="s">
        <v>26</v>
      </c>
      <c r="K359" s="9" t="s">
        <v>78</v>
      </c>
      <c r="L359" s="9" t="s">
        <v>39</v>
      </c>
      <c r="M359" s="9" t="s">
        <v>56</v>
      </c>
      <c r="N359" s="10">
        <v>653.44000000000005</v>
      </c>
      <c r="O359" s="9">
        <v>2024</v>
      </c>
      <c r="P359" s="9">
        <v>6</v>
      </c>
      <c r="Q359" s="9" t="s">
        <v>321</v>
      </c>
      <c r="R359" s="9" t="s">
        <v>217</v>
      </c>
      <c r="S359" s="10">
        <v>653.44000000000005</v>
      </c>
      <c r="T359" s="45">
        <v>163.36000000000001</v>
      </c>
    </row>
    <row r="360" spans="1:20" x14ac:dyDescent="0.35">
      <c r="A360" s="40">
        <v>45451</v>
      </c>
      <c r="B360" s="41" t="s">
        <v>166</v>
      </c>
      <c r="C360" s="41" t="s">
        <v>71</v>
      </c>
      <c r="D360" s="41" t="s">
        <v>33</v>
      </c>
      <c r="E360" s="41" t="s">
        <v>34</v>
      </c>
      <c r="F360" s="41">
        <v>7</v>
      </c>
      <c r="G360" s="42">
        <v>247.71</v>
      </c>
      <c r="H360" s="41" t="s">
        <v>64</v>
      </c>
      <c r="I360" s="41" t="s">
        <v>734</v>
      </c>
      <c r="J360" s="41" t="s">
        <v>26</v>
      </c>
      <c r="K360" s="41" t="s">
        <v>78</v>
      </c>
      <c r="L360" s="41" t="s">
        <v>39</v>
      </c>
      <c r="M360" s="41" t="s">
        <v>79</v>
      </c>
      <c r="N360" s="42">
        <v>149.71</v>
      </c>
      <c r="O360" s="41">
        <v>2024</v>
      </c>
      <c r="P360" s="41">
        <v>6</v>
      </c>
      <c r="Q360" s="41" t="s">
        <v>321</v>
      </c>
      <c r="R360" s="41" t="s">
        <v>217</v>
      </c>
      <c r="S360" s="42">
        <v>149.71</v>
      </c>
      <c r="T360" s="43">
        <v>149.71</v>
      </c>
    </row>
    <row r="361" spans="1:20" x14ac:dyDescent="0.35">
      <c r="A361" s="44">
        <v>45452</v>
      </c>
      <c r="B361" s="9" t="s">
        <v>735</v>
      </c>
      <c r="C361" s="9" t="s">
        <v>71</v>
      </c>
      <c r="D361" s="9" t="s">
        <v>33</v>
      </c>
      <c r="E361" s="9" t="s">
        <v>34</v>
      </c>
      <c r="F361" s="9">
        <v>7</v>
      </c>
      <c r="G361" s="10">
        <v>248.33</v>
      </c>
      <c r="H361" s="9" t="s">
        <v>44</v>
      </c>
      <c r="I361" s="9" t="s">
        <v>736</v>
      </c>
      <c r="J361" s="9" t="s">
        <v>26</v>
      </c>
      <c r="K361" s="9" t="s">
        <v>78</v>
      </c>
      <c r="L361" s="9" t="s">
        <v>66</v>
      </c>
      <c r="M361" s="9" t="s">
        <v>101</v>
      </c>
      <c r="N361" s="10">
        <v>1723.2</v>
      </c>
      <c r="O361" s="9">
        <v>2024</v>
      </c>
      <c r="P361" s="9">
        <v>6</v>
      </c>
      <c r="Q361" s="9" t="s">
        <v>321</v>
      </c>
      <c r="R361" s="9" t="s">
        <v>217</v>
      </c>
      <c r="S361" s="10">
        <v>1723.2</v>
      </c>
      <c r="T361" s="45">
        <v>172.32</v>
      </c>
    </row>
    <row r="362" spans="1:20" x14ac:dyDescent="0.35">
      <c r="A362" s="40">
        <v>45455</v>
      </c>
      <c r="B362" s="41" t="s">
        <v>737</v>
      </c>
      <c r="C362" s="41" t="s">
        <v>71</v>
      </c>
      <c r="D362" s="41" t="s">
        <v>33</v>
      </c>
      <c r="E362" s="41" t="s">
        <v>34</v>
      </c>
      <c r="F362" s="41">
        <v>7</v>
      </c>
      <c r="G362" s="42">
        <v>248.55</v>
      </c>
      <c r="H362" s="41" t="s">
        <v>35</v>
      </c>
      <c r="I362" s="41" t="s">
        <v>738</v>
      </c>
      <c r="J362" s="41" t="s">
        <v>26</v>
      </c>
      <c r="K362" s="41" t="s">
        <v>78</v>
      </c>
      <c r="L362" s="41" t="s">
        <v>66</v>
      </c>
      <c r="M362" s="41" t="s">
        <v>67</v>
      </c>
      <c r="N362" s="42">
        <v>128.69</v>
      </c>
      <c r="O362" s="41">
        <v>2024</v>
      </c>
      <c r="P362" s="41">
        <v>6</v>
      </c>
      <c r="Q362" s="41" t="s">
        <v>321</v>
      </c>
      <c r="R362" s="41" t="s">
        <v>217</v>
      </c>
      <c r="S362" s="42">
        <v>128.69</v>
      </c>
      <c r="T362" s="43">
        <v>128.69</v>
      </c>
    </row>
    <row r="363" spans="1:20" x14ac:dyDescent="0.35">
      <c r="A363" s="44">
        <v>45458</v>
      </c>
      <c r="B363" s="9" t="s">
        <v>511</v>
      </c>
      <c r="C363" s="9" t="s">
        <v>71</v>
      </c>
      <c r="D363" s="9" t="s">
        <v>33</v>
      </c>
      <c r="E363" s="9" t="s">
        <v>34</v>
      </c>
      <c r="F363" s="9">
        <v>7</v>
      </c>
      <c r="G363" s="10">
        <v>248.69</v>
      </c>
      <c r="H363" s="9" t="s">
        <v>35</v>
      </c>
      <c r="I363" s="9" t="s">
        <v>739</v>
      </c>
      <c r="J363" s="9" t="s">
        <v>26</v>
      </c>
      <c r="K363" s="9" t="s">
        <v>78</v>
      </c>
      <c r="L363" s="9" t="s">
        <v>39</v>
      </c>
      <c r="M363" s="9" t="s">
        <v>79</v>
      </c>
      <c r="N363" s="10">
        <v>1011.28</v>
      </c>
      <c r="O363" s="9">
        <v>2024</v>
      </c>
      <c r="P363" s="9">
        <v>6</v>
      </c>
      <c r="Q363" s="9" t="s">
        <v>321</v>
      </c>
      <c r="R363" s="9" t="s">
        <v>217</v>
      </c>
      <c r="S363" s="10">
        <v>1011.28</v>
      </c>
      <c r="T363" s="45">
        <v>252.82</v>
      </c>
    </row>
    <row r="364" spans="1:20" x14ac:dyDescent="0.35">
      <c r="A364" s="40">
        <v>45458</v>
      </c>
      <c r="B364" s="41" t="s">
        <v>740</v>
      </c>
      <c r="C364" s="41" t="s">
        <v>71</v>
      </c>
      <c r="D364" s="41" t="s">
        <v>33</v>
      </c>
      <c r="E364" s="41" t="s">
        <v>34</v>
      </c>
      <c r="F364" s="41">
        <v>7</v>
      </c>
      <c r="G364" s="42">
        <v>248.76</v>
      </c>
      <c r="H364" s="41" t="s">
        <v>24</v>
      </c>
      <c r="I364" s="41" t="s">
        <v>741</v>
      </c>
      <c r="J364" s="41" t="s">
        <v>26</v>
      </c>
      <c r="K364" s="41" t="s">
        <v>78</v>
      </c>
      <c r="L364" s="41" t="s">
        <v>28</v>
      </c>
      <c r="M364" s="41" t="s">
        <v>79</v>
      </c>
      <c r="N364" s="42">
        <v>636.21</v>
      </c>
      <c r="O364" s="41">
        <v>2024</v>
      </c>
      <c r="P364" s="41">
        <v>6</v>
      </c>
      <c r="Q364" s="41" t="s">
        <v>321</v>
      </c>
      <c r="R364" s="41" t="s">
        <v>217</v>
      </c>
      <c r="S364" s="42">
        <v>636.21</v>
      </c>
      <c r="T364" s="43">
        <v>212.07</v>
      </c>
    </row>
    <row r="365" spans="1:20" x14ac:dyDescent="0.35">
      <c r="A365" s="44">
        <v>45460</v>
      </c>
      <c r="B365" s="9" t="s">
        <v>538</v>
      </c>
      <c r="C365" s="9" t="s">
        <v>71</v>
      </c>
      <c r="D365" s="9" t="s">
        <v>33</v>
      </c>
      <c r="E365" s="9" t="s">
        <v>34</v>
      </c>
      <c r="F365" s="9">
        <v>7</v>
      </c>
      <c r="G365" s="10">
        <v>249.93</v>
      </c>
      <c r="H365" s="9" t="s">
        <v>24</v>
      </c>
      <c r="I365" s="9" t="s">
        <v>742</v>
      </c>
      <c r="J365" s="9" t="s">
        <v>26</v>
      </c>
      <c r="K365" s="9" t="s">
        <v>78</v>
      </c>
      <c r="L365" s="9" t="s">
        <v>28</v>
      </c>
      <c r="M365" s="9" t="s">
        <v>29</v>
      </c>
      <c r="N365" s="10">
        <v>2140.3000000000002</v>
      </c>
      <c r="O365" s="9">
        <v>2024</v>
      </c>
      <c r="P365" s="9">
        <v>6</v>
      </c>
      <c r="Q365" s="9" t="s">
        <v>321</v>
      </c>
      <c r="R365" s="9" t="s">
        <v>217</v>
      </c>
      <c r="S365" s="10">
        <v>2140.3000000000002</v>
      </c>
      <c r="T365" s="45">
        <v>214.03</v>
      </c>
    </row>
    <row r="366" spans="1:20" x14ac:dyDescent="0.35">
      <c r="A366" s="40">
        <v>45460</v>
      </c>
      <c r="B366" s="41" t="s">
        <v>743</v>
      </c>
      <c r="C366" s="41" t="s">
        <v>71</v>
      </c>
      <c r="D366" s="41" t="s">
        <v>33</v>
      </c>
      <c r="E366" s="41" t="s">
        <v>34</v>
      </c>
      <c r="F366" s="41">
        <v>7</v>
      </c>
      <c r="G366" s="42">
        <v>250.83</v>
      </c>
      <c r="H366" s="41" t="s">
        <v>58</v>
      </c>
      <c r="I366" s="41" t="s">
        <v>744</v>
      </c>
      <c r="J366" s="41" t="s">
        <v>26</v>
      </c>
      <c r="K366" s="41" t="s">
        <v>78</v>
      </c>
      <c r="L366" s="41" t="s">
        <v>39</v>
      </c>
      <c r="M366" s="41" t="s">
        <v>29</v>
      </c>
      <c r="N366" s="42">
        <v>1595.25</v>
      </c>
      <c r="O366" s="41">
        <v>2024</v>
      </c>
      <c r="P366" s="41">
        <v>6</v>
      </c>
      <c r="Q366" s="41" t="s">
        <v>321</v>
      </c>
      <c r="R366" s="41" t="s">
        <v>217</v>
      </c>
      <c r="S366" s="42">
        <v>1595.25</v>
      </c>
      <c r="T366" s="43">
        <v>319.05</v>
      </c>
    </row>
    <row r="367" spans="1:20" x14ac:dyDescent="0.35">
      <c r="A367" s="44">
        <v>45461</v>
      </c>
      <c r="B367" s="9" t="s">
        <v>532</v>
      </c>
      <c r="C367" s="9" t="s">
        <v>71</v>
      </c>
      <c r="D367" s="9" t="s">
        <v>33</v>
      </c>
      <c r="E367" s="9" t="s">
        <v>34</v>
      </c>
      <c r="F367" s="9">
        <v>7</v>
      </c>
      <c r="G367" s="10">
        <v>251.59</v>
      </c>
      <c r="H367" s="9" t="s">
        <v>24</v>
      </c>
      <c r="I367" s="9" t="s">
        <v>745</v>
      </c>
      <c r="J367" s="9" t="s">
        <v>26</v>
      </c>
      <c r="K367" s="9" t="s">
        <v>78</v>
      </c>
      <c r="L367" s="9" t="s">
        <v>28</v>
      </c>
      <c r="M367" s="9" t="s">
        <v>49</v>
      </c>
      <c r="N367" s="10">
        <v>368.76</v>
      </c>
      <c r="O367" s="9">
        <v>2024</v>
      </c>
      <c r="P367" s="9">
        <v>6</v>
      </c>
      <c r="Q367" s="9" t="s">
        <v>321</v>
      </c>
      <c r="R367" s="9" t="s">
        <v>217</v>
      </c>
      <c r="S367" s="10">
        <v>368.76</v>
      </c>
      <c r="T367" s="45">
        <v>52.68</v>
      </c>
    </row>
    <row r="368" spans="1:20" x14ac:dyDescent="0.35">
      <c r="A368" s="40">
        <v>45461</v>
      </c>
      <c r="B368" s="41" t="s">
        <v>746</v>
      </c>
      <c r="C368" s="41" t="s">
        <v>71</v>
      </c>
      <c r="D368" s="41" t="s">
        <v>33</v>
      </c>
      <c r="E368" s="41" t="s">
        <v>34</v>
      </c>
      <c r="F368" s="41">
        <v>7</v>
      </c>
      <c r="G368" s="42">
        <v>252.39</v>
      </c>
      <c r="H368" s="41" t="s">
        <v>24</v>
      </c>
      <c r="I368" s="41" t="s">
        <v>747</v>
      </c>
      <c r="J368" s="41" t="s">
        <v>26</v>
      </c>
      <c r="K368" s="41" t="s">
        <v>78</v>
      </c>
      <c r="L368" s="41" t="s">
        <v>66</v>
      </c>
      <c r="M368" s="41" t="s">
        <v>49</v>
      </c>
      <c r="N368" s="42">
        <v>977.06</v>
      </c>
      <c r="O368" s="41">
        <v>2024</v>
      </c>
      <c r="P368" s="41">
        <v>6</v>
      </c>
      <c r="Q368" s="41" t="s">
        <v>321</v>
      </c>
      <c r="R368" s="41" t="s">
        <v>217</v>
      </c>
      <c r="S368" s="42">
        <v>977.06</v>
      </c>
      <c r="T368" s="43">
        <v>139.58000000000001</v>
      </c>
    </row>
    <row r="369" spans="1:20" x14ac:dyDescent="0.35">
      <c r="A369" s="44">
        <v>45463</v>
      </c>
      <c r="B369" s="9" t="s">
        <v>598</v>
      </c>
      <c r="C369" s="9" t="s">
        <v>71</v>
      </c>
      <c r="D369" s="9" t="s">
        <v>33</v>
      </c>
      <c r="E369" s="9" t="s">
        <v>34</v>
      </c>
      <c r="F369" s="9">
        <v>7</v>
      </c>
      <c r="G369" s="10">
        <v>252.42</v>
      </c>
      <c r="H369" s="9" t="s">
        <v>64</v>
      </c>
      <c r="I369" s="9" t="s">
        <v>748</v>
      </c>
      <c r="J369" s="9" t="s">
        <v>26</v>
      </c>
      <c r="K369" s="9" t="s">
        <v>78</v>
      </c>
      <c r="L369" s="9" t="s">
        <v>39</v>
      </c>
      <c r="M369" s="9" t="s">
        <v>56</v>
      </c>
      <c r="N369" s="10">
        <v>315.3</v>
      </c>
      <c r="O369" s="9">
        <v>2024</v>
      </c>
      <c r="P369" s="9">
        <v>6</v>
      </c>
      <c r="Q369" s="9" t="s">
        <v>321</v>
      </c>
      <c r="R369" s="9" t="s">
        <v>217</v>
      </c>
      <c r="S369" s="10">
        <v>315.3</v>
      </c>
      <c r="T369" s="45">
        <v>63.06</v>
      </c>
    </row>
    <row r="370" spans="1:20" x14ac:dyDescent="0.35">
      <c r="A370" s="40">
        <v>45464</v>
      </c>
      <c r="B370" s="41" t="s">
        <v>699</v>
      </c>
      <c r="C370" s="41" t="s">
        <v>71</v>
      </c>
      <c r="D370" s="41" t="s">
        <v>33</v>
      </c>
      <c r="E370" s="41" t="s">
        <v>34</v>
      </c>
      <c r="F370" s="41">
        <v>7</v>
      </c>
      <c r="G370" s="42">
        <v>252.82</v>
      </c>
      <c r="H370" s="41" t="s">
        <v>58</v>
      </c>
      <c r="I370" s="41" t="s">
        <v>749</v>
      </c>
      <c r="J370" s="41" t="s">
        <v>37</v>
      </c>
      <c r="K370" s="41" t="s">
        <v>78</v>
      </c>
      <c r="L370" s="41" t="s">
        <v>28</v>
      </c>
      <c r="M370" s="41" t="s">
        <v>61</v>
      </c>
      <c r="N370" s="42">
        <v>938.16</v>
      </c>
      <c r="O370" s="41">
        <v>2024</v>
      </c>
      <c r="P370" s="41">
        <v>6</v>
      </c>
      <c r="Q370" s="41" t="s">
        <v>321</v>
      </c>
      <c r="R370" s="41" t="s">
        <v>217</v>
      </c>
      <c r="S370" s="42">
        <v>938.16</v>
      </c>
      <c r="T370" s="43">
        <v>234.54</v>
      </c>
    </row>
    <row r="371" spans="1:20" x14ac:dyDescent="0.35">
      <c r="A371" s="44">
        <v>45466</v>
      </c>
      <c r="B371" s="9" t="s">
        <v>558</v>
      </c>
      <c r="C371" s="9" t="s">
        <v>71</v>
      </c>
      <c r="D371" s="9" t="s">
        <v>33</v>
      </c>
      <c r="E371" s="9" t="s">
        <v>34</v>
      </c>
      <c r="F371" s="9">
        <v>7</v>
      </c>
      <c r="G371" s="10">
        <v>253.33</v>
      </c>
      <c r="H371" s="9" t="s">
        <v>35</v>
      </c>
      <c r="I371" s="9" t="s">
        <v>750</v>
      </c>
      <c r="J371" s="9" t="s">
        <v>37</v>
      </c>
      <c r="K371" s="9" t="s">
        <v>78</v>
      </c>
      <c r="L371" s="9" t="s">
        <v>39</v>
      </c>
      <c r="M371" s="9" t="s">
        <v>101</v>
      </c>
      <c r="N371" s="10">
        <v>628.52</v>
      </c>
      <c r="O371" s="9">
        <v>2024</v>
      </c>
      <c r="P371" s="9">
        <v>6</v>
      </c>
      <c r="Q371" s="9" t="s">
        <v>321</v>
      </c>
      <c r="R371" s="9" t="s">
        <v>217</v>
      </c>
      <c r="S371" s="10">
        <v>628.52</v>
      </c>
      <c r="T371" s="45">
        <v>157.13</v>
      </c>
    </row>
    <row r="372" spans="1:20" x14ac:dyDescent="0.35">
      <c r="A372" s="40">
        <v>45470</v>
      </c>
      <c r="B372" s="41" t="s">
        <v>751</v>
      </c>
      <c r="C372" s="41" t="s">
        <v>71</v>
      </c>
      <c r="D372" s="41" t="s">
        <v>33</v>
      </c>
      <c r="E372" s="41" t="s">
        <v>34</v>
      </c>
      <c r="F372" s="41">
        <v>7</v>
      </c>
      <c r="G372" s="42">
        <v>254.52</v>
      </c>
      <c r="H372" s="41" t="s">
        <v>44</v>
      </c>
      <c r="I372" s="41" t="s">
        <v>752</v>
      </c>
      <c r="J372" s="41" t="s">
        <v>37</v>
      </c>
      <c r="K372" s="41" t="s">
        <v>78</v>
      </c>
      <c r="L372" s="41" t="s">
        <v>39</v>
      </c>
      <c r="M372" s="41" t="s">
        <v>56</v>
      </c>
      <c r="N372" s="42">
        <v>1561.44</v>
      </c>
      <c r="O372" s="41">
        <v>2024</v>
      </c>
      <c r="P372" s="41">
        <v>6</v>
      </c>
      <c r="Q372" s="41" t="s">
        <v>321</v>
      </c>
      <c r="R372" s="41" t="s">
        <v>217</v>
      </c>
      <c r="S372" s="42">
        <v>1561.44</v>
      </c>
      <c r="T372" s="43">
        <v>390.36</v>
      </c>
    </row>
    <row r="373" spans="1:20" x14ac:dyDescent="0.35">
      <c r="A373" s="44">
        <v>45470</v>
      </c>
      <c r="B373" s="9" t="s">
        <v>753</v>
      </c>
      <c r="C373" s="9" t="s">
        <v>71</v>
      </c>
      <c r="D373" s="9" t="s">
        <v>33</v>
      </c>
      <c r="E373" s="9" t="s">
        <v>34</v>
      </c>
      <c r="F373" s="9">
        <v>7</v>
      </c>
      <c r="G373" s="10">
        <v>254.62</v>
      </c>
      <c r="H373" s="9" t="s">
        <v>64</v>
      </c>
      <c r="I373" s="9" t="s">
        <v>754</v>
      </c>
      <c r="J373" s="9" t="s">
        <v>37</v>
      </c>
      <c r="K373" s="9" t="s">
        <v>78</v>
      </c>
      <c r="L373" s="9" t="s">
        <v>39</v>
      </c>
      <c r="M373" s="9" t="s">
        <v>56</v>
      </c>
      <c r="N373" s="10">
        <v>1245.24</v>
      </c>
      <c r="O373" s="9">
        <v>2024</v>
      </c>
      <c r="P373" s="9">
        <v>6</v>
      </c>
      <c r="Q373" s="9" t="s">
        <v>321</v>
      </c>
      <c r="R373" s="9" t="s">
        <v>217</v>
      </c>
      <c r="S373" s="10">
        <v>1245.24</v>
      </c>
      <c r="T373" s="45">
        <v>311.31</v>
      </c>
    </row>
    <row r="374" spans="1:20" x14ac:dyDescent="0.35">
      <c r="A374" s="40">
        <v>45471</v>
      </c>
      <c r="B374" s="41" t="s">
        <v>454</v>
      </c>
      <c r="C374" s="41" t="s">
        <v>71</v>
      </c>
      <c r="D374" s="41" t="s">
        <v>33</v>
      </c>
      <c r="E374" s="41" t="s">
        <v>34</v>
      </c>
      <c r="F374" s="41">
        <v>7</v>
      </c>
      <c r="G374" s="42">
        <v>254.72</v>
      </c>
      <c r="H374" s="41" t="s">
        <v>44</v>
      </c>
      <c r="I374" s="41" t="s">
        <v>755</v>
      </c>
      <c r="J374" s="41" t="s">
        <v>37</v>
      </c>
      <c r="K374" s="41" t="s">
        <v>78</v>
      </c>
      <c r="L374" s="41" t="s">
        <v>66</v>
      </c>
      <c r="M374" s="41" t="s">
        <v>61</v>
      </c>
      <c r="N374" s="42">
        <v>899.12</v>
      </c>
      <c r="O374" s="41">
        <v>2024</v>
      </c>
      <c r="P374" s="41">
        <v>6</v>
      </c>
      <c r="Q374" s="41" t="s">
        <v>321</v>
      </c>
      <c r="R374" s="41" t="s">
        <v>217</v>
      </c>
      <c r="S374" s="42">
        <v>899.12</v>
      </c>
      <c r="T374" s="43">
        <v>112.39</v>
      </c>
    </row>
    <row r="375" spans="1:20" x14ac:dyDescent="0.35">
      <c r="A375" s="44">
        <v>45472</v>
      </c>
      <c r="B375" s="9" t="s">
        <v>91</v>
      </c>
      <c r="C375" s="9" t="s">
        <v>71</v>
      </c>
      <c r="D375" s="9" t="s">
        <v>33</v>
      </c>
      <c r="E375" s="9" t="s">
        <v>34</v>
      </c>
      <c r="F375" s="9">
        <v>7</v>
      </c>
      <c r="G375" s="10">
        <v>254.76</v>
      </c>
      <c r="H375" s="9" t="s">
        <v>35</v>
      </c>
      <c r="I375" s="9" t="s">
        <v>756</v>
      </c>
      <c r="J375" s="9" t="s">
        <v>37</v>
      </c>
      <c r="K375" s="9" t="s">
        <v>78</v>
      </c>
      <c r="L375" s="9" t="s">
        <v>39</v>
      </c>
      <c r="M375" s="9" t="s">
        <v>79</v>
      </c>
      <c r="N375" s="10">
        <v>1146.5999999999999</v>
      </c>
      <c r="O375" s="9">
        <v>2024</v>
      </c>
      <c r="P375" s="9">
        <v>6</v>
      </c>
      <c r="Q375" s="9" t="s">
        <v>321</v>
      </c>
      <c r="R375" s="9" t="s">
        <v>217</v>
      </c>
      <c r="S375" s="10">
        <v>1146.5999999999999</v>
      </c>
      <c r="T375" s="45">
        <v>127.4</v>
      </c>
    </row>
    <row r="376" spans="1:20" x14ac:dyDescent="0.35">
      <c r="A376" s="40">
        <v>45474</v>
      </c>
      <c r="B376" s="41" t="s">
        <v>757</v>
      </c>
      <c r="C376" s="41" t="s">
        <v>71</v>
      </c>
      <c r="D376" s="41" t="s">
        <v>33</v>
      </c>
      <c r="E376" s="41" t="s">
        <v>34</v>
      </c>
      <c r="F376" s="41">
        <v>7</v>
      </c>
      <c r="G376" s="42">
        <v>254.89</v>
      </c>
      <c r="H376" s="41" t="s">
        <v>35</v>
      </c>
      <c r="I376" s="41" t="s">
        <v>758</v>
      </c>
      <c r="J376" s="41" t="s">
        <v>37</v>
      </c>
      <c r="K376" s="41" t="s">
        <v>78</v>
      </c>
      <c r="L376" s="41" t="s">
        <v>39</v>
      </c>
      <c r="M376" s="41" t="s">
        <v>29</v>
      </c>
      <c r="N376" s="42">
        <v>36.85</v>
      </c>
      <c r="O376" s="41">
        <v>2024</v>
      </c>
      <c r="P376" s="41">
        <v>7</v>
      </c>
      <c r="Q376" s="41" t="s">
        <v>366</v>
      </c>
      <c r="R376" s="41" t="s">
        <v>367</v>
      </c>
      <c r="S376" s="42">
        <v>36.85</v>
      </c>
      <c r="T376" s="43">
        <v>36.85</v>
      </c>
    </row>
    <row r="377" spans="1:20" x14ac:dyDescent="0.35">
      <c r="A377" s="44">
        <v>45475</v>
      </c>
      <c r="B377" s="9" t="s">
        <v>759</v>
      </c>
      <c r="C377" s="9" t="s">
        <v>71</v>
      </c>
      <c r="D377" s="9" t="s">
        <v>33</v>
      </c>
      <c r="E377" s="9" t="s">
        <v>34</v>
      </c>
      <c r="F377" s="9">
        <v>7</v>
      </c>
      <c r="G377" s="10">
        <v>254.98</v>
      </c>
      <c r="H377" s="9" t="s">
        <v>44</v>
      </c>
      <c r="I377" s="9" t="s">
        <v>760</v>
      </c>
      <c r="J377" s="9" t="s">
        <v>37</v>
      </c>
      <c r="K377" s="9" t="s">
        <v>78</v>
      </c>
      <c r="L377" s="9" t="s">
        <v>28</v>
      </c>
      <c r="M377" s="9" t="s">
        <v>49</v>
      </c>
      <c r="N377" s="10">
        <v>259.92</v>
      </c>
      <c r="O377" s="9">
        <v>2024</v>
      </c>
      <c r="P377" s="9">
        <v>7</v>
      </c>
      <c r="Q377" s="9" t="s">
        <v>366</v>
      </c>
      <c r="R377" s="9" t="s">
        <v>367</v>
      </c>
      <c r="S377" s="10">
        <v>259.92</v>
      </c>
      <c r="T377" s="45">
        <v>86.64</v>
      </c>
    </row>
    <row r="378" spans="1:20" x14ac:dyDescent="0.35">
      <c r="A378" s="40">
        <v>45475</v>
      </c>
      <c r="B378" s="41" t="s">
        <v>761</v>
      </c>
      <c r="C378" s="41" t="s">
        <v>71</v>
      </c>
      <c r="D378" s="41" t="s">
        <v>33</v>
      </c>
      <c r="E378" s="41" t="s">
        <v>34</v>
      </c>
      <c r="F378" s="41">
        <v>7</v>
      </c>
      <c r="G378" s="42">
        <v>255.33</v>
      </c>
      <c r="H378" s="41" t="s">
        <v>24</v>
      </c>
      <c r="I378" s="41" t="s">
        <v>762</v>
      </c>
      <c r="J378" s="41" t="s">
        <v>37</v>
      </c>
      <c r="K378" s="41" t="s">
        <v>78</v>
      </c>
      <c r="L378" s="41" t="s">
        <v>66</v>
      </c>
      <c r="M378" s="41" t="s">
        <v>49</v>
      </c>
      <c r="N378" s="42">
        <v>2515.0300000000002</v>
      </c>
      <c r="O378" s="41">
        <v>2024</v>
      </c>
      <c r="P378" s="41">
        <v>7</v>
      </c>
      <c r="Q378" s="41" t="s">
        <v>366</v>
      </c>
      <c r="R378" s="41" t="s">
        <v>367</v>
      </c>
      <c r="S378" s="42">
        <v>2515.0300000000002</v>
      </c>
      <c r="T378" s="43">
        <v>359.29</v>
      </c>
    </row>
    <row r="379" spans="1:20" x14ac:dyDescent="0.35">
      <c r="A379" s="44">
        <v>45476</v>
      </c>
      <c r="B379" s="9" t="s">
        <v>763</v>
      </c>
      <c r="C379" s="9" t="s">
        <v>71</v>
      </c>
      <c r="D379" s="9" t="s">
        <v>33</v>
      </c>
      <c r="E379" s="9" t="s">
        <v>34</v>
      </c>
      <c r="F379" s="9">
        <v>7</v>
      </c>
      <c r="G379" s="10">
        <v>256.29000000000002</v>
      </c>
      <c r="H379" s="9" t="s">
        <v>35</v>
      </c>
      <c r="I379" s="9" t="s">
        <v>764</v>
      </c>
      <c r="J379" s="9" t="s">
        <v>37</v>
      </c>
      <c r="K379" s="9" t="s">
        <v>78</v>
      </c>
      <c r="L379" s="9" t="s">
        <v>66</v>
      </c>
      <c r="M379" s="9" t="s">
        <v>67</v>
      </c>
      <c r="N379" s="10">
        <v>365</v>
      </c>
      <c r="O379" s="9">
        <v>2024</v>
      </c>
      <c r="P379" s="9">
        <v>7</v>
      </c>
      <c r="Q379" s="9" t="s">
        <v>366</v>
      </c>
      <c r="R379" s="9" t="s">
        <v>367</v>
      </c>
      <c r="S379" s="10">
        <v>365</v>
      </c>
      <c r="T379" s="45">
        <v>73</v>
      </c>
    </row>
    <row r="380" spans="1:20" x14ac:dyDescent="0.35">
      <c r="A380" s="40">
        <v>45476</v>
      </c>
      <c r="B380" s="41" t="s">
        <v>765</v>
      </c>
      <c r="C380" s="41" t="s">
        <v>71</v>
      </c>
      <c r="D380" s="41" t="s">
        <v>33</v>
      </c>
      <c r="E380" s="41" t="s">
        <v>34</v>
      </c>
      <c r="F380" s="41">
        <v>7</v>
      </c>
      <c r="G380" s="42">
        <v>256.49</v>
      </c>
      <c r="H380" s="41" t="s">
        <v>58</v>
      </c>
      <c r="I380" s="41" t="s">
        <v>766</v>
      </c>
      <c r="J380" s="41" t="s">
        <v>37</v>
      </c>
      <c r="K380" s="41" t="s">
        <v>78</v>
      </c>
      <c r="L380" s="41" t="s">
        <v>28</v>
      </c>
      <c r="M380" s="41" t="s">
        <v>67</v>
      </c>
      <c r="N380" s="42">
        <v>982.73</v>
      </c>
      <c r="O380" s="41">
        <v>2024</v>
      </c>
      <c r="P380" s="41">
        <v>7</v>
      </c>
      <c r="Q380" s="41" t="s">
        <v>366</v>
      </c>
      <c r="R380" s="41" t="s">
        <v>367</v>
      </c>
      <c r="S380" s="42">
        <v>982.73</v>
      </c>
      <c r="T380" s="43">
        <v>140.38999999999999</v>
      </c>
    </row>
    <row r="381" spans="1:20" x14ac:dyDescent="0.35">
      <c r="A381" s="44">
        <v>45477</v>
      </c>
      <c r="B381" s="9" t="s">
        <v>607</v>
      </c>
      <c r="C381" s="9" t="s">
        <v>71</v>
      </c>
      <c r="D381" s="9" t="s">
        <v>33</v>
      </c>
      <c r="E381" s="9" t="s">
        <v>34</v>
      </c>
      <c r="F381" s="9">
        <v>7</v>
      </c>
      <c r="G381" s="10">
        <v>256.69</v>
      </c>
      <c r="H381" s="9" t="s">
        <v>44</v>
      </c>
      <c r="I381" s="9" t="s">
        <v>767</v>
      </c>
      <c r="J381" s="9" t="s">
        <v>37</v>
      </c>
      <c r="K381" s="9" t="s">
        <v>78</v>
      </c>
      <c r="L381" s="9" t="s">
        <v>66</v>
      </c>
      <c r="M381" s="9" t="s">
        <v>56</v>
      </c>
      <c r="N381" s="10">
        <v>1362.2</v>
      </c>
      <c r="O381" s="9">
        <v>2024</v>
      </c>
      <c r="P381" s="9">
        <v>7</v>
      </c>
      <c r="Q381" s="9" t="s">
        <v>366</v>
      </c>
      <c r="R381" s="9" t="s">
        <v>367</v>
      </c>
      <c r="S381" s="10">
        <v>1362.2</v>
      </c>
      <c r="T381" s="45">
        <v>340.55</v>
      </c>
    </row>
    <row r="382" spans="1:20" x14ac:dyDescent="0.35">
      <c r="A382" s="40">
        <v>45477</v>
      </c>
      <c r="B382" s="41" t="s">
        <v>768</v>
      </c>
      <c r="C382" s="41" t="s">
        <v>71</v>
      </c>
      <c r="D382" s="41" t="s">
        <v>33</v>
      </c>
      <c r="E382" s="41" t="s">
        <v>34</v>
      </c>
      <c r="F382" s="41">
        <v>7</v>
      </c>
      <c r="G382" s="42">
        <v>257.19</v>
      </c>
      <c r="H382" s="41" t="s">
        <v>58</v>
      </c>
      <c r="I382" s="41" t="s">
        <v>769</v>
      </c>
      <c r="J382" s="41" t="s">
        <v>37</v>
      </c>
      <c r="K382" s="41" t="s">
        <v>78</v>
      </c>
      <c r="L382" s="41" t="s">
        <v>39</v>
      </c>
      <c r="M382" s="41" t="s">
        <v>56</v>
      </c>
      <c r="N382" s="42">
        <v>2390.4</v>
      </c>
      <c r="O382" s="41">
        <v>2024</v>
      </c>
      <c r="P382" s="41">
        <v>7</v>
      </c>
      <c r="Q382" s="41" t="s">
        <v>366</v>
      </c>
      <c r="R382" s="41" t="s">
        <v>367</v>
      </c>
      <c r="S382" s="42">
        <v>2390.4</v>
      </c>
      <c r="T382" s="43">
        <v>298.8</v>
      </c>
    </row>
    <row r="383" spans="1:20" x14ac:dyDescent="0.35">
      <c r="A383" s="44">
        <v>45479</v>
      </c>
      <c r="B383" s="9" t="s">
        <v>770</v>
      </c>
      <c r="C383" s="9" t="s">
        <v>71</v>
      </c>
      <c r="D383" s="9" t="s">
        <v>33</v>
      </c>
      <c r="E383" s="9" t="s">
        <v>34</v>
      </c>
      <c r="F383" s="9">
        <v>7</v>
      </c>
      <c r="G383" s="10">
        <v>258.27</v>
      </c>
      <c r="H383" s="9" t="s">
        <v>44</v>
      </c>
      <c r="I383" s="9" t="s">
        <v>771</v>
      </c>
      <c r="J383" s="9" t="s">
        <v>37</v>
      </c>
      <c r="K383" s="9" t="s">
        <v>78</v>
      </c>
      <c r="L383" s="9" t="s">
        <v>39</v>
      </c>
      <c r="M383" s="9" t="s">
        <v>79</v>
      </c>
      <c r="N383" s="10">
        <v>370.72</v>
      </c>
      <c r="O383" s="9">
        <v>2024</v>
      </c>
      <c r="P383" s="9">
        <v>7</v>
      </c>
      <c r="Q383" s="9" t="s">
        <v>366</v>
      </c>
      <c r="R383" s="9" t="s">
        <v>367</v>
      </c>
      <c r="S383" s="10">
        <v>370.72</v>
      </c>
      <c r="T383" s="45">
        <v>92.68</v>
      </c>
    </row>
    <row r="384" spans="1:20" x14ac:dyDescent="0.35">
      <c r="A384" s="40">
        <v>45481</v>
      </c>
      <c r="B384" s="41" t="s">
        <v>189</v>
      </c>
      <c r="C384" s="41" t="s">
        <v>71</v>
      </c>
      <c r="D384" s="41" t="s">
        <v>33</v>
      </c>
      <c r="E384" s="41" t="s">
        <v>34</v>
      </c>
      <c r="F384" s="41">
        <v>7</v>
      </c>
      <c r="G384" s="42">
        <v>258.69</v>
      </c>
      <c r="H384" s="41" t="s">
        <v>64</v>
      </c>
      <c r="I384" s="41" t="s">
        <v>772</v>
      </c>
      <c r="J384" s="41" t="s">
        <v>37</v>
      </c>
      <c r="K384" s="41" t="s">
        <v>78</v>
      </c>
      <c r="L384" s="41" t="s">
        <v>39</v>
      </c>
      <c r="M384" s="41" t="s">
        <v>29</v>
      </c>
      <c r="N384" s="42">
        <v>1072.6400000000001</v>
      </c>
      <c r="O384" s="41">
        <v>2024</v>
      </c>
      <c r="P384" s="41">
        <v>7</v>
      </c>
      <c r="Q384" s="41" t="s">
        <v>366</v>
      </c>
      <c r="R384" s="41" t="s">
        <v>367</v>
      </c>
      <c r="S384" s="42">
        <v>1072.6400000000001</v>
      </c>
      <c r="T384" s="43">
        <v>268.16000000000003</v>
      </c>
    </row>
    <row r="385" spans="1:20" x14ac:dyDescent="0.35">
      <c r="A385" s="44">
        <v>45483</v>
      </c>
      <c r="B385" s="9" t="s">
        <v>524</v>
      </c>
      <c r="C385" s="9" t="s">
        <v>71</v>
      </c>
      <c r="D385" s="9" t="s">
        <v>33</v>
      </c>
      <c r="E385" s="9" t="s">
        <v>34</v>
      </c>
      <c r="F385" s="9">
        <v>7</v>
      </c>
      <c r="G385" s="10">
        <v>258.74</v>
      </c>
      <c r="H385" s="9" t="s">
        <v>35</v>
      </c>
      <c r="I385" s="9" t="s">
        <v>773</v>
      </c>
      <c r="J385" s="9" t="s">
        <v>37</v>
      </c>
      <c r="K385" s="9" t="s">
        <v>78</v>
      </c>
      <c r="L385" s="9" t="s">
        <v>28</v>
      </c>
      <c r="M385" s="9" t="s">
        <v>67</v>
      </c>
      <c r="N385" s="10">
        <v>3170.07</v>
      </c>
      <c r="O385" s="9">
        <v>2024</v>
      </c>
      <c r="P385" s="9">
        <v>7</v>
      </c>
      <c r="Q385" s="9" t="s">
        <v>366</v>
      </c>
      <c r="R385" s="9" t="s">
        <v>367</v>
      </c>
      <c r="S385" s="10">
        <v>3170.07</v>
      </c>
      <c r="T385" s="45">
        <v>352.23</v>
      </c>
    </row>
    <row r="386" spans="1:20" x14ac:dyDescent="0.35">
      <c r="A386" s="40">
        <v>45487</v>
      </c>
      <c r="B386" s="41" t="s">
        <v>222</v>
      </c>
      <c r="C386" s="41" t="s">
        <v>71</v>
      </c>
      <c r="D386" s="41" t="s">
        <v>33</v>
      </c>
      <c r="E386" s="41" t="s">
        <v>34</v>
      </c>
      <c r="F386" s="41">
        <v>7</v>
      </c>
      <c r="G386" s="42">
        <v>261.76</v>
      </c>
      <c r="H386" s="41" t="s">
        <v>24</v>
      </c>
      <c r="I386" s="41" t="s">
        <v>774</v>
      </c>
      <c r="J386" s="41" t="s">
        <v>37</v>
      </c>
      <c r="K386" s="41" t="s">
        <v>78</v>
      </c>
      <c r="L386" s="41" t="s">
        <v>28</v>
      </c>
      <c r="M386" s="41" t="s">
        <v>101</v>
      </c>
      <c r="N386" s="42">
        <v>621.99</v>
      </c>
      <c r="O386" s="41">
        <v>2024</v>
      </c>
      <c r="P386" s="41">
        <v>7</v>
      </c>
      <c r="Q386" s="41" t="s">
        <v>366</v>
      </c>
      <c r="R386" s="41" t="s">
        <v>367</v>
      </c>
      <c r="S386" s="42">
        <v>621.99</v>
      </c>
      <c r="T386" s="43">
        <v>207.33</v>
      </c>
    </row>
    <row r="387" spans="1:20" x14ac:dyDescent="0.35">
      <c r="A387" s="44">
        <v>45487</v>
      </c>
      <c r="B387" s="9" t="s">
        <v>775</v>
      </c>
      <c r="C387" s="9" t="s">
        <v>71</v>
      </c>
      <c r="D387" s="9" t="s">
        <v>33</v>
      </c>
      <c r="E387" s="9" t="s">
        <v>34</v>
      </c>
      <c r="F387" s="9">
        <v>7</v>
      </c>
      <c r="G387" s="10">
        <v>261.86</v>
      </c>
      <c r="H387" s="9" t="s">
        <v>24</v>
      </c>
      <c r="I387" s="9" t="s">
        <v>776</v>
      </c>
      <c r="J387" s="9" t="s">
        <v>37</v>
      </c>
      <c r="K387" s="9" t="s">
        <v>78</v>
      </c>
      <c r="L387" s="9" t="s">
        <v>39</v>
      </c>
      <c r="M387" s="9" t="s">
        <v>101</v>
      </c>
      <c r="N387" s="10">
        <v>1036.98</v>
      </c>
      <c r="O387" s="9">
        <v>2024</v>
      </c>
      <c r="P387" s="9">
        <v>7</v>
      </c>
      <c r="Q387" s="9" t="s">
        <v>366</v>
      </c>
      <c r="R387" s="9" t="s">
        <v>367</v>
      </c>
      <c r="S387" s="10">
        <v>1036.98</v>
      </c>
      <c r="T387" s="45">
        <v>148.13999999999999</v>
      </c>
    </row>
    <row r="388" spans="1:20" x14ac:dyDescent="0.35">
      <c r="A388" s="40">
        <v>45490</v>
      </c>
      <c r="B388" s="41" t="s">
        <v>153</v>
      </c>
      <c r="C388" s="41" t="s">
        <v>71</v>
      </c>
      <c r="D388" s="41" t="s">
        <v>33</v>
      </c>
      <c r="E388" s="41" t="s">
        <v>34</v>
      </c>
      <c r="F388" s="41">
        <v>7</v>
      </c>
      <c r="G388" s="42">
        <v>261.88</v>
      </c>
      <c r="H388" s="41" t="s">
        <v>35</v>
      </c>
      <c r="I388" s="41" t="s">
        <v>777</v>
      </c>
      <c r="J388" s="41" t="s">
        <v>37</v>
      </c>
      <c r="K388" s="41" t="s">
        <v>78</v>
      </c>
      <c r="L388" s="41" t="s">
        <v>39</v>
      </c>
      <c r="M388" s="41" t="s">
        <v>67</v>
      </c>
      <c r="N388" s="42">
        <v>885.33</v>
      </c>
      <c r="O388" s="41">
        <v>2024</v>
      </c>
      <c r="P388" s="41">
        <v>7</v>
      </c>
      <c r="Q388" s="41" t="s">
        <v>366</v>
      </c>
      <c r="R388" s="41" t="s">
        <v>367</v>
      </c>
      <c r="S388" s="42">
        <v>885.33</v>
      </c>
      <c r="T388" s="43">
        <v>295.11</v>
      </c>
    </row>
    <row r="389" spans="1:20" x14ac:dyDescent="0.35">
      <c r="A389" s="44">
        <v>45492</v>
      </c>
      <c r="B389" s="9" t="s">
        <v>778</v>
      </c>
      <c r="C389" s="9" t="s">
        <v>71</v>
      </c>
      <c r="D389" s="9" t="s">
        <v>33</v>
      </c>
      <c r="E389" s="9" t="s">
        <v>34</v>
      </c>
      <c r="F389" s="9">
        <v>7</v>
      </c>
      <c r="G389" s="10">
        <v>263.81</v>
      </c>
      <c r="H389" s="9" t="s">
        <v>24</v>
      </c>
      <c r="I389" s="9" t="s">
        <v>779</v>
      </c>
      <c r="J389" s="9" t="s">
        <v>37</v>
      </c>
      <c r="K389" s="9" t="s">
        <v>78</v>
      </c>
      <c r="L389" s="9" t="s">
        <v>39</v>
      </c>
      <c r="M389" s="9" t="s">
        <v>61</v>
      </c>
      <c r="N389" s="10">
        <v>765.36</v>
      </c>
      <c r="O389" s="9">
        <v>2024</v>
      </c>
      <c r="P389" s="9">
        <v>7</v>
      </c>
      <c r="Q389" s="9" t="s">
        <v>366</v>
      </c>
      <c r="R389" s="9" t="s">
        <v>367</v>
      </c>
      <c r="S389" s="10">
        <v>765.36</v>
      </c>
      <c r="T389" s="45">
        <v>85.04</v>
      </c>
    </row>
    <row r="390" spans="1:20" x14ac:dyDescent="0.35">
      <c r="A390" s="40">
        <v>45492</v>
      </c>
      <c r="B390" s="41" t="s">
        <v>780</v>
      </c>
      <c r="C390" s="41" t="s">
        <v>71</v>
      </c>
      <c r="D390" s="41" t="s">
        <v>33</v>
      </c>
      <c r="E390" s="41" t="s">
        <v>34</v>
      </c>
      <c r="F390" s="41">
        <v>7</v>
      </c>
      <c r="G390" s="42">
        <v>266.69</v>
      </c>
      <c r="H390" s="41" t="s">
        <v>44</v>
      </c>
      <c r="I390" s="41" t="s">
        <v>781</v>
      </c>
      <c r="J390" s="41" t="s">
        <v>37</v>
      </c>
      <c r="K390" s="41" t="s">
        <v>78</v>
      </c>
      <c r="L390" s="41" t="s">
        <v>39</v>
      </c>
      <c r="M390" s="41" t="s">
        <v>61</v>
      </c>
      <c r="N390" s="42">
        <v>160.26</v>
      </c>
      <c r="O390" s="41">
        <v>2024</v>
      </c>
      <c r="P390" s="41">
        <v>7</v>
      </c>
      <c r="Q390" s="41" t="s">
        <v>366</v>
      </c>
      <c r="R390" s="41" t="s">
        <v>367</v>
      </c>
      <c r="S390" s="42">
        <v>160.26</v>
      </c>
      <c r="T390" s="43">
        <v>160.26</v>
      </c>
    </row>
    <row r="391" spans="1:20" x14ac:dyDescent="0.35">
      <c r="A391" s="44">
        <v>45494</v>
      </c>
      <c r="B391" s="9" t="s">
        <v>782</v>
      </c>
      <c r="C391" s="9" t="s">
        <v>71</v>
      </c>
      <c r="D391" s="9" t="s">
        <v>33</v>
      </c>
      <c r="E391" s="9" t="s">
        <v>34</v>
      </c>
      <c r="F391" s="9">
        <v>7</v>
      </c>
      <c r="G391" s="10">
        <v>267.06</v>
      </c>
      <c r="H391" s="9" t="s">
        <v>24</v>
      </c>
      <c r="I391" s="9" t="s">
        <v>783</v>
      </c>
      <c r="J391" s="9" t="s">
        <v>37</v>
      </c>
      <c r="K391" s="9" t="s">
        <v>78</v>
      </c>
      <c r="L391" s="9" t="s">
        <v>39</v>
      </c>
      <c r="M391" s="9" t="s">
        <v>101</v>
      </c>
      <c r="N391" s="10">
        <v>409.17</v>
      </c>
      <c r="O391" s="9">
        <v>2024</v>
      </c>
      <c r="P391" s="9">
        <v>7</v>
      </c>
      <c r="Q391" s="9" t="s">
        <v>366</v>
      </c>
      <c r="R391" s="9" t="s">
        <v>367</v>
      </c>
      <c r="S391" s="10">
        <v>409.17</v>
      </c>
      <c r="T391" s="45">
        <v>136.38999999999999</v>
      </c>
    </row>
    <row r="392" spans="1:20" x14ac:dyDescent="0.35">
      <c r="A392" s="40">
        <v>45495</v>
      </c>
      <c r="B392" s="41" t="s">
        <v>784</v>
      </c>
      <c r="C392" s="41" t="s">
        <v>71</v>
      </c>
      <c r="D392" s="41" t="s">
        <v>33</v>
      </c>
      <c r="E392" s="41" t="s">
        <v>34</v>
      </c>
      <c r="F392" s="41">
        <v>7</v>
      </c>
      <c r="G392" s="42">
        <v>267.22000000000003</v>
      </c>
      <c r="H392" s="41" t="s">
        <v>64</v>
      </c>
      <c r="I392" s="41" t="s">
        <v>785</v>
      </c>
      <c r="J392" s="41" t="s">
        <v>37</v>
      </c>
      <c r="K392" s="41" t="s">
        <v>78</v>
      </c>
      <c r="L392" s="41" t="s">
        <v>28</v>
      </c>
      <c r="M392" s="41" t="s">
        <v>29</v>
      </c>
      <c r="N392" s="42">
        <v>322.86</v>
      </c>
      <c r="O392" s="41">
        <v>2024</v>
      </c>
      <c r="P392" s="41">
        <v>7</v>
      </c>
      <c r="Q392" s="41" t="s">
        <v>366</v>
      </c>
      <c r="R392" s="41" t="s">
        <v>367</v>
      </c>
      <c r="S392" s="42">
        <v>322.86</v>
      </c>
      <c r="T392" s="43">
        <v>161.43</v>
      </c>
    </row>
    <row r="393" spans="1:20" x14ac:dyDescent="0.35">
      <c r="A393" s="44">
        <v>45496</v>
      </c>
      <c r="B393" s="9" t="s">
        <v>786</v>
      </c>
      <c r="C393" s="9" t="s">
        <v>71</v>
      </c>
      <c r="D393" s="9" t="s">
        <v>33</v>
      </c>
      <c r="E393" s="9" t="s">
        <v>34</v>
      </c>
      <c r="F393" s="9">
        <v>7</v>
      </c>
      <c r="G393" s="10">
        <v>267.88</v>
      </c>
      <c r="H393" s="9" t="s">
        <v>58</v>
      </c>
      <c r="I393" s="9" t="s">
        <v>787</v>
      </c>
      <c r="J393" s="9" t="s">
        <v>37</v>
      </c>
      <c r="K393" s="9" t="s">
        <v>78</v>
      </c>
      <c r="L393" s="9" t="s">
        <v>39</v>
      </c>
      <c r="M393" s="9" t="s">
        <v>49</v>
      </c>
      <c r="N393" s="10">
        <v>884.1</v>
      </c>
      <c r="O393" s="9">
        <v>2024</v>
      </c>
      <c r="P393" s="9">
        <v>7</v>
      </c>
      <c r="Q393" s="9" t="s">
        <v>366</v>
      </c>
      <c r="R393" s="9" t="s">
        <v>367</v>
      </c>
      <c r="S393" s="10">
        <v>884.1</v>
      </c>
      <c r="T393" s="45">
        <v>294.7</v>
      </c>
    </row>
    <row r="394" spans="1:20" x14ac:dyDescent="0.35">
      <c r="A394" s="40">
        <v>45497</v>
      </c>
      <c r="B394" s="41" t="s">
        <v>788</v>
      </c>
      <c r="C394" s="41" t="s">
        <v>71</v>
      </c>
      <c r="D394" s="41" t="s">
        <v>33</v>
      </c>
      <c r="E394" s="41" t="s">
        <v>34</v>
      </c>
      <c r="F394" s="41">
        <v>7</v>
      </c>
      <c r="G394" s="42">
        <v>268.16000000000003</v>
      </c>
      <c r="H394" s="41" t="s">
        <v>35</v>
      </c>
      <c r="I394" s="41" t="s">
        <v>789</v>
      </c>
      <c r="J394" s="41" t="s">
        <v>37</v>
      </c>
      <c r="K394" s="41" t="s">
        <v>78</v>
      </c>
      <c r="L394" s="41" t="s">
        <v>39</v>
      </c>
      <c r="M394" s="41" t="s">
        <v>67</v>
      </c>
      <c r="N394" s="42">
        <v>988.5</v>
      </c>
      <c r="O394" s="41">
        <v>2024</v>
      </c>
      <c r="P394" s="41">
        <v>7</v>
      </c>
      <c r="Q394" s="41" t="s">
        <v>366</v>
      </c>
      <c r="R394" s="41" t="s">
        <v>367</v>
      </c>
      <c r="S394" s="42">
        <v>988.5</v>
      </c>
      <c r="T394" s="43">
        <v>164.75</v>
      </c>
    </row>
    <row r="395" spans="1:20" x14ac:dyDescent="0.35">
      <c r="A395" s="44">
        <v>45498</v>
      </c>
      <c r="B395" s="9" t="s">
        <v>644</v>
      </c>
      <c r="C395" s="9" t="s">
        <v>71</v>
      </c>
      <c r="D395" s="9" t="s">
        <v>33</v>
      </c>
      <c r="E395" s="9" t="s">
        <v>34</v>
      </c>
      <c r="F395" s="9">
        <v>7</v>
      </c>
      <c r="G395" s="10">
        <v>268.58</v>
      </c>
      <c r="H395" s="9" t="s">
        <v>24</v>
      </c>
      <c r="I395" s="9" t="s">
        <v>790</v>
      </c>
      <c r="J395" s="9" t="s">
        <v>37</v>
      </c>
      <c r="K395" s="9" t="s">
        <v>78</v>
      </c>
      <c r="L395" s="9" t="s">
        <v>28</v>
      </c>
      <c r="M395" s="9" t="s">
        <v>56</v>
      </c>
      <c r="N395" s="10">
        <v>607.04999999999995</v>
      </c>
      <c r="O395" s="9">
        <v>2024</v>
      </c>
      <c r="P395" s="9">
        <v>7</v>
      </c>
      <c r="Q395" s="9" t="s">
        <v>366</v>
      </c>
      <c r="R395" s="9" t="s">
        <v>367</v>
      </c>
      <c r="S395" s="10">
        <v>607.04999999999995</v>
      </c>
      <c r="T395" s="45">
        <v>202.35</v>
      </c>
    </row>
    <row r="396" spans="1:20" x14ac:dyDescent="0.35">
      <c r="A396" s="40">
        <v>45499</v>
      </c>
      <c r="B396" s="41" t="s">
        <v>791</v>
      </c>
      <c r="C396" s="41" t="s">
        <v>21</v>
      </c>
      <c r="D396" s="41" t="s">
        <v>33</v>
      </c>
      <c r="E396" s="41" t="s">
        <v>34</v>
      </c>
      <c r="F396" s="41">
        <v>7</v>
      </c>
      <c r="G396" s="42">
        <v>269.37</v>
      </c>
      <c r="H396" s="41" t="s">
        <v>44</v>
      </c>
      <c r="I396" s="41" t="s">
        <v>792</v>
      </c>
      <c r="J396" s="41" t="s">
        <v>37</v>
      </c>
      <c r="K396" s="41" t="s">
        <v>78</v>
      </c>
      <c r="L396" s="41" t="s">
        <v>66</v>
      </c>
      <c r="M396" s="41" t="s">
        <v>61</v>
      </c>
      <c r="N396" s="42">
        <v>165.68</v>
      </c>
      <c r="O396" s="41">
        <v>2024</v>
      </c>
      <c r="P396" s="41">
        <v>7</v>
      </c>
      <c r="Q396" s="41" t="s">
        <v>366</v>
      </c>
      <c r="R396" s="41" t="s">
        <v>367</v>
      </c>
      <c r="S396" s="42">
        <v>165.68</v>
      </c>
      <c r="T396" s="43">
        <v>82.84</v>
      </c>
    </row>
    <row r="397" spans="1:20" x14ac:dyDescent="0.35">
      <c r="A397" s="44">
        <v>45499</v>
      </c>
      <c r="B397" s="9" t="s">
        <v>793</v>
      </c>
      <c r="C397" s="9" t="s">
        <v>21</v>
      </c>
      <c r="D397" s="9" t="s">
        <v>33</v>
      </c>
      <c r="E397" s="9" t="s">
        <v>34</v>
      </c>
      <c r="F397" s="9">
        <v>7</v>
      </c>
      <c r="G397" s="10">
        <v>269.43</v>
      </c>
      <c r="H397" s="9" t="s">
        <v>35</v>
      </c>
      <c r="I397" s="9" t="s">
        <v>794</v>
      </c>
      <c r="J397" s="9" t="s">
        <v>37</v>
      </c>
      <c r="K397" s="9" t="s">
        <v>78</v>
      </c>
      <c r="L397" s="9" t="s">
        <v>39</v>
      </c>
      <c r="M397" s="9" t="s">
        <v>61</v>
      </c>
      <c r="N397" s="10">
        <v>768.53</v>
      </c>
      <c r="O397" s="9">
        <v>2024</v>
      </c>
      <c r="P397" s="9">
        <v>7</v>
      </c>
      <c r="Q397" s="9" t="s">
        <v>366</v>
      </c>
      <c r="R397" s="9" t="s">
        <v>367</v>
      </c>
      <c r="S397" s="10">
        <v>768.53</v>
      </c>
      <c r="T397" s="45">
        <v>109.79</v>
      </c>
    </row>
    <row r="398" spans="1:20" x14ac:dyDescent="0.35">
      <c r="A398" s="40">
        <v>45500</v>
      </c>
      <c r="B398" s="41" t="s">
        <v>795</v>
      </c>
      <c r="C398" s="41" t="s">
        <v>21</v>
      </c>
      <c r="D398" s="41" t="s">
        <v>33</v>
      </c>
      <c r="E398" s="41" t="s">
        <v>34</v>
      </c>
      <c r="F398" s="41">
        <v>7</v>
      </c>
      <c r="G398" s="42">
        <v>269.86</v>
      </c>
      <c r="H398" s="41" t="s">
        <v>35</v>
      </c>
      <c r="I398" s="41" t="s">
        <v>796</v>
      </c>
      <c r="J398" s="41" t="s">
        <v>37</v>
      </c>
      <c r="K398" s="41" t="s">
        <v>78</v>
      </c>
      <c r="L398" s="41" t="s">
        <v>28</v>
      </c>
      <c r="M398" s="41" t="s">
        <v>79</v>
      </c>
      <c r="N398" s="42">
        <v>694.53</v>
      </c>
      <c r="O398" s="41">
        <v>2024</v>
      </c>
      <c r="P398" s="41">
        <v>7</v>
      </c>
      <c r="Q398" s="41" t="s">
        <v>366</v>
      </c>
      <c r="R398" s="41" t="s">
        <v>367</v>
      </c>
      <c r="S398" s="42">
        <v>694.53</v>
      </c>
      <c r="T398" s="43">
        <v>77.17</v>
      </c>
    </row>
    <row r="399" spans="1:20" x14ac:dyDescent="0.35">
      <c r="A399" s="44">
        <v>45500</v>
      </c>
      <c r="B399" s="9" t="s">
        <v>797</v>
      </c>
      <c r="C399" s="9" t="s">
        <v>21</v>
      </c>
      <c r="D399" s="9" t="s">
        <v>33</v>
      </c>
      <c r="E399" s="9" t="s">
        <v>34</v>
      </c>
      <c r="F399" s="9">
        <v>7</v>
      </c>
      <c r="G399" s="10">
        <v>270.32</v>
      </c>
      <c r="H399" s="9" t="s">
        <v>44</v>
      </c>
      <c r="I399" s="9" t="s">
        <v>798</v>
      </c>
      <c r="J399" s="9" t="s">
        <v>37</v>
      </c>
      <c r="K399" s="9" t="s">
        <v>78</v>
      </c>
      <c r="L399" s="9" t="s">
        <v>28</v>
      </c>
      <c r="M399" s="9" t="s">
        <v>79</v>
      </c>
      <c r="N399" s="10">
        <v>588.17999999999995</v>
      </c>
      <c r="O399" s="9">
        <v>2024</v>
      </c>
      <c r="P399" s="9">
        <v>7</v>
      </c>
      <c r="Q399" s="9" t="s">
        <v>366</v>
      </c>
      <c r="R399" s="9" t="s">
        <v>367</v>
      </c>
      <c r="S399" s="10">
        <v>588.17999999999995</v>
      </c>
      <c r="T399" s="45">
        <v>98.03</v>
      </c>
    </row>
    <row r="400" spans="1:20" x14ac:dyDescent="0.35">
      <c r="A400" s="40">
        <v>45501</v>
      </c>
      <c r="B400" s="41" t="s">
        <v>540</v>
      </c>
      <c r="C400" s="41" t="s">
        <v>21</v>
      </c>
      <c r="D400" s="41" t="s">
        <v>33</v>
      </c>
      <c r="E400" s="41" t="s">
        <v>34</v>
      </c>
      <c r="F400" s="41">
        <v>7</v>
      </c>
      <c r="G400" s="42">
        <v>271.45</v>
      </c>
      <c r="H400" s="41" t="s">
        <v>35</v>
      </c>
      <c r="I400" s="41" t="s">
        <v>799</v>
      </c>
      <c r="J400" s="41" t="s">
        <v>37</v>
      </c>
      <c r="K400" s="41" t="s">
        <v>78</v>
      </c>
      <c r="L400" s="41" t="s">
        <v>66</v>
      </c>
      <c r="M400" s="41" t="s">
        <v>101</v>
      </c>
      <c r="N400" s="42">
        <v>3027.2</v>
      </c>
      <c r="O400" s="41">
        <v>2024</v>
      </c>
      <c r="P400" s="41">
        <v>7</v>
      </c>
      <c r="Q400" s="41" t="s">
        <v>366</v>
      </c>
      <c r="R400" s="41" t="s">
        <v>367</v>
      </c>
      <c r="S400" s="42">
        <v>3027.2</v>
      </c>
      <c r="T400" s="43">
        <v>302.72000000000003</v>
      </c>
    </row>
    <row r="401" spans="1:20" x14ac:dyDescent="0.35">
      <c r="A401" s="44">
        <v>45502</v>
      </c>
      <c r="B401" s="9" t="s">
        <v>433</v>
      </c>
      <c r="C401" s="9" t="s">
        <v>21</v>
      </c>
      <c r="D401" s="9" t="s">
        <v>33</v>
      </c>
      <c r="E401" s="9" t="s">
        <v>34</v>
      </c>
      <c r="F401" s="9">
        <v>7</v>
      </c>
      <c r="G401" s="10">
        <v>271.89</v>
      </c>
      <c r="H401" s="9" t="s">
        <v>58</v>
      </c>
      <c r="I401" s="9" t="s">
        <v>800</v>
      </c>
      <c r="J401" s="9" t="s">
        <v>37</v>
      </c>
      <c r="K401" s="9" t="s">
        <v>78</v>
      </c>
      <c r="L401" s="9" t="s">
        <v>66</v>
      </c>
      <c r="M401" s="9" t="s">
        <v>29</v>
      </c>
      <c r="N401" s="10">
        <v>213.92</v>
      </c>
      <c r="O401" s="9">
        <v>2024</v>
      </c>
      <c r="P401" s="9">
        <v>7</v>
      </c>
      <c r="Q401" s="9" t="s">
        <v>366</v>
      </c>
      <c r="R401" s="9" t="s">
        <v>367</v>
      </c>
      <c r="S401" s="10">
        <v>213.92</v>
      </c>
      <c r="T401" s="45">
        <v>106.96</v>
      </c>
    </row>
    <row r="402" spans="1:20" x14ac:dyDescent="0.35">
      <c r="A402" s="40">
        <v>45504</v>
      </c>
      <c r="B402" s="41" t="s">
        <v>406</v>
      </c>
      <c r="C402" s="41" t="s">
        <v>21</v>
      </c>
      <c r="D402" s="41" t="s">
        <v>33</v>
      </c>
      <c r="E402" s="41" t="s">
        <v>34</v>
      </c>
      <c r="F402" s="41">
        <v>7</v>
      </c>
      <c r="G402" s="42">
        <v>273.04000000000002</v>
      </c>
      <c r="H402" s="41" t="s">
        <v>44</v>
      </c>
      <c r="I402" s="41" t="s">
        <v>801</v>
      </c>
      <c r="J402" s="41" t="s">
        <v>37</v>
      </c>
      <c r="K402" s="41" t="s">
        <v>78</v>
      </c>
      <c r="L402" s="41" t="s">
        <v>28</v>
      </c>
      <c r="M402" s="41" t="s">
        <v>67</v>
      </c>
      <c r="N402" s="42">
        <v>334.6</v>
      </c>
      <c r="O402" s="41">
        <v>2024</v>
      </c>
      <c r="P402" s="41">
        <v>7</v>
      </c>
      <c r="Q402" s="41" t="s">
        <v>366</v>
      </c>
      <c r="R402" s="41" t="s">
        <v>367</v>
      </c>
      <c r="S402" s="42">
        <v>334.6</v>
      </c>
      <c r="T402" s="43">
        <v>33.46</v>
      </c>
    </row>
    <row r="403" spans="1:20" x14ac:dyDescent="0.35">
      <c r="A403" s="44">
        <v>45504</v>
      </c>
      <c r="B403" s="9" t="s">
        <v>802</v>
      </c>
      <c r="C403" s="9" t="s">
        <v>21</v>
      </c>
      <c r="D403" s="9" t="s">
        <v>33</v>
      </c>
      <c r="E403" s="9" t="s">
        <v>34</v>
      </c>
      <c r="F403" s="9">
        <v>7</v>
      </c>
      <c r="G403" s="10">
        <v>273.39999999999998</v>
      </c>
      <c r="H403" s="9" t="s">
        <v>35</v>
      </c>
      <c r="I403" s="9" t="s">
        <v>803</v>
      </c>
      <c r="J403" s="9" t="s">
        <v>37</v>
      </c>
      <c r="K403" s="9" t="s">
        <v>78</v>
      </c>
      <c r="L403" s="9" t="s">
        <v>28</v>
      </c>
      <c r="M403" s="9" t="s">
        <v>67</v>
      </c>
      <c r="N403" s="10">
        <v>596.30999999999995</v>
      </c>
      <c r="O403" s="9">
        <v>2024</v>
      </c>
      <c r="P403" s="9">
        <v>7</v>
      </c>
      <c r="Q403" s="9" t="s">
        <v>366</v>
      </c>
      <c r="R403" s="9" t="s">
        <v>367</v>
      </c>
      <c r="S403" s="10">
        <v>596.30999999999995</v>
      </c>
      <c r="T403" s="45">
        <v>198.77</v>
      </c>
    </row>
    <row r="404" spans="1:20" x14ac:dyDescent="0.35">
      <c r="A404" s="40">
        <v>45504</v>
      </c>
      <c r="B404" s="41" t="s">
        <v>804</v>
      </c>
      <c r="C404" s="41" t="s">
        <v>21</v>
      </c>
      <c r="D404" s="41" t="s">
        <v>33</v>
      </c>
      <c r="E404" s="41" t="s">
        <v>34</v>
      </c>
      <c r="F404" s="41">
        <v>7</v>
      </c>
      <c r="G404" s="42">
        <v>274.8</v>
      </c>
      <c r="H404" s="41" t="s">
        <v>44</v>
      </c>
      <c r="I404" s="41" t="s">
        <v>805</v>
      </c>
      <c r="J404" s="41" t="s">
        <v>37</v>
      </c>
      <c r="K404" s="41" t="s">
        <v>78</v>
      </c>
      <c r="L404" s="41" t="s">
        <v>66</v>
      </c>
      <c r="M404" s="41" t="s">
        <v>67</v>
      </c>
      <c r="N404" s="42">
        <v>2203.02</v>
      </c>
      <c r="O404" s="41">
        <v>2024</v>
      </c>
      <c r="P404" s="41">
        <v>7</v>
      </c>
      <c r="Q404" s="41" t="s">
        <v>366</v>
      </c>
      <c r="R404" s="41" t="s">
        <v>367</v>
      </c>
      <c r="S404" s="42">
        <v>2203.02</v>
      </c>
      <c r="T404" s="43">
        <v>244.78</v>
      </c>
    </row>
    <row r="405" spans="1:20" x14ac:dyDescent="0.35">
      <c r="A405" s="44">
        <v>45505</v>
      </c>
      <c r="B405" s="9" t="s">
        <v>806</v>
      </c>
      <c r="C405" s="9" t="s">
        <v>21</v>
      </c>
      <c r="D405" s="9" t="s">
        <v>33</v>
      </c>
      <c r="E405" s="9" t="s">
        <v>34</v>
      </c>
      <c r="F405" s="9">
        <v>7</v>
      </c>
      <c r="G405" s="10">
        <v>276.79000000000002</v>
      </c>
      <c r="H405" s="9" t="s">
        <v>35</v>
      </c>
      <c r="I405" s="9" t="s">
        <v>807</v>
      </c>
      <c r="J405" s="9" t="s">
        <v>37</v>
      </c>
      <c r="K405" s="9" t="s">
        <v>78</v>
      </c>
      <c r="L405" s="9" t="s">
        <v>66</v>
      </c>
      <c r="M405" s="9" t="s">
        <v>56</v>
      </c>
      <c r="N405" s="10">
        <v>546.79999999999995</v>
      </c>
      <c r="O405" s="9">
        <v>2024</v>
      </c>
      <c r="P405" s="9">
        <v>8</v>
      </c>
      <c r="Q405" s="9" t="s">
        <v>393</v>
      </c>
      <c r="R405" s="9" t="s">
        <v>367</v>
      </c>
      <c r="S405" s="10">
        <v>546.79999999999995</v>
      </c>
      <c r="T405" s="45">
        <v>273.39999999999998</v>
      </c>
    </row>
    <row r="406" spans="1:20" x14ac:dyDescent="0.35">
      <c r="A406" s="40">
        <v>45506</v>
      </c>
      <c r="B406" s="41" t="s">
        <v>808</v>
      </c>
      <c r="C406" s="41" t="s">
        <v>21</v>
      </c>
      <c r="D406" s="41" t="s">
        <v>33</v>
      </c>
      <c r="E406" s="41" t="s">
        <v>34</v>
      </c>
      <c r="F406" s="41">
        <v>7</v>
      </c>
      <c r="G406" s="42">
        <v>277.18</v>
      </c>
      <c r="H406" s="41" t="s">
        <v>44</v>
      </c>
      <c r="I406" s="41" t="s">
        <v>809</v>
      </c>
      <c r="J406" s="41" t="s">
        <v>37</v>
      </c>
      <c r="K406" s="41" t="s">
        <v>78</v>
      </c>
      <c r="L406" s="41" t="s">
        <v>28</v>
      </c>
      <c r="M406" s="41" t="s">
        <v>61</v>
      </c>
      <c r="N406" s="42">
        <v>1708.4</v>
      </c>
      <c r="O406" s="41">
        <v>2024</v>
      </c>
      <c r="P406" s="41">
        <v>8</v>
      </c>
      <c r="Q406" s="41" t="s">
        <v>393</v>
      </c>
      <c r="R406" s="41" t="s">
        <v>367</v>
      </c>
      <c r="S406" s="42">
        <v>1708.4</v>
      </c>
      <c r="T406" s="43">
        <v>341.68</v>
      </c>
    </row>
    <row r="407" spans="1:20" x14ac:dyDescent="0.35">
      <c r="A407" s="44">
        <v>45506</v>
      </c>
      <c r="B407" s="9" t="s">
        <v>810</v>
      </c>
      <c r="C407" s="9" t="s">
        <v>21</v>
      </c>
      <c r="D407" s="9" t="s">
        <v>33</v>
      </c>
      <c r="E407" s="9" t="s">
        <v>34</v>
      </c>
      <c r="F407" s="9">
        <v>7</v>
      </c>
      <c r="G407" s="10">
        <v>277.5</v>
      </c>
      <c r="H407" s="9" t="s">
        <v>35</v>
      </c>
      <c r="I407" s="9" t="s">
        <v>811</v>
      </c>
      <c r="J407" s="9" t="s">
        <v>37</v>
      </c>
      <c r="K407" s="9" t="s">
        <v>78</v>
      </c>
      <c r="L407" s="9" t="s">
        <v>28</v>
      </c>
      <c r="M407" s="9" t="s">
        <v>61</v>
      </c>
      <c r="N407" s="10">
        <v>633.91999999999996</v>
      </c>
      <c r="O407" s="9">
        <v>2024</v>
      </c>
      <c r="P407" s="9">
        <v>8</v>
      </c>
      <c r="Q407" s="9" t="s">
        <v>393</v>
      </c>
      <c r="R407" s="9" t="s">
        <v>367</v>
      </c>
      <c r="S407" s="10">
        <v>633.91999999999996</v>
      </c>
      <c r="T407" s="45">
        <v>316.95999999999998</v>
      </c>
    </row>
    <row r="408" spans="1:20" x14ac:dyDescent="0.35">
      <c r="A408" s="40">
        <v>45507</v>
      </c>
      <c r="B408" s="41" t="s">
        <v>812</v>
      </c>
      <c r="C408" s="41" t="s">
        <v>21</v>
      </c>
      <c r="D408" s="41" t="s">
        <v>33</v>
      </c>
      <c r="E408" s="41" t="s">
        <v>34</v>
      </c>
      <c r="F408" s="41">
        <v>7</v>
      </c>
      <c r="G408" s="42">
        <v>280.12</v>
      </c>
      <c r="H408" s="41" t="s">
        <v>24</v>
      </c>
      <c r="I408" s="41" t="s">
        <v>813</v>
      </c>
      <c r="J408" s="41" t="s">
        <v>37</v>
      </c>
      <c r="K408" s="41" t="s">
        <v>78</v>
      </c>
      <c r="L408" s="41" t="s">
        <v>28</v>
      </c>
      <c r="M408" s="41" t="s">
        <v>79</v>
      </c>
      <c r="N408" s="42">
        <v>375.32</v>
      </c>
      <c r="O408" s="41">
        <v>2024</v>
      </c>
      <c r="P408" s="41">
        <v>8</v>
      </c>
      <c r="Q408" s="41" t="s">
        <v>393</v>
      </c>
      <c r="R408" s="41" t="s">
        <v>367</v>
      </c>
      <c r="S408" s="42">
        <v>375.32</v>
      </c>
      <c r="T408" s="43">
        <v>375.32</v>
      </c>
    </row>
    <row r="409" spans="1:20" x14ac:dyDescent="0.35">
      <c r="A409" s="44">
        <v>45508</v>
      </c>
      <c r="B409" s="9" t="s">
        <v>808</v>
      </c>
      <c r="C409" s="9" t="s">
        <v>21</v>
      </c>
      <c r="D409" s="9" t="s">
        <v>33</v>
      </c>
      <c r="E409" s="9" t="s">
        <v>34</v>
      </c>
      <c r="F409" s="9">
        <v>7</v>
      </c>
      <c r="G409" s="10">
        <v>281.75</v>
      </c>
      <c r="H409" s="9" t="s">
        <v>24</v>
      </c>
      <c r="I409" s="9" t="s">
        <v>814</v>
      </c>
      <c r="J409" s="9" t="s">
        <v>37</v>
      </c>
      <c r="K409" s="9" t="s">
        <v>78</v>
      </c>
      <c r="L409" s="9" t="s">
        <v>28</v>
      </c>
      <c r="M409" s="9" t="s">
        <v>101</v>
      </c>
      <c r="N409" s="10">
        <v>215.6</v>
      </c>
      <c r="O409" s="9">
        <v>2024</v>
      </c>
      <c r="P409" s="9">
        <v>8</v>
      </c>
      <c r="Q409" s="9" t="s">
        <v>393</v>
      </c>
      <c r="R409" s="9" t="s">
        <v>367</v>
      </c>
      <c r="S409" s="10">
        <v>215.6</v>
      </c>
      <c r="T409" s="45">
        <v>30.8</v>
      </c>
    </row>
    <row r="410" spans="1:20" x14ac:dyDescent="0.35">
      <c r="A410" s="40">
        <v>45509</v>
      </c>
      <c r="B410" s="41" t="s">
        <v>815</v>
      </c>
      <c r="C410" s="41" t="s">
        <v>21</v>
      </c>
      <c r="D410" s="41" t="s">
        <v>33</v>
      </c>
      <c r="E410" s="41" t="s">
        <v>34</v>
      </c>
      <c r="F410" s="41">
        <v>7</v>
      </c>
      <c r="G410" s="42">
        <v>281.98</v>
      </c>
      <c r="H410" s="41" t="s">
        <v>44</v>
      </c>
      <c r="I410" s="41" t="s">
        <v>816</v>
      </c>
      <c r="J410" s="41" t="s">
        <v>37</v>
      </c>
      <c r="K410" s="41" t="s">
        <v>78</v>
      </c>
      <c r="L410" s="41" t="s">
        <v>39</v>
      </c>
      <c r="M410" s="41" t="s">
        <v>29</v>
      </c>
      <c r="N410" s="42">
        <v>648.91999999999996</v>
      </c>
      <c r="O410" s="41">
        <v>2024</v>
      </c>
      <c r="P410" s="41">
        <v>8</v>
      </c>
      <c r="Q410" s="41" t="s">
        <v>393</v>
      </c>
      <c r="R410" s="41" t="s">
        <v>367</v>
      </c>
      <c r="S410" s="42">
        <v>648.91999999999996</v>
      </c>
      <c r="T410" s="43">
        <v>162.22999999999999</v>
      </c>
    </row>
    <row r="411" spans="1:20" x14ac:dyDescent="0.35">
      <c r="A411" s="44">
        <v>45513</v>
      </c>
      <c r="B411" s="9" t="s">
        <v>817</v>
      </c>
      <c r="C411" s="9" t="s">
        <v>21</v>
      </c>
      <c r="D411" s="9" t="s">
        <v>33</v>
      </c>
      <c r="E411" s="9" t="s">
        <v>34</v>
      </c>
      <c r="F411" s="9">
        <v>7</v>
      </c>
      <c r="G411" s="10">
        <v>282.75</v>
      </c>
      <c r="H411" s="9" t="s">
        <v>24</v>
      </c>
      <c r="I411" s="9" t="s">
        <v>818</v>
      </c>
      <c r="J411" s="9" t="s">
        <v>37</v>
      </c>
      <c r="K411" s="9" t="s">
        <v>78</v>
      </c>
      <c r="L411" s="9" t="s">
        <v>39</v>
      </c>
      <c r="M411" s="9" t="s">
        <v>61</v>
      </c>
      <c r="N411" s="10">
        <v>314.48</v>
      </c>
      <c r="O411" s="9">
        <v>2024</v>
      </c>
      <c r="P411" s="9">
        <v>8</v>
      </c>
      <c r="Q411" s="9" t="s">
        <v>393</v>
      </c>
      <c r="R411" s="9" t="s">
        <v>367</v>
      </c>
      <c r="S411" s="10">
        <v>314.48</v>
      </c>
      <c r="T411" s="45">
        <v>314.48</v>
      </c>
    </row>
    <row r="412" spans="1:20" x14ac:dyDescent="0.35">
      <c r="A412" s="40">
        <v>45515</v>
      </c>
      <c r="B412" s="41" t="s">
        <v>819</v>
      </c>
      <c r="C412" s="41" t="s">
        <v>21</v>
      </c>
      <c r="D412" s="41" t="s">
        <v>33</v>
      </c>
      <c r="E412" s="41" t="s">
        <v>34</v>
      </c>
      <c r="F412" s="41">
        <v>7</v>
      </c>
      <c r="G412" s="42">
        <v>284.8</v>
      </c>
      <c r="H412" s="41" t="s">
        <v>58</v>
      </c>
      <c r="I412" s="41" t="s">
        <v>820</v>
      </c>
      <c r="J412" s="41" t="s">
        <v>37</v>
      </c>
      <c r="K412" s="41" t="s">
        <v>78</v>
      </c>
      <c r="L412" s="41" t="s">
        <v>66</v>
      </c>
      <c r="M412" s="41" t="s">
        <v>101</v>
      </c>
      <c r="N412" s="42">
        <v>194.9</v>
      </c>
      <c r="O412" s="41">
        <v>2024</v>
      </c>
      <c r="P412" s="41">
        <v>8</v>
      </c>
      <c r="Q412" s="41" t="s">
        <v>393</v>
      </c>
      <c r="R412" s="41" t="s">
        <v>367</v>
      </c>
      <c r="S412" s="42">
        <v>194.9</v>
      </c>
      <c r="T412" s="43">
        <v>19.489999999999998</v>
      </c>
    </row>
    <row r="413" spans="1:20" x14ac:dyDescent="0.35">
      <c r="A413" s="44">
        <v>45515</v>
      </c>
      <c r="B413" s="9" t="s">
        <v>821</v>
      </c>
      <c r="C413" s="9" t="s">
        <v>21</v>
      </c>
      <c r="D413" s="9" t="s">
        <v>33</v>
      </c>
      <c r="E413" s="9" t="s">
        <v>34</v>
      </c>
      <c r="F413" s="9">
        <v>7</v>
      </c>
      <c r="G413" s="10">
        <v>285.26</v>
      </c>
      <c r="H413" s="9" t="s">
        <v>35</v>
      </c>
      <c r="I413" s="9" t="s">
        <v>822</v>
      </c>
      <c r="J413" s="9" t="s">
        <v>37</v>
      </c>
      <c r="K413" s="9" t="s">
        <v>78</v>
      </c>
      <c r="L413" s="9" t="s">
        <v>28</v>
      </c>
      <c r="M413" s="9" t="s">
        <v>101</v>
      </c>
      <c r="N413" s="10">
        <v>821.6</v>
      </c>
      <c r="O413" s="9">
        <v>2024</v>
      </c>
      <c r="P413" s="9">
        <v>8</v>
      </c>
      <c r="Q413" s="9" t="s">
        <v>393</v>
      </c>
      <c r="R413" s="9" t="s">
        <v>367</v>
      </c>
      <c r="S413" s="10">
        <v>821.6</v>
      </c>
      <c r="T413" s="45">
        <v>164.32</v>
      </c>
    </row>
    <row r="414" spans="1:20" x14ac:dyDescent="0.35">
      <c r="A414" s="40">
        <v>45516</v>
      </c>
      <c r="B414" s="41" t="s">
        <v>202</v>
      </c>
      <c r="C414" s="41" t="s">
        <v>21</v>
      </c>
      <c r="D414" s="41" t="s">
        <v>33</v>
      </c>
      <c r="E414" s="41" t="s">
        <v>34</v>
      </c>
      <c r="F414" s="41">
        <v>7</v>
      </c>
      <c r="G414" s="42">
        <v>285.94</v>
      </c>
      <c r="H414" s="41" t="s">
        <v>44</v>
      </c>
      <c r="I414" s="41" t="s">
        <v>823</v>
      </c>
      <c r="J414" s="41" t="s">
        <v>37</v>
      </c>
      <c r="K414" s="41" t="s">
        <v>78</v>
      </c>
      <c r="L414" s="41" t="s">
        <v>66</v>
      </c>
      <c r="M414" s="41" t="s">
        <v>29</v>
      </c>
      <c r="N414" s="42">
        <v>1245.5999999999999</v>
      </c>
      <c r="O414" s="41">
        <v>2024</v>
      </c>
      <c r="P414" s="41">
        <v>8</v>
      </c>
      <c r="Q414" s="41" t="s">
        <v>393</v>
      </c>
      <c r="R414" s="41" t="s">
        <v>367</v>
      </c>
      <c r="S414" s="42">
        <v>1245.5999999999999</v>
      </c>
      <c r="T414" s="43">
        <v>124.56</v>
      </c>
    </row>
    <row r="415" spans="1:20" x14ac:dyDescent="0.35">
      <c r="A415" s="44">
        <v>45517</v>
      </c>
      <c r="B415" s="9" t="s">
        <v>62</v>
      </c>
      <c r="C415" s="9" t="s">
        <v>21</v>
      </c>
      <c r="D415" s="9" t="s">
        <v>33</v>
      </c>
      <c r="E415" s="9" t="s">
        <v>34</v>
      </c>
      <c r="F415" s="9">
        <v>7</v>
      </c>
      <c r="G415" s="10">
        <v>286.5</v>
      </c>
      <c r="H415" s="9" t="s">
        <v>24</v>
      </c>
      <c r="I415" s="9" t="s">
        <v>824</v>
      </c>
      <c r="J415" s="9" t="s">
        <v>37</v>
      </c>
      <c r="K415" s="9" t="s">
        <v>78</v>
      </c>
      <c r="L415" s="9" t="s">
        <v>66</v>
      </c>
      <c r="M415" s="9" t="s">
        <v>49</v>
      </c>
      <c r="N415" s="10">
        <v>52.64</v>
      </c>
      <c r="O415" s="9">
        <v>2024</v>
      </c>
      <c r="P415" s="9">
        <v>8</v>
      </c>
      <c r="Q415" s="9" t="s">
        <v>393</v>
      </c>
      <c r="R415" s="9" t="s">
        <v>367</v>
      </c>
      <c r="S415" s="10">
        <v>52.64</v>
      </c>
      <c r="T415" s="45">
        <v>26.32</v>
      </c>
    </row>
    <row r="416" spans="1:20" x14ac:dyDescent="0.35">
      <c r="A416" s="40">
        <v>45520</v>
      </c>
      <c r="B416" s="41" t="s">
        <v>825</v>
      </c>
      <c r="C416" s="41" t="s">
        <v>21</v>
      </c>
      <c r="D416" s="41" t="s">
        <v>33</v>
      </c>
      <c r="E416" s="41" t="s">
        <v>34</v>
      </c>
      <c r="F416" s="41">
        <v>7</v>
      </c>
      <c r="G416" s="42">
        <v>287.54000000000002</v>
      </c>
      <c r="H416" s="41" t="s">
        <v>35</v>
      </c>
      <c r="I416" s="41" t="s">
        <v>826</v>
      </c>
      <c r="J416" s="41" t="s">
        <v>37</v>
      </c>
      <c r="K416" s="41" t="s">
        <v>78</v>
      </c>
      <c r="L416" s="41" t="s">
        <v>28</v>
      </c>
      <c r="M416" s="41" t="s">
        <v>61</v>
      </c>
      <c r="N416" s="42">
        <v>304.29000000000002</v>
      </c>
      <c r="O416" s="41">
        <v>2024</v>
      </c>
      <c r="P416" s="41">
        <v>8</v>
      </c>
      <c r="Q416" s="41" t="s">
        <v>393</v>
      </c>
      <c r="R416" s="41" t="s">
        <v>367</v>
      </c>
      <c r="S416" s="42">
        <v>304.29000000000002</v>
      </c>
      <c r="T416" s="43">
        <v>33.81</v>
      </c>
    </row>
    <row r="417" spans="1:20" x14ac:dyDescent="0.35">
      <c r="A417" s="44">
        <v>45521</v>
      </c>
      <c r="B417" s="9" t="s">
        <v>827</v>
      </c>
      <c r="C417" s="9" t="s">
        <v>21</v>
      </c>
      <c r="D417" s="9" t="s">
        <v>33</v>
      </c>
      <c r="E417" s="9" t="s">
        <v>34</v>
      </c>
      <c r="F417" s="9">
        <v>8</v>
      </c>
      <c r="G417" s="10">
        <v>287.93</v>
      </c>
      <c r="H417" s="9" t="s">
        <v>24</v>
      </c>
      <c r="I417" s="9" t="s">
        <v>828</v>
      </c>
      <c r="J417" s="9" t="s">
        <v>37</v>
      </c>
      <c r="K417" s="9" t="s">
        <v>78</v>
      </c>
      <c r="L417" s="9" t="s">
        <v>39</v>
      </c>
      <c r="M417" s="9" t="s">
        <v>79</v>
      </c>
      <c r="N417" s="10">
        <v>1084.83</v>
      </c>
      <c r="O417" s="9">
        <v>2024</v>
      </c>
      <c r="P417" s="9">
        <v>8</v>
      </c>
      <c r="Q417" s="9" t="s">
        <v>393</v>
      </c>
      <c r="R417" s="9" t="s">
        <v>367</v>
      </c>
      <c r="S417" s="10">
        <v>1084.83</v>
      </c>
      <c r="T417" s="45">
        <v>361.61</v>
      </c>
    </row>
    <row r="418" spans="1:20" x14ac:dyDescent="0.35">
      <c r="A418" s="40">
        <v>45522</v>
      </c>
      <c r="B418" s="41" t="s">
        <v>810</v>
      </c>
      <c r="C418" s="41" t="s">
        <v>21</v>
      </c>
      <c r="D418" s="41" t="s">
        <v>33</v>
      </c>
      <c r="E418" s="41" t="s">
        <v>34</v>
      </c>
      <c r="F418" s="41">
        <v>8</v>
      </c>
      <c r="G418" s="42">
        <v>289.99</v>
      </c>
      <c r="H418" s="41" t="s">
        <v>58</v>
      </c>
      <c r="I418" s="41" t="s">
        <v>829</v>
      </c>
      <c r="J418" s="41" t="s">
        <v>37</v>
      </c>
      <c r="K418" s="41" t="s">
        <v>78</v>
      </c>
      <c r="L418" s="41" t="s">
        <v>28</v>
      </c>
      <c r="M418" s="41" t="s">
        <v>101</v>
      </c>
      <c r="N418" s="42">
        <v>1455.08</v>
      </c>
      <c r="O418" s="41">
        <v>2024</v>
      </c>
      <c r="P418" s="41">
        <v>8</v>
      </c>
      <c r="Q418" s="41" t="s">
        <v>393</v>
      </c>
      <c r="R418" s="41" t="s">
        <v>367</v>
      </c>
      <c r="S418" s="42">
        <v>1455.08</v>
      </c>
      <c r="T418" s="43">
        <v>363.77</v>
      </c>
    </row>
    <row r="419" spans="1:20" x14ac:dyDescent="0.35">
      <c r="A419" s="44">
        <v>45522</v>
      </c>
      <c r="B419" s="9" t="s">
        <v>830</v>
      </c>
      <c r="C419" s="9" t="s">
        <v>21</v>
      </c>
      <c r="D419" s="9" t="s">
        <v>33</v>
      </c>
      <c r="E419" s="9" t="s">
        <v>34</v>
      </c>
      <c r="F419" s="9">
        <v>8</v>
      </c>
      <c r="G419" s="10">
        <v>290.02</v>
      </c>
      <c r="H419" s="9" t="s">
        <v>35</v>
      </c>
      <c r="I419" s="9" t="s">
        <v>831</v>
      </c>
      <c r="J419" s="9" t="s">
        <v>37</v>
      </c>
      <c r="K419" s="9" t="s">
        <v>78</v>
      </c>
      <c r="L419" s="9" t="s">
        <v>39</v>
      </c>
      <c r="M419" s="9" t="s">
        <v>101</v>
      </c>
      <c r="N419" s="10">
        <v>833.04</v>
      </c>
      <c r="O419" s="9">
        <v>2024</v>
      </c>
      <c r="P419" s="9">
        <v>8</v>
      </c>
      <c r="Q419" s="9" t="s">
        <v>393</v>
      </c>
      <c r="R419" s="9" t="s">
        <v>367</v>
      </c>
      <c r="S419" s="10">
        <v>833.04</v>
      </c>
      <c r="T419" s="45">
        <v>104.13</v>
      </c>
    </row>
    <row r="420" spans="1:20" x14ac:dyDescent="0.35">
      <c r="A420" s="40">
        <v>45522</v>
      </c>
      <c r="B420" s="41" t="s">
        <v>338</v>
      </c>
      <c r="C420" s="41" t="s">
        <v>21</v>
      </c>
      <c r="D420" s="41" t="s">
        <v>33</v>
      </c>
      <c r="E420" s="41" t="s">
        <v>34</v>
      </c>
      <c r="F420" s="41">
        <v>8</v>
      </c>
      <c r="G420" s="42">
        <v>290.39999999999998</v>
      </c>
      <c r="H420" s="41" t="s">
        <v>24</v>
      </c>
      <c r="I420" s="41" t="s">
        <v>832</v>
      </c>
      <c r="J420" s="41" t="s">
        <v>37</v>
      </c>
      <c r="K420" s="41" t="s">
        <v>78</v>
      </c>
      <c r="L420" s="41" t="s">
        <v>39</v>
      </c>
      <c r="M420" s="41" t="s">
        <v>101</v>
      </c>
      <c r="N420" s="42">
        <v>2319.92</v>
      </c>
      <c r="O420" s="41">
        <v>2024</v>
      </c>
      <c r="P420" s="41">
        <v>8</v>
      </c>
      <c r="Q420" s="41" t="s">
        <v>393</v>
      </c>
      <c r="R420" s="41" t="s">
        <v>367</v>
      </c>
      <c r="S420" s="42">
        <v>2319.92</v>
      </c>
      <c r="T420" s="43">
        <v>289.99</v>
      </c>
    </row>
    <row r="421" spans="1:20" x14ac:dyDescent="0.35">
      <c r="A421" s="44">
        <v>45523</v>
      </c>
      <c r="B421" s="9" t="s">
        <v>833</v>
      </c>
      <c r="C421" s="9" t="s">
        <v>21</v>
      </c>
      <c r="D421" s="9" t="s">
        <v>33</v>
      </c>
      <c r="E421" s="9" t="s">
        <v>34</v>
      </c>
      <c r="F421" s="9">
        <v>8</v>
      </c>
      <c r="G421" s="10">
        <v>293.24</v>
      </c>
      <c r="H421" s="9" t="s">
        <v>44</v>
      </c>
      <c r="I421" s="9" t="s">
        <v>834</v>
      </c>
      <c r="J421" s="9" t="s">
        <v>37</v>
      </c>
      <c r="K421" s="9" t="s">
        <v>78</v>
      </c>
      <c r="L421" s="9" t="s">
        <v>66</v>
      </c>
      <c r="M421" s="9" t="s">
        <v>29</v>
      </c>
      <c r="N421" s="10">
        <v>367.5</v>
      </c>
      <c r="O421" s="9">
        <v>2024</v>
      </c>
      <c r="P421" s="9">
        <v>8</v>
      </c>
      <c r="Q421" s="9" t="s">
        <v>393</v>
      </c>
      <c r="R421" s="9" t="s">
        <v>367</v>
      </c>
      <c r="S421" s="10">
        <v>367.5</v>
      </c>
      <c r="T421" s="45">
        <v>367.5</v>
      </c>
    </row>
    <row r="422" spans="1:20" x14ac:dyDescent="0.35">
      <c r="A422" s="40">
        <v>45528</v>
      </c>
      <c r="B422" s="41" t="s">
        <v>835</v>
      </c>
      <c r="C422" s="41" t="s">
        <v>21</v>
      </c>
      <c r="D422" s="41" t="s">
        <v>33</v>
      </c>
      <c r="E422" s="41" t="s">
        <v>34</v>
      </c>
      <c r="F422" s="41">
        <v>8</v>
      </c>
      <c r="G422" s="42">
        <v>294.17</v>
      </c>
      <c r="H422" s="41" t="s">
        <v>35</v>
      </c>
      <c r="I422" s="41" t="s">
        <v>836</v>
      </c>
      <c r="J422" s="41" t="s">
        <v>37</v>
      </c>
      <c r="K422" s="41" t="s">
        <v>78</v>
      </c>
      <c r="L422" s="41" t="s">
        <v>39</v>
      </c>
      <c r="M422" s="41" t="s">
        <v>79</v>
      </c>
      <c r="N422" s="42">
        <v>2485.5</v>
      </c>
      <c r="O422" s="41">
        <v>2024</v>
      </c>
      <c r="P422" s="41">
        <v>8</v>
      </c>
      <c r="Q422" s="41" t="s">
        <v>393</v>
      </c>
      <c r="R422" s="41" t="s">
        <v>367</v>
      </c>
      <c r="S422" s="42">
        <v>2485.5</v>
      </c>
      <c r="T422" s="43">
        <v>248.55</v>
      </c>
    </row>
    <row r="423" spans="1:20" x14ac:dyDescent="0.35">
      <c r="A423" s="44">
        <v>45536</v>
      </c>
      <c r="B423" s="9" t="s">
        <v>837</v>
      </c>
      <c r="C423" s="9" t="s">
        <v>21</v>
      </c>
      <c r="D423" s="9" t="s">
        <v>33</v>
      </c>
      <c r="E423" s="9" t="s">
        <v>34</v>
      </c>
      <c r="F423" s="9">
        <v>8</v>
      </c>
      <c r="G423" s="10">
        <v>294.27999999999997</v>
      </c>
      <c r="H423" s="9" t="s">
        <v>58</v>
      </c>
      <c r="I423" s="9" t="s">
        <v>838</v>
      </c>
      <c r="J423" s="9" t="s">
        <v>37</v>
      </c>
      <c r="K423" s="9" t="s">
        <v>78</v>
      </c>
      <c r="L423" s="9" t="s">
        <v>39</v>
      </c>
      <c r="M423" s="9" t="s">
        <v>101</v>
      </c>
      <c r="N423" s="10">
        <v>240</v>
      </c>
      <c r="O423" s="9">
        <v>2024</v>
      </c>
      <c r="P423" s="9">
        <v>9</v>
      </c>
      <c r="Q423" s="9" t="s">
        <v>420</v>
      </c>
      <c r="R423" s="9" t="s">
        <v>367</v>
      </c>
      <c r="S423" s="10">
        <v>240</v>
      </c>
      <c r="T423" s="45">
        <v>120</v>
      </c>
    </row>
    <row r="424" spans="1:20" x14ac:dyDescent="0.35">
      <c r="A424" s="40">
        <v>45537</v>
      </c>
      <c r="B424" s="41" t="s">
        <v>164</v>
      </c>
      <c r="C424" s="41" t="s">
        <v>21</v>
      </c>
      <c r="D424" s="41" t="s">
        <v>33</v>
      </c>
      <c r="E424" s="41" t="s">
        <v>34</v>
      </c>
      <c r="F424" s="41">
        <v>8</v>
      </c>
      <c r="G424" s="42">
        <v>294.7</v>
      </c>
      <c r="H424" s="41" t="s">
        <v>44</v>
      </c>
      <c r="I424" s="41" t="s">
        <v>839</v>
      </c>
      <c r="J424" s="41" t="s">
        <v>37</v>
      </c>
      <c r="K424" s="41" t="s">
        <v>78</v>
      </c>
      <c r="L424" s="41" t="s">
        <v>28</v>
      </c>
      <c r="M424" s="41" t="s">
        <v>29</v>
      </c>
      <c r="N424" s="42">
        <v>193.56</v>
      </c>
      <c r="O424" s="41">
        <v>2024</v>
      </c>
      <c r="P424" s="41">
        <v>9</v>
      </c>
      <c r="Q424" s="41" t="s">
        <v>420</v>
      </c>
      <c r="R424" s="41" t="s">
        <v>367</v>
      </c>
      <c r="S424" s="42">
        <v>193.56</v>
      </c>
      <c r="T424" s="43">
        <v>96.78</v>
      </c>
    </row>
    <row r="425" spans="1:20" x14ac:dyDescent="0.35">
      <c r="A425" s="44">
        <v>45538</v>
      </c>
      <c r="B425" s="9" t="s">
        <v>840</v>
      </c>
      <c r="C425" s="9" t="s">
        <v>21</v>
      </c>
      <c r="D425" s="9" t="s">
        <v>33</v>
      </c>
      <c r="E425" s="9" t="s">
        <v>34</v>
      </c>
      <c r="F425" s="9">
        <v>8</v>
      </c>
      <c r="G425" s="10">
        <v>294.73</v>
      </c>
      <c r="H425" s="9" t="s">
        <v>58</v>
      </c>
      <c r="I425" s="9" t="s">
        <v>841</v>
      </c>
      <c r="J425" s="9" t="s">
        <v>37</v>
      </c>
      <c r="K425" s="9" t="s">
        <v>78</v>
      </c>
      <c r="L425" s="9" t="s">
        <v>28</v>
      </c>
      <c r="M425" s="9" t="s">
        <v>49</v>
      </c>
      <c r="N425" s="10">
        <v>1135.55</v>
      </c>
      <c r="O425" s="9">
        <v>2024</v>
      </c>
      <c r="P425" s="9">
        <v>9</v>
      </c>
      <c r="Q425" s="9" t="s">
        <v>420</v>
      </c>
      <c r="R425" s="9" t="s">
        <v>367</v>
      </c>
      <c r="S425" s="10">
        <v>1135.55</v>
      </c>
      <c r="T425" s="45">
        <v>227.11</v>
      </c>
    </row>
    <row r="426" spans="1:20" x14ac:dyDescent="0.35">
      <c r="A426" s="40">
        <v>45538</v>
      </c>
      <c r="B426" s="41" t="s">
        <v>299</v>
      </c>
      <c r="C426" s="41" t="s">
        <v>21</v>
      </c>
      <c r="D426" s="41" t="s">
        <v>33</v>
      </c>
      <c r="E426" s="41" t="s">
        <v>34</v>
      </c>
      <c r="F426" s="41">
        <v>8</v>
      </c>
      <c r="G426" s="42">
        <v>294.99</v>
      </c>
      <c r="H426" s="41" t="s">
        <v>35</v>
      </c>
      <c r="I426" s="41" t="s">
        <v>842</v>
      </c>
      <c r="J426" s="41" t="s">
        <v>37</v>
      </c>
      <c r="K426" s="41" t="s">
        <v>78</v>
      </c>
      <c r="L426" s="41" t="s">
        <v>28</v>
      </c>
      <c r="M426" s="41" t="s">
        <v>49</v>
      </c>
      <c r="N426" s="42">
        <v>805.84</v>
      </c>
      <c r="O426" s="41">
        <v>2024</v>
      </c>
      <c r="P426" s="41">
        <v>9</v>
      </c>
      <c r="Q426" s="41" t="s">
        <v>420</v>
      </c>
      <c r="R426" s="41" t="s">
        <v>367</v>
      </c>
      <c r="S426" s="42">
        <v>805.84</v>
      </c>
      <c r="T426" s="43">
        <v>100.73</v>
      </c>
    </row>
    <row r="427" spans="1:20" x14ac:dyDescent="0.35">
      <c r="A427" s="44">
        <v>45539</v>
      </c>
      <c r="B427" s="9" t="s">
        <v>193</v>
      </c>
      <c r="C427" s="9" t="s">
        <v>21</v>
      </c>
      <c r="D427" s="9" t="s">
        <v>33</v>
      </c>
      <c r="E427" s="9" t="s">
        <v>34</v>
      </c>
      <c r="F427" s="9">
        <v>8</v>
      </c>
      <c r="G427" s="10">
        <v>295.11</v>
      </c>
      <c r="H427" s="9" t="s">
        <v>44</v>
      </c>
      <c r="I427" s="9" t="s">
        <v>843</v>
      </c>
      <c r="J427" s="9" t="s">
        <v>37</v>
      </c>
      <c r="K427" s="9" t="s">
        <v>78</v>
      </c>
      <c r="L427" s="9" t="s">
        <v>28</v>
      </c>
      <c r="M427" s="9" t="s">
        <v>67</v>
      </c>
      <c r="N427" s="10">
        <v>2613.17</v>
      </c>
      <c r="O427" s="9">
        <v>2024</v>
      </c>
      <c r="P427" s="9">
        <v>9</v>
      </c>
      <c r="Q427" s="9" t="s">
        <v>420</v>
      </c>
      <c r="R427" s="9" t="s">
        <v>367</v>
      </c>
      <c r="S427" s="10">
        <v>2613.17</v>
      </c>
      <c r="T427" s="45">
        <v>373.31</v>
      </c>
    </row>
    <row r="428" spans="1:20" x14ac:dyDescent="0.35">
      <c r="A428" s="40">
        <v>45541</v>
      </c>
      <c r="B428" s="41" t="s">
        <v>573</v>
      </c>
      <c r="C428" s="41" t="s">
        <v>21</v>
      </c>
      <c r="D428" s="41" t="s">
        <v>33</v>
      </c>
      <c r="E428" s="41" t="s">
        <v>34</v>
      </c>
      <c r="F428" s="41">
        <v>8</v>
      </c>
      <c r="G428" s="42">
        <v>295.25</v>
      </c>
      <c r="H428" s="41" t="s">
        <v>35</v>
      </c>
      <c r="I428" s="41" t="s">
        <v>844</v>
      </c>
      <c r="J428" s="41" t="s">
        <v>37</v>
      </c>
      <c r="K428" s="41" t="s">
        <v>78</v>
      </c>
      <c r="L428" s="41" t="s">
        <v>66</v>
      </c>
      <c r="M428" s="41" t="s">
        <v>61</v>
      </c>
      <c r="N428" s="42">
        <v>92.34</v>
      </c>
      <c r="O428" s="41">
        <v>2024</v>
      </c>
      <c r="P428" s="41">
        <v>9</v>
      </c>
      <c r="Q428" s="41" t="s">
        <v>420</v>
      </c>
      <c r="R428" s="41" t="s">
        <v>367</v>
      </c>
      <c r="S428" s="42">
        <v>92.34</v>
      </c>
      <c r="T428" s="43">
        <v>10.26</v>
      </c>
    </row>
    <row r="429" spans="1:20" x14ac:dyDescent="0.35">
      <c r="A429" s="44">
        <v>45548</v>
      </c>
      <c r="B429" s="9" t="s">
        <v>845</v>
      </c>
      <c r="C429" s="9" t="s">
        <v>21</v>
      </c>
      <c r="D429" s="9" t="s">
        <v>33</v>
      </c>
      <c r="E429" s="9" t="s">
        <v>34</v>
      </c>
      <c r="F429" s="9">
        <v>8</v>
      </c>
      <c r="G429" s="10">
        <v>297</v>
      </c>
      <c r="H429" s="9" t="s">
        <v>24</v>
      </c>
      <c r="I429" s="9" t="s">
        <v>846</v>
      </c>
      <c r="J429" s="9" t="s">
        <v>37</v>
      </c>
      <c r="K429" s="9" t="s">
        <v>78</v>
      </c>
      <c r="L429" s="9" t="s">
        <v>28</v>
      </c>
      <c r="M429" s="9" t="s">
        <v>61</v>
      </c>
      <c r="N429" s="10">
        <v>1610.8</v>
      </c>
      <c r="O429" s="9">
        <v>2024</v>
      </c>
      <c r="P429" s="9">
        <v>9</v>
      </c>
      <c r="Q429" s="9" t="s">
        <v>420</v>
      </c>
      <c r="R429" s="9" t="s">
        <v>367</v>
      </c>
      <c r="S429" s="10">
        <v>1610.8</v>
      </c>
      <c r="T429" s="45">
        <v>201.35</v>
      </c>
    </row>
    <row r="430" spans="1:20" x14ac:dyDescent="0.35">
      <c r="A430" s="40">
        <v>45549</v>
      </c>
      <c r="B430" s="41" t="s">
        <v>847</v>
      </c>
      <c r="C430" s="41" t="s">
        <v>21</v>
      </c>
      <c r="D430" s="41" t="s">
        <v>33</v>
      </c>
      <c r="E430" s="41" t="s">
        <v>34</v>
      </c>
      <c r="F430" s="41">
        <v>8</v>
      </c>
      <c r="G430" s="42">
        <v>297.08</v>
      </c>
      <c r="H430" s="41" t="s">
        <v>64</v>
      </c>
      <c r="I430" s="41" t="s">
        <v>848</v>
      </c>
      <c r="J430" s="41" t="s">
        <v>37</v>
      </c>
      <c r="K430" s="41" t="s">
        <v>78</v>
      </c>
      <c r="L430" s="41" t="s">
        <v>66</v>
      </c>
      <c r="M430" s="41" t="s">
        <v>79</v>
      </c>
      <c r="N430" s="42">
        <v>1319.85</v>
      </c>
      <c r="O430" s="41">
        <v>2024</v>
      </c>
      <c r="P430" s="41">
        <v>9</v>
      </c>
      <c r="Q430" s="41" t="s">
        <v>420</v>
      </c>
      <c r="R430" s="41" t="s">
        <v>367</v>
      </c>
      <c r="S430" s="42">
        <v>1319.85</v>
      </c>
      <c r="T430" s="43">
        <v>146.65</v>
      </c>
    </row>
    <row r="431" spans="1:20" x14ac:dyDescent="0.35">
      <c r="A431" s="44">
        <v>45551</v>
      </c>
      <c r="B431" s="9" t="s">
        <v>735</v>
      </c>
      <c r="C431" s="9" t="s">
        <v>21</v>
      </c>
      <c r="D431" s="9" t="s">
        <v>33</v>
      </c>
      <c r="E431" s="9" t="s">
        <v>34</v>
      </c>
      <c r="F431" s="9">
        <v>8</v>
      </c>
      <c r="G431" s="10">
        <v>297.14</v>
      </c>
      <c r="H431" s="9" t="s">
        <v>44</v>
      </c>
      <c r="I431" s="9" t="s">
        <v>849</v>
      </c>
      <c r="J431" s="9" t="s">
        <v>37</v>
      </c>
      <c r="K431" s="9" t="s">
        <v>78</v>
      </c>
      <c r="L431" s="9" t="s">
        <v>66</v>
      </c>
      <c r="M431" s="9" t="s">
        <v>29</v>
      </c>
      <c r="N431" s="10">
        <v>134.47</v>
      </c>
      <c r="O431" s="9">
        <v>2024</v>
      </c>
      <c r="P431" s="9">
        <v>9</v>
      </c>
      <c r="Q431" s="9" t="s">
        <v>420</v>
      </c>
      <c r="R431" s="9" t="s">
        <v>367</v>
      </c>
      <c r="S431" s="10">
        <v>134.47</v>
      </c>
      <c r="T431" s="45">
        <v>19.21</v>
      </c>
    </row>
    <row r="432" spans="1:20" x14ac:dyDescent="0.35">
      <c r="A432" s="40">
        <v>45553</v>
      </c>
      <c r="B432" s="41" t="s">
        <v>850</v>
      </c>
      <c r="C432" s="41" t="s">
        <v>21</v>
      </c>
      <c r="D432" s="41" t="s">
        <v>33</v>
      </c>
      <c r="E432" s="41" t="s">
        <v>34</v>
      </c>
      <c r="F432" s="41">
        <v>8</v>
      </c>
      <c r="G432" s="42">
        <v>297.17</v>
      </c>
      <c r="H432" s="41" t="s">
        <v>58</v>
      </c>
      <c r="I432" s="41" t="s">
        <v>851</v>
      </c>
      <c r="J432" s="41" t="s">
        <v>37</v>
      </c>
      <c r="K432" s="41" t="s">
        <v>78</v>
      </c>
      <c r="L432" s="41" t="s">
        <v>66</v>
      </c>
      <c r="M432" s="41" t="s">
        <v>67</v>
      </c>
      <c r="N432" s="42">
        <v>830.37</v>
      </c>
      <c r="O432" s="41">
        <v>2024</v>
      </c>
      <c r="P432" s="41">
        <v>9</v>
      </c>
      <c r="Q432" s="41" t="s">
        <v>420</v>
      </c>
      <c r="R432" s="41" t="s">
        <v>367</v>
      </c>
      <c r="S432" s="42">
        <v>830.37</v>
      </c>
      <c r="T432" s="43">
        <v>276.79000000000002</v>
      </c>
    </row>
    <row r="433" spans="1:20" x14ac:dyDescent="0.35">
      <c r="A433" s="44">
        <v>45560</v>
      </c>
      <c r="B433" s="9" t="s">
        <v>852</v>
      </c>
      <c r="C433" s="9" t="s">
        <v>21</v>
      </c>
      <c r="D433" s="9" t="s">
        <v>33</v>
      </c>
      <c r="E433" s="9" t="s">
        <v>34</v>
      </c>
      <c r="F433" s="9">
        <v>8</v>
      </c>
      <c r="G433" s="10">
        <v>297.20999999999998</v>
      </c>
      <c r="H433" s="9" t="s">
        <v>35</v>
      </c>
      <c r="I433" s="9" t="s">
        <v>853</v>
      </c>
      <c r="J433" s="9" t="s">
        <v>37</v>
      </c>
      <c r="K433" s="9" t="s">
        <v>78</v>
      </c>
      <c r="L433" s="9" t="s">
        <v>66</v>
      </c>
      <c r="M433" s="9" t="s">
        <v>67</v>
      </c>
      <c r="N433" s="10">
        <v>1583.1</v>
      </c>
      <c r="O433" s="9">
        <v>2024</v>
      </c>
      <c r="P433" s="9">
        <v>9</v>
      </c>
      <c r="Q433" s="9" t="s">
        <v>420</v>
      </c>
      <c r="R433" s="9" t="s">
        <v>367</v>
      </c>
      <c r="S433" s="10">
        <v>1583.1</v>
      </c>
      <c r="T433" s="45">
        <v>316.62</v>
      </c>
    </row>
    <row r="434" spans="1:20" x14ac:dyDescent="0.35">
      <c r="A434" s="40">
        <v>45560</v>
      </c>
      <c r="B434" s="41" t="s">
        <v>854</v>
      </c>
      <c r="C434" s="41" t="s">
        <v>21</v>
      </c>
      <c r="D434" s="41" t="s">
        <v>33</v>
      </c>
      <c r="E434" s="41" t="s">
        <v>34</v>
      </c>
      <c r="F434" s="41">
        <v>8</v>
      </c>
      <c r="G434" s="42">
        <v>297.72000000000003</v>
      </c>
      <c r="H434" s="41" t="s">
        <v>64</v>
      </c>
      <c r="I434" s="41" t="s">
        <v>855</v>
      </c>
      <c r="J434" s="41" t="s">
        <v>37</v>
      </c>
      <c r="K434" s="41" t="s">
        <v>78</v>
      </c>
      <c r="L434" s="41" t="s">
        <v>28</v>
      </c>
      <c r="M434" s="41" t="s">
        <v>67</v>
      </c>
      <c r="N434" s="42">
        <v>287.22000000000003</v>
      </c>
      <c r="O434" s="41">
        <v>2024</v>
      </c>
      <c r="P434" s="41">
        <v>9</v>
      </c>
      <c r="Q434" s="41" t="s">
        <v>420</v>
      </c>
      <c r="R434" s="41" t="s">
        <v>367</v>
      </c>
      <c r="S434" s="42">
        <v>287.22000000000003</v>
      </c>
      <c r="T434" s="43">
        <v>143.61000000000001</v>
      </c>
    </row>
    <row r="435" spans="1:20" x14ac:dyDescent="0.35">
      <c r="A435" s="44">
        <v>45561</v>
      </c>
      <c r="B435" s="9" t="s">
        <v>429</v>
      </c>
      <c r="C435" s="9" t="s">
        <v>21</v>
      </c>
      <c r="D435" s="9" t="s">
        <v>33</v>
      </c>
      <c r="E435" s="9" t="s">
        <v>53</v>
      </c>
      <c r="F435" s="9">
        <v>8</v>
      </c>
      <c r="G435" s="10">
        <v>298.8</v>
      </c>
      <c r="H435" s="9" t="s">
        <v>44</v>
      </c>
      <c r="I435" s="9" t="s">
        <v>856</v>
      </c>
      <c r="J435" s="9" t="s">
        <v>37</v>
      </c>
      <c r="K435" s="9" t="s">
        <v>78</v>
      </c>
      <c r="L435" s="9" t="s">
        <v>39</v>
      </c>
      <c r="M435" s="9" t="s">
        <v>56</v>
      </c>
      <c r="N435" s="10">
        <v>2430.6799999999998</v>
      </c>
      <c r="O435" s="9">
        <v>2024</v>
      </c>
      <c r="P435" s="9">
        <v>9</v>
      </c>
      <c r="Q435" s="9" t="s">
        <v>420</v>
      </c>
      <c r="R435" s="9" t="s">
        <v>367</v>
      </c>
      <c r="S435" s="10">
        <v>2430.6799999999998</v>
      </c>
      <c r="T435" s="45">
        <v>347.24</v>
      </c>
    </row>
    <row r="436" spans="1:20" x14ac:dyDescent="0.35">
      <c r="A436" s="40">
        <v>45561</v>
      </c>
      <c r="B436" s="41" t="s">
        <v>857</v>
      </c>
      <c r="C436" s="41" t="s">
        <v>21</v>
      </c>
      <c r="D436" s="41" t="s">
        <v>33</v>
      </c>
      <c r="E436" s="41" t="s">
        <v>53</v>
      </c>
      <c r="F436" s="41">
        <v>8</v>
      </c>
      <c r="G436" s="42">
        <v>299.49</v>
      </c>
      <c r="H436" s="41" t="s">
        <v>44</v>
      </c>
      <c r="I436" s="41" t="s">
        <v>858</v>
      </c>
      <c r="J436" s="41" t="s">
        <v>37</v>
      </c>
      <c r="K436" s="41" t="s">
        <v>78</v>
      </c>
      <c r="L436" s="41" t="s">
        <v>28</v>
      </c>
      <c r="M436" s="41" t="s">
        <v>56</v>
      </c>
      <c r="N436" s="42">
        <v>563.5</v>
      </c>
      <c r="O436" s="41">
        <v>2024</v>
      </c>
      <c r="P436" s="41">
        <v>9</v>
      </c>
      <c r="Q436" s="41" t="s">
        <v>420</v>
      </c>
      <c r="R436" s="41" t="s">
        <v>367</v>
      </c>
      <c r="S436" s="42">
        <v>563.5</v>
      </c>
      <c r="T436" s="43">
        <v>281.75</v>
      </c>
    </row>
    <row r="437" spans="1:20" x14ac:dyDescent="0.35">
      <c r="A437" s="44">
        <v>45562</v>
      </c>
      <c r="B437" s="9" t="s">
        <v>859</v>
      </c>
      <c r="C437" s="9" t="s">
        <v>21</v>
      </c>
      <c r="D437" s="9" t="s">
        <v>33</v>
      </c>
      <c r="E437" s="9" t="s">
        <v>53</v>
      </c>
      <c r="F437" s="9">
        <v>8</v>
      </c>
      <c r="G437" s="10">
        <v>299.58999999999997</v>
      </c>
      <c r="H437" s="9" t="s">
        <v>58</v>
      </c>
      <c r="I437" s="9" t="s">
        <v>860</v>
      </c>
      <c r="J437" s="9" t="s">
        <v>37</v>
      </c>
      <c r="K437" s="9" t="s">
        <v>78</v>
      </c>
      <c r="L437" s="9" t="s">
        <v>39</v>
      </c>
      <c r="M437" s="9" t="s">
        <v>61</v>
      </c>
      <c r="N437" s="10">
        <v>514</v>
      </c>
      <c r="O437" s="9">
        <v>2024</v>
      </c>
      <c r="P437" s="9">
        <v>9</v>
      </c>
      <c r="Q437" s="9" t="s">
        <v>420</v>
      </c>
      <c r="R437" s="9" t="s">
        <v>367</v>
      </c>
      <c r="S437" s="10">
        <v>514</v>
      </c>
      <c r="T437" s="45">
        <v>64.25</v>
      </c>
    </row>
    <row r="438" spans="1:20" x14ac:dyDescent="0.35">
      <c r="A438" s="40">
        <v>45563</v>
      </c>
      <c r="B438" s="41" t="s">
        <v>861</v>
      </c>
      <c r="C438" s="41" t="s">
        <v>21</v>
      </c>
      <c r="D438" s="41" t="s">
        <v>33</v>
      </c>
      <c r="E438" s="41" t="s">
        <v>53</v>
      </c>
      <c r="F438" s="41">
        <v>8</v>
      </c>
      <c r="G438" s="42">
        <v>300.35000000000002</v>
      </c>
      <c r="H438" s="41" t="s">
        <v>35</v>
      </c>
      <c r="I438" s="41" t="s">
        <v>862</v>
      </c>
      <c r="J438" s="41" t="s">
        <v>37</v>
      </c>
      <c r="K438" s="41" t="s">
        <v>78</v>
      </c>
      <c r="L438" s="41" t="s">
        <v>28</v>
      </c>
      <c r="M438" s="41" t="s">
        <v>79</v>
      </c>
      <c r="N438" s="42">
        <v>3029</v>
      </c>
      <c r="O438" s="41">
        <v>2024</v>
      </c>
      <c r="P438" s="41">
        <v>9</v>
      </c>
      <c r="Q438" s="41" t="s">
        <v>420</v>
      </c>
      <c r="R438" s="41" t="s">
        <v>367</v>
      </c>
      <c r="S438" s="42">
        <v>3029</v>
      </c>
      <c r="T438" s="43">
        <v>302.89999999999998</v>
      </c>
    </row>
    <row r="439" spans="1:20" x14ac:dyDescent="0.35">
      <c r="A439" s="44">
        <v>45563</v>
      </c>
      <c r="B439" s="9" t="s">
        <v>863</v>
      </c>
      <c r="C439" s="9" t="s">
        <v>21</v>
      </c>
      <c r="D439" s="9" t="s">
        <v>33</v>
      </c>
      <c r="E439" s="9" t="s">
        <v>53</v>
      </c>
      <c r="F439" s="9">
        <v>8</v>
      </c>
      <c r="G439" s="10">
        <v>300.88</v>
      </c>
      <c r="H439" s="9" t="s">
        <v>58</v>
      </c>
      <c r="I439" s="9" t="s">
        <v>864</v>
      </c>
      <c r="J439" s="9" t="s">
        <v>37</v>
      </c>
      <c r="K439" s="9" t="s">
        <v>78</v>
      </c>
      <c r="L439" s="9" t="s">
        <v>66</v>
      </c>
      <c r="M439" s="9" t="s">
        <v>79</v>
      </c>
      <c r="N439" s="10">
        <v>536.4</v>
      </c>
      <c r="O439" s="9">
        <v>2024</v>
      </c>
      <c r="P439" s="9">
        <v>9</v>
      </c>
      <c r="Q439" s="9" t="s">
        <v>420</v>
      </c>
      <c r="R439" s="9" t="s">
        <v>367</v>
      </c>
      <c r="S439" s="10">
        <v>536.4</v>
      </c>
      <c r="T439" s="45">
        <v>134.1</v>
      </c>
    </row>
    <row r="440" spans="1:20" x14ac:dyDescent="0.35">
      <c r="A440" s="40">
        <v>45565</v>
      </c>
      <c r="B440" s="41" t="s">
        <v>865</v>
      </c>
      <c r="C440" s="41" t="s">
        <v>21</v>
      </c>
      <c r="D440" s="41" t="s">
        <v>33</v>
      </c>
      <c r="E440" s="41" t="s">
        <v>53</v>
      </c>
      <c r="F440" s="41">
        <v>8</v>
      </c>
      <c r="G440" s="42">
        <v>300.92</v>
      </c>
      <c r="H440" s="41" t="s">
        <v>64</v>
      </c>
      <c r="I440" s="41" t="s">
        <v>866</v>
      </c>
      <c r="J440" s="41" t="s">
        <v>37</v>
      </c>
      <c r="K440" s="41" t="s">
        <v>78</v>
      </c>
      <c r="L440" s="41" t="s">
        <v>39</v>
      </c>
      <c r="M440" s="41" t="s">
        <v>29</v>
      </c>
      <c r="N440" s="42">
        <v>188.82</v>
      </c>
      <c r="O440" s="41">
        <v>2024</v>
      </c>
      <c r="P440" s="41">
        <v>9</v>
      </c>
      <c r="Q440" s="41" t="s">
        <v>420</v>
      </c>
      <c r="R440" s="41" t="s">
        <v>367</v>
      </c>
      <c r="S440" s="42">
        <v>188.82</v>
      </c>
      <c r="T440" s="43">
        <v>20.98</v>
      </c>
    </row>
    <row r="441" spans="1:20" x14ac:dyDescent="0.35">
      <c r="A441" s="44">
        <v>45570</v>
      </c>
      <c r="B441" s="9" t="s">
        <v>867</v>
      </c>
      <c r="C441" s="9" t="s">
        <v>21</v>
      </c>
      <c r="D441" s="9" t="s">
        <v>33</v>
      </c>
      <c r="E441" s="9" t="s">
        <v>53</v>
      </c>
      <c r="F441" s="9">
        <v>8</v>
      </c>
      <c r="G441" s="10">
        <v>301.10000000000002</v>
      </c>
      <c r="H441" s="9" t="s">
        <v>44</v>
      </c>
      <c r="I441" s="9" t="s">
        <v>868</v>
      </c>
      <c r="J441" s="9" t="s">
        <v>37</v>
      </c>
      <c r="K441" s="9" t="s">
        <v>78</v>
      </c>
      <c r="L441" s="9" t="s">
        <v>28</v>
      </c>
      <c r="M441" s="9" t="s">
        <v>79</v>
      </c>
      <c r="N441" s="10">
        <v>163.41</v>
      </c>
      <c r="O441" s="9">
        <v>2024</v>
      </c>
      <c r="P441" s="9">
        <v>10</v>
      </c>
      <c r="Q441" s="9" t="s">
        <v>457</v>
      </c>
      <c r="R441" s="9" t="s">
        <v>458</v>
      </c>
      <c r="S441" s="10">
        <v>163.41</v>
      </c>
      <c r="T441" s="45">
        <v>54.47</v>
      </c>
    </row>
    <row r="442" spans="1:20" x14ac:dyDescent="0.35">
      <c r="A442" s="40">
        <v>45573</v>
      </c>
      <c r="B442" s="41" t="s">
        <v>869</v>
      </c>
      <c r="C442" s="41" t="s">
        <v>21</v>
      </c>
      <c r="D442" s="41" t="s">
        <v>33</v>
      </c>
      <c r="E442" s="41" t="s">
        <v>53</v>
      </c>
      <c r="F442" s="41">
        <v>8</v>
      </c>
      <c r="G442" s="42">
        <v>301.23</v>
      </c>
      <c r="H442" s="41" t="s">
        <v>24</v>
      </c>
      <c r="I442" s="41" t="s">
        <v>870</v>
      </c>
      <c r="J442" s="41" t="s">
        <v>37</v>
      </c>
      <c r="K442" s="41" t="s">
        <v>78</v>
      </c>
      <c r="L442" s="41" t="s">
        <v>66</v>
      </c>
      <c r="M442" s="41" t="s">
        <v>49</v>
      </c>
      <c r="N442" s="42">
        <v>420.93</v>
      </c>
      <c r="O442" s="41">
        <v>2024</v>
      </c>
      <c r="P442" s="41">
        <v>10</v>
      </c>
      <c r="Q442" s="41" t="s">
        <v>457</v>
      </c>
      <c r="R442" s="41" t="s">
        <v>458</v>
      </c>
      <c r="S442" s="42">
        <v>420.93</v>
      </c>
      <c r="T442" s="43">
        <v>140.31</v>
      </c>
    </row>
    <row r="443" spans="1:20" x14ac:dyDescent="0.35">
      <c r="A443" s="44">
        <v>45579</v>
      </c>
      <c r="B443" s="9" t="s">
        <v>871</v>
      </c>
      <c r="C443" s="9" t="s">
        <v>21</v>
      </c>
      <c r="D443" s="9" t="s">
        <v>33</v>
      </c>
      <c r="E443" s="9" t="s">
        <v>53</v>
      </c>
      <c r="F443" s="9">
        <v>8</v>
      </c>
      <c r="G443" s="10">
        <v>302.23</v>
      </c>
      <c r="H443" s="9" t="s">
        <v>58</v>
      </c>
      <c r="I443" s="9" t="s">
        <v>872</v>
      </c>
      <c r="J443" s="9" t="s">
        <v>37</v>
      </c>
      <c r="K443" s="9" t="s">
        <v>78</v>
      </c>
      <c r="L443" s="9" t="s">
        <v>66</v>
      </c>
      <c r="M443" s="9" t="s">
        <v>29</v>
      </c>
      <c r="N443" s="10">
        <v>2801.07</v>
      </c>
      <c r="O443" s="9">
        <v>2024</v>
      </c>
      <c r="P443" s="9">
        <v>10</v>
      </c>
      <c r="Q443" s="9" t="s">
        <v>457</v>
      </c>
      <c r="R443" s="9" t="s">
        <v>458</v>
      </c>
      <c r="S443" s="10">
        <v>2801.07</v>
      </c>
      <c r="T443" s="45">
        <v>311.23</v>
      </c>
    </row>
    <row r="444" spans="1:20" x14ac:dyDescent="0.35">
      <c r="A444" s="40">
        <v>45580</v>
      </c>
      <c r="B444" s="41" t="s">
        <v>873</v>
      </c>
      <c r="C444" s="41" t="s">
        <v>21</v>
      </c>
      <c r="D444" s="41" t="s">
        <v>33</v>
      </c>
      <c r="E444" s="41" t="s">
        <v>53</v>
      </c>
      <c r="F444" s="41">
        <v>8</v>
      </c>
      <c r="G444" s="42">
        <v>302.72000000000003</v>
      </c>
      <c r="H444" s="41" t="s">
        <v>64</v>
      </c>
      <c r="I444" s="41" t="s">
        <v>874</v>
      </c>
      <c r="J444" s="41" t="s">
        <v>37</v>
      </c>
      <c r="K444" s="41" t="s">
        <v>78</v>
      </c>
      <c r="L444" s="41" t="s">
        <v>39</v>
      </c>
      <c r="M444" s="41" t="s">
        <v>49</v>
      </c>
      <c r="N444" s="42">
        <v>806.16</v>
      </c>
      <c r="O444" s="41">
        <v>2024</v>
      </c>
      <c r="P444" s="41">
        <v>10</v>
      </c>
      <c r="Q444" s="41" t="s">
        <v>457</v>
      </c>
      <c r="R444" s="41" t="s">
        <v>458</v>
      </c>
      <c r="S444" s="42">
        <v>806.16</v>
      </c>
      <c r="T444" s="43">
        <v>201.54</v>
      </c>
    </row>
    <row r="445" spans="1:20" x14ac:dyDescent="0.35">
      <c r="A445" s="44">
        <v>45580</v>
      </c>
      <c r="B445" s="9" t="s">
        <v>875</v>
      </c>
      <c r="C445" s="9" t="s">
        <v>21</v>
      </c>
      <c r="D445" s="9" t="s">
        <v>33</v>
      </c>
      <c r="E445" s="9" t="s">
        <v>53</v>
      </c>
      <c r="F445" s="9">
        <v>8</v>
      </c>
      <c r="G445" s="10">
        <v>302.89999999999998</v>
      </c>
      <c r="H445" s="9" t="s">
        <v>58</v>
      </c>
      <c r="I445" s="9" t="s">
        <v>876</v>
      </c>
      <c r="J445" s="9" t="s">
        <v>37</v>
      </c>
      <c r="K445" s="9" t="s">
        <v>78</v>
      </c>
      <c r="L445" s="9" t="s">
        <v>66</v>
      </c>
      <c r="M445" s="9" t="s">
        <v>49</v>
      </c>
      <c r="N445" s="10">
        <v>2389.8000000000002</v>
      </c>
      <c r="O445" s="9">
        <v>2024</v>
      </c>
      <c r="P445" s="9">
        <v>10</v>
      </c>
      <c r="Q445" s="9" t="s">
        <v>457</v>
      </c>
      <c r="R445" s="9" t="s">
        <v>458</v>
      </c>
      <c r="S445" s="10">
        <v>2389.8000000000002</v>
      </c>
      <c r="T445" s="45">
        <v>238.98</v>
      </c>
    </row>
    <row r="446" spans="1:20" x14ac:dyDescent="0.35">
      <c r="A446" s="40">
        <v>45582</v>
      </c>
      <c r="B446" s="41" t="s">
        <v>877</v>
      </c>
      <c r="C446" s="41" t="s">
        <v>21</v>
      </c>
      <c r="D446" s="41" t="s">
        <v>33</v>
      </c>
      <c r="E446" s="41" t="s">
        <v>53</v>
      </c>
      <c r="F446" s="41">
        <v>8</v>
      </c>
      <c r="G446" s="42">
        <v>303.35000000000002</v>
      </c>
      <c r="H446" s="41" t="s">
        <v>64</v>
      </c>
      <c r="I446" s="41" t="s">
        <v>878</v>
      </c>
      <c r="J446" s="41" t="s">
        <v>37</v>
      </c>
      <c r="K446" s="41" t="s">
        <v>78</v>
      </c>
      <c r="L446" s="41" t="s">
        <v>66</v>
      </c>
      <c r="M446" s="41" t="s">
        <v>56</v>
      </c>
      <c r="N446" s="42">
        <v>181</v>
      </c>
      <c r="O446" s="41">
        <v>2024</v>
      </c>
      <c r="P446" s="41">
        <v>10</v>
      </c>
      <c r="Q446" s="41" t="s">
        <v>457</v>
      </c>
      <c r="R446" s="41" t="s">
        <v>458</v>
      </c>
      <c r="S446" s="42">
        <v>181</v>
      </c>
      <c r="T446" s="43">
        <v>45.25</v>
      </c>
    </row>
    <row r="447" spans="1:20" x14ac:dyDescent="0.35">
      <c r="A447" s="44">
        <v>45583</v>
      </c>
      <c r="B447" s="9" t="s">
        <v>638</v>
      </c>
      <c r="C447" s="9" t="s">
        <v>21</v>
      </c>
      <c r="D447" s="9" t="s">
        <v>33</v>
      </c>
      <c r="E447" s="9" t="s">
        <v>53</v>
      </c>
      <c r="F447" s="9">
        <v>8</v>
      </c>
      <c r="G447" s="10">
        <v>303.35000000000002</v>
      </c>
      <c r="H447" s="9" t="s">
        <v>58</v>
      </c>
      <c r="I447" s="9" t="s">
        <v>879</v>
      </c>
      <c r="J447" s="9" t="s">
        <v>37</v>
      </c>
      <c r="K447" s="9" t="s">
        <v>78</v>
      </c>
      <c r="L447" s="9" t="s">
        <v>39</v>
      </c>
      <c r="M447" s="9" t="s">
        <v>61</v>
      </c>
      <c r="N447" s="10">
        <v>2012.34</v>
      </c>
      <c r="O447" s="9">
        <v>2024</v>
      </c>
      <c r="P447" s="9">
        <v>10</v>
      </c>
      <c r="Q447" s="9" t="s">
        <v>457</v>
      </c>
      <c r="R447" s="9" t="s">
        <v>458</v>
      </c>
      <c r="S447" s="10">
        <v>2012.34</v>
      </c>
      <c r="T447" s="45">
        <v>335.39</v>
      </c>
    </row>
    <row r="448" spans="1:20" x14ac:dyDescent="0.35">
      <c r="A448" s="40">
        <v>45585</v>
      </c>
      <c r="B448" s="41" t="s">
        <v>808</v>
      </c>
      <c r="C448" s="41" t="s">
        <v>21</v>
      </c>
      <c r="D448" s="41" t="s">
        <v>52</v>
      </c>
      <c r="E448" s="41" t="s">
        <v>53</v>
      </c>
      <c r="F448" s="41">
        <v>8</v>
      </c>
      <c r="G448" s="42">
        <v>303.64999999999998</v>
      </c>
      <c r="H448" s="41" t="s">
        <v>58</v>
      </c>
      <c r="I448" s="41" t="s">
        <v>880</v>
      </c>
      <c r="J448" s="41" t="s">
        <v>37</v>
      </c>
      <c r="K448" s="41" t="s">
        <v>78</v>
      </c>
      <c r="L448" s="41" t="s">
        <v>28</v>
      </c>
      <c r="M448" s="41" t="s">
        <v>101</v>
      </c>
      <c r="N448" s="42">
        <v>72.67</v>
      </c>
      <c r="O448" s="41">
        <v>2024</v>
      </c>
      <c r="P448" s="41">
        <v>10</v>
      </c>
      <c r="Q448" s="41" t="s">
        <v>457</v>
      </c>
      <c r="R448" s="41" t="s">
        <v>458</v>
      </c>
      <c r="S448" s="42">
        <v>72.67</v>
      </c>
      <c r="T448" s="43">
        <v>72.67</v>
      </c>
    </row>
    <row r="449" spans="1:20" x14ac:dyDescent="0.35">
      <c r="A449" s="44">
        <v>45588</v>
      </c>
      <c r="B449" s="9" t="s">
        <v>368</v>
      </c>
      <c r="C449" s="9" t="s">
        <v>21</v>
      </c>
      <c r="D449" s="9" t="s">
        <v>52</v>
      </c>
      <c r="E449" s="9" t="s">
        <v>53</v>
      </c>
      <c r="F449" s="9">
        <v>8</v>
      </c>
      <c r="G449" s="10">
        <v>303.77999999999997</v>
      </c>
      <c r="H449" s="9" t="s">
        <v>58</v>
      </c>
      <c r="I449" s="9" t="s">
        <v>881</v>
      </c>
      <c r="J449" s="9" t="s">
        <v>37</v>
      </c>
      <c r="K449" s="9" t="s">
        <v>78</v>
      </c>
      <c r="L449" s="9" t="s">
        <v>39</v>
      </c>
      <c r="M449" s="9" t="s">
        <v>67</v>
      </c>
      <c r="N449" s="10">
        <v>2827.5</v>
      </c>
      <c r="O449" s="9">
        <v>2024</v>
      </c>
      <c r="P449" s="9">
        <v>10</v>
      </c>
      <c r="Q449" s="9" t="s">
        <v>457</v>
      </c>
      <c r="R449" s="9" t="s">
        <v>458</v>
      </c>
      <c r="S449" s="10">
        <v>2827.5</v>
      </c>
      <c r="T449" s="45">
        <v>282.75</v>
      </c>
    </row>
    <row r="450" spans="1:20" x14ac:dyDescent="0.35">
      <c r="A450" s="40">
        <v>45589</v>
      </c>
      <c r="B450" s="41" t="s">
        <v>882</v>
      </c>
      <c r="C450" s="41" t="s">
        <v>21</v>
      </c>
      <c r="D450" s="41" t="s">
        <v>52</v>
      </c>
      <c r="E450" s="41" t="s">
        <v>53</v>
      </c>
      <c r="F450" s="41">
        <v>8</v>
      </c>
      <c r="G450" s="42">
        <v>303.77999999999997</v>
      </c>
      <c r="H450" s="41" t="s">
        <v>64</v>
      </c>
      <c r="I450" s="41" t="s">
        <v>883</v>
      </c>
      <c r="J450" s="41" t="s">
        <v>37</v>
      </c>
      <c r="K450" s="41" t="s">
        <v>78</v>
      </c>
      <c r="L450" s="41" t="s">
        <v>66</v>
      </c>
      <c r="M450" s="41" t="s">
        <v>56</v>
      </c>
      <c r="N450" s="42">
        <v>654.99</v>
      </c>
      <c r="O450" s="41">
        <v>2024</v>
      </c>
      <c r="P450" s="41">
        <v>10</v>
      </c>
      <c r="Q450" s="41" t="s">
        <v>457</v>
      </c>
      <c r="R450" s="41" t="s">
        <v>458</v>
      </c>
      <c r="S450" s="42">
        <v>654.99</v>
      </c>
      <c r="T450" s="43">
        <v>218.33</v>
      </c>
    </row>
    <row r="451" spans="1:20" x14ac:dyDescent="0.35">
      <c r="A451" s="44">
        <v>45589</v>
      </c>
      <c r="B451" s="9" t="s">
        <v>884</v>
      </c>
      <c r="C451" s="9" t="s">
        <v>21</v>
      </c>
      <c r="D451" s="9" t="s">
        <v>52</v>
      </c>
      <c r="E451" s="9" t="s">
        <v>53</v>
      </c>
      <c r="F451" s="9">
        <v>8</v>
      </c>
      <c r="G451" s="10">
        <v>305.19</v>
      </c>
      <c r="H451" s="9" t="s">
        <v>35</v>
      </c>
      <c r="I451" s="9" t="s">
        <v>885</v>
      </c>
      <c r="J451" s="9" t="s">
        <v>37</v>
      </c>
      <c r="K451" s="9" t="s">
        <v>78</v>
      </c>
      <c r="L451" s="9" t="s">
        <v>28</v>
      </c>
      <c r="M451" s="9" t="s">
        <v>56</v>
      </c>
      <c r="N451" s="10">
        <v>1211.5999999999999</v>
      </c>
      <c r="O451" s="9">
        <v>2024</v>
      </c>
      <c r="P451" s="9">
        <v>10</v>
      </c>
      <c r="Q451" s="9" t="s">
        <v>457</v>
      </c>
      <c r="R451" s="9" t="s">
        <v>458</v>
      </c>
      <c r="S451" s="10">
        <v>1211.5999999999999</v>
      </c>
      <c r="T451" s="45">
        <v>151.44999999999999</v>
      </c>
    </row>
    <row r="452" spans="1:20" x14ac:dyDescent="0.35">
      <c r="A452" s="40">
        <v>45590</v>
      </c>
      <c r="B452" s="41" t="s">
        <v>886</v>
      </c>
      <c r="C452" s="41" t="s">
        <v>21</v>
      </c>
      <c r="D452" s="41" t="s">
        <v>52</v>
      </c>
      <c r="E452" s="41" t="s">
        <v>53</v>
      </c>
      <c r="F452" s="41">
        <v>8</v>
      </c>
      <c r="G452" s="42">
        <v>306.37</v>
      </c>
      <c r="H452" s="41" t="s">
        <v>44</v>
      </c>
      <c r="I452" s="41" t="s">
        <v>887</v>
      </c>
      <c r="J452" s="41" t="s">
        <v>37</v>
      </c>
      <c r="K452" s="41" t="s">
        <v>78</v>
      </c>
      <c r="L452" s="41" t="s">
        <v>66</v>
      </c>
      <c r="M452" s="41" t="s">
        <v>61</v>
      </c>
      <c r="N452" s="42">
        <v>1401.32</v>
      </c>
      <c r="O452" s="41">
        <v>2024</v>
      </c>
      <c r="P452" s="41">
        <v>10</v>
      </c>
      <c r="Q452" s="41" t="s">
        <v>457</v>
      </c>
      <c r="R452" s="41" t="s">
        <v>458</v>
      </c>
      <c r="S452" s="42">
        <v>1401.32</v>
      </c>
      <c r="T452" s="43">
        <v>350.33</v>
      </c>
    </row>
    <row r="453" spans="1:20" x14ac:dyDescent="0.35">
      <c r="A453" s="44">
        <v>45592</v>
      </c>
      <c r="B453" s="9" t="s">
        <v>114</v>
      </c>
      <c r="C453" s="9" t="s">
        <v>21</v>
      </c>
      <c r="D453" s="9" t="s">
        <v>52</v>
      </c>
      <c r="E453" s="9" t="s">
        <v>53</v>
      </c>
      <c r="F453" s="9">
        <v>8</v>
      </c>
      <c r="G453" s="10">
        <v>306.42</v>
      </c>
      <c r="H453" s="9" t="s">
        <v>24</v>
      </c>
      <c r="I453" s="9" t="s">
        <v>888</v>
      </c>
      <c r="J453" s="9" t="s">
        <v>37</v>
      </c>
      <c r="K453" s="9" t="s">
        <v>78</v>
      </c>
      <c r="L453" s="9" t="s">
        <v>39</v>
      </c>
      <c r="M453" s="9" t="s">
        <v>101</v>
      </c>
      <c r="N453" s="10">
        <v>1534.8</v>
      </c>
      <c r="O453" s="9">
        <v>2024</v>
      </c>
      <c r="P453" s="9">
        <v>10</v>
      </c>
      <c r="Q453" s="9" t="s">
        <v>457</v>
      </c>
      <c r="R453" s="9" t="s">
        <v>458</v>
      </c>
      <c r="S453" s="10">
        <v>1534.8</v>
      </c>
      <c r="T453" s="45">
        <v>383.7</v>
      </c>
    </row>
    <row r="454" spans="1:20" x14ac:dyDescent="0.35">
      <c r="A454" s="40">
        <v>45592</v>
      </c>
      <c r="B454" s="41" t="s">
        <v>889</v>
      </c>
      <c r="C454" s="41" t="s">
        <v>21</v>
      </c>
      <c r="D454" s="41" t="s">
        <v>52</v>
      </c>
      <c r="E454" s="41" t="s">
        <v>53</v>
      </c>
      <c r="F454" s="41">
        <v>8</v>
      </c>
      <c r="G454" s="42">
        <v>306.58</v>
      </c>
      <c r="H454" s="41" t="s">
        <v>24</v>
      </c>
      <c r="I454" s="41" t="s">
        <v>890</v>
      </c>
      <c r="J454" s="41" t="s">
        <v>37</v>
      </c>
      <c r="K454" s="41" t="s">
        <v>78</v>
      </c>
      <c r="L454" s="41" t="s">
        <v>28</v>
      </c>
      <c r="M454" s="41" t="s">
        <v>101</v>
      </c>
      <c r="N454" s="42">
        <v>2432.88</v>
      </c>
      <c r="O454" s="41">
        <v>2024</v>
      </c>
      <c r="P454" s="41">
        <v>10</v>
      </c>
      <c r="Q454" s="41" t="s">
        <v>457</v>
      </c>
      <c r="R454" s="41" t="s">
        <v>458</v>
      </c>
      <c r="S454" s="42">
        <v>2432.88</v>
      </c>
      <c r="T454" s="43">
        <v>270.32</v>
      </c>
    </row>
    <row r="455" spans="1:20" x14ac:dyDescent="0.35">
      <c r="A455" s="44">
        <v>45593</v>
      </c>
      <c r="B455" s="9" t="s">
        <v>891</v>
      </c>
      <c r="C455" s="9" t="s">
        <v>21</v>
      </c>
      <c r="D455" s="9" t="s">
        <v>52</v>
      </c>
      <c r="E455" s="9" t="s">
        <v>53</v>
      </c>
      <c r="F455" s="9">
        <v>8</v>
      </c>
      <c r="G455" s="10">
        <v>308.26</v>
      </c>
      <c r="H455" s="9" t="s">
        <v>64</v>
      </c>
      <c r="I455" s="9" t="s">
        <v>892</v>
      </c>
      <c r="J455" s="9" t="s">
        <v>37</v>
      </c>
      <c r="K455" s="9" t="s">
        <v>38</v>
      </c>
      <c r="L455" s="9" t="s">
        <v>39</v>
      </c>
      <c r="M455" s="9" t="s">
        <v>29</v>
      </c>
      <c r="N455" s="10">
        <v>2942.37</v>
      </c>
      <c r="O455" s="9">
        <v>2024</v>
      </c>
      <c r="P455" s="9">
        <v>10</v>
      </c>
      <c r="Q455" s="9" t="s">
        <v>457</v>
      </c>
      <c r="R455" s="9" t="s">
        <v>458</v>
      </c>
      <c r="S455" s="10">
        <v>2942.37</v>
      </c>
      <c r="T455" s="45">
        <v>326.93</v>
      </c>
    </row>
    <row r="456" spans="1:20" x14ac:dyDescent="0.35">
      <c r="A456" s="40">
        <v>45594</v>
      </c>
      <c r="B456" s="41" t="s">
        <v>893</v>
      </c>
      <c r="C456" s="41" t="s">
        <v>21</v>
      </c>
      <c r="D456" s="41" t="s">
        <v>52</v>
      </c>
      <c r="E456" s="41" t="s">
        <v>53</v>
      </c>
      <c r="F456" s="41">
        <v>8</v>
      </c>
      <c r="G456" s="42">
        <v>308.27999999999997</v>
      </c>
      <c r="H456" s="41" t="s">
        <v>24</v>
      </c>
      <c r="I456" s="41" t="s">
        <v>894</v>
      </c>
      <c r="J456" s="41" t="s">
        <v>37</v>
      </c>
      <c r="K456" s="41" t="s">
        <v>38</v>
      </c>
      <c r="L456" s="41" t="s">
        <v>66</v>
      </c>
      <c r="M456" s="41" t="s">
        <v>49</v>
      </c>
      <c r="N456" s="42">
        <v>929.34</v>
      </c>
      <c r="O456" s="41">
        <v>2024</v>
      </c>
      <c r="P456" s="41">
        <v>10</v>
      </c>
      <c r="Q456" s="41" t="s">
        <v>457</v>
      </c>
      <c r="R456" s="41" t="s">
        <v>458</v>
      </c>
      <c r="S456" s="42">
        <v>929.34</v>
      </c>
      <c r="T456" s="43">
        <v>154.88999999999999</v>
      </c>
    </row>
    <row r="457" spans="1:20" x14ac:dyDescent="0.35">
      <c r="A457" s="44">
        <v>45596</v>
      </c>
      <c r="B457" s="9" t="s">
        <v>895</v>
      </c>
      <c r="C457" s="9" t="s">
        <v>21</v>
      </c>
      <c r="D457" s="9" t="s">
        <v>52</v>
      </c>
      <c r="E457" s="9" t="s">
        <v>53</v>
      </c>
      <c r="F457" s="9">
        <v>8</v>
      </c>
      <c r="G457" s="10">
        <v>309.33</v>
      </c>
      <c r="H457" s="9" t="s">
        <v>24</v>
      </c>
      <c r="I457" s="9" t="s">
        <v>896</v>
      </c>
      <c r="J457" s="9" t="s">
        <v>37</v>
      </c>
      <c r="K457" s="9" t="s">
        <v>38</v>
      </c>
      <c r="L457" s="9" t="s">
        <v>66</v>
      </c>
      <c r="M457" s="9" t="s">
        <v>56</v>
      </c>
      <c r="N457" s="10">
        <v>655.38</v>
      </c>
      <c r="O457" s="9">
        <v>2024</v>
      </c>
      <c r="P457" s="9">
        <v>10</v>
      </c>
      <c r="Q457" s="9" t="s">
        <v>457</v>
      </c>
      <c r="R457" s="9" t="s">
        <v>458</v>
      </c>
      <c r="S457" s="10">
        <v>655.38</v>
      </c>
      <c r="T457" s="45">
        <v>327.69</v>
      </c>
    </row>
    <row r="458" spans="1:20" x14ac:dyDescent="0.35">
      <c r="A458" s="40">
        <v>45597</v>
      </c>
      <c r="B458" s="41" t="s">
        <v>897</v>
      </c>
      <c r="C458" s="41" t="s">
        <v>21</v>
      </c>
      <c r="D458" s="41" t="s">
        <v>52</v>
      </c>
      <c r="E458" s="41" t="s">
        <v>53</v>
      </c>
      <c r="F458" s="41">
        <v>8</v>
      </c>
      <c r="G458" s="42">
        <v>309.7</v>
      </c>
      <c r="H458" s="41" t="s">
        <v>58</v>
      </c>
      <c r="I458" s="41" t="s">
        <v>898</v>
      </c>
      <c r="J458" s="41" t="s">
        <v>37</v>
      </c>
      <c r="K458" s="41" t="s">
        <v>38</v>
      </c>
      <c r="L458" s="41" t="s">
        <v>39</v>
      </c>
      <c r="M458" s="41" t="s">
        <v>61</v>
      </c>
      <c r="N458" s="42">
        <v>2196.39</v>
      </c>
      <c r="O458" s="41">
        <v>2024</v>
      </c>
      <c r="P458" s="41">
        <v>11</v>
      </c>
      <c r="Q458" s="41" t="s">
        <v>492</v>
      </c>
      <c r="R458" s="41" t="s">
        <v>458</v>
      </c>
      <c r="S458" s="42">
        <v>2196.39</v>
      </c>
      <c r="T458" s="43">
        <v>313.77</v>
      </c>
    </row>
    <row r="459" spans="1:20" x14ac:dyDescent="0.35">
      <c r="A459" s="44">
        <v>45600</v>
      </c>
      <c r="B459" s="9" t="s">
        <v>354</v>
      </c>
      <c r="C459" s="9" t="s">
        <v>21</v>
      </c>
      <c r="D459" s="9" t="s">
        <v>52</v>
      </c>
      <c r="E459" s="9" t="s">
        <v>53</v>
      </c>
      <c r="F459" s="9">
        <v>8</v>
      </c>
      <c r="G459" s="10">
        <v>310.02</v>
      </c>
      <c r="H459" s="9" t="s">
        <v>64</v>
      </c>
      <c r="I459" s="9" t="s">
        <v>899</v>
      </c>
      <c r="J459" s="9" t="s">
        <v>37</v>
      </c>
      <c r="K459" s="9" t="s">
        <v>38</v>
      </c>
      <c r="L459" s="9" t="s">
        <v>28</v>
      </c>
      <c r="M459" s="9" t="s">
        <v>29</v>
      </c>
      <c r="N459" s="10">
        <v>2287.52</v>
      </c>
      <c r="O459" s="9">
        <v>2024</v>
      </c>
      <c r="P459" s="9">
        <v>11</v>
      </c>
      <c r="Q459" s="9" t="s">
        <v>492</v>
      </c>
      <c r="R459" s="9" t="s">
        <v>458</v>
      </c>
      <c r="S459" s="10">
        <v>2287.52</v>
      </c>
      <c r="T459" s="45">
        <v>285.94</v>
      </c>
    </row>
    <row r="460" spans="1:20" x14ac:dyDescent="0.35">
      <c r="A460" s="40">
        <v>45601</v>
      </c>
      <c r="B460" s="41" t="s">
        <v>900</v>
      </c>
      <c r="C460" s="41" t="s">
        <v>21</v>
      </c>
      <c r="D460" s="41" t="s">
        <v>52</v>
      </c>
      <c r="E460" s="41" t="s">
        <v>53</v>
      </c>
      <c r="F460" s="41">
        <v>8</v>
      </c>
      <c r="G460" s="42">
        <v>310.26</v>
      </c>
      <c r="H460" s="41" t="s">
        <v>35</v>
      </c>
      <c r="I460" s="41" t="s">
        <v>901</v>
      </c>
      <c r="J460" s="41" t="s">
        <v>37</v>
      </c>
      <c r="K460" s="41" t="s">
        <v>38</v>
      </c>
      <c r="L460" s="41" t="s">
        <v>39</v>
      </c>
      <c r="M460" s="41" t="s">
        <v>49</v>
      </c>
      <c r="N460" s="42">
        <v>1365.2</v>
      </c>
      <c r="O460" s="41">
        <v>2024</v>
      </c>
      <c r="P460" s="41">
        <v>11</v>
      </c>
      <c r="Q460" s="41" t="s">
        <v>492</v>
      </c>
      <c r="R460" s="41" t="s">
        <v>458</v>
      </c>
      <c r="S460" s="42">
        <v>1365.2</v>
      </c>
      <c r="T460" s="43">
        <v>273.04000000000002</v>
      </c>
    </row>
    <row r="461" spans="1:20" x14ac:dyDescent="0.35">
      <c r="A461" s="44">
        <v>45601</v>
      </c>
      <c r="B461" s="9" t="s">
        <v>704</v>
      </c>
      <c r="C461" s="9" t="s">
        <v>21</v>
      </c>
      <c r="D461" s="9" t="s">
        <v>52</v>
      </c>
      <c r="E461" s="9" t="s">
        <v>53</v>
      </c>
      <c r="F461" s="9">
        <v>8</v>
      </c>
      <c r="G461" s="10">
        <v>310.32</v>
      </c>
      <c r="H461" s="9" t="s">
        <v>24</v>
      </c>
      <c r="I461" s="9" t="s">
        <v>902</v>
      </c>
      <c r="J461" s="9" t="s">
        <v>37</v>
      </c>
      <c r="K461" s="9" t="s">
        <v>38</v>
      </c>
      <c r="L461" s="9" t="s">
        <v>28</v>
      </c>
      <c r="M461" s="9" t="s">
        <v>49</v>
      </c>
      <c r="N461" s="10">
        <v>2478.56</v>
      </c>
      <c r="O461" s="9">
        <v>2024</v>
      </c>
      <c r="P461" s="9">
        <v>11</v>
      </c>
      <c r="Q461" s="9" t="s">
        <v>492</v>
      </c>
      <c r="R461" s="9" t="s">
        <v>458</v>
      </c>
      <c r="S461" s="10">
        <v>2478.56</v>
      </c>
      <c r="T461" s="45">
        <v>354.08</v>
      </c>
    </row>
    <row r="462" spans="1:20" x14ac:dyDescent="0.35">
      <c r="A462" s="40">
        <v>45602</v>
      </c>
      <c r="B462" s="41" t="s">
        <v>903</v>
      </c>
      <c r="C462" s="41" t="s">
        <v>21</v>
      </c>
      <c r="D462" s="41" t="s">
        <v>52</v>
      </c>
      <c r="E462" s="41" t="s">
        <v>53</v>
      </c>
      <c r="F462" s="41">
        <v>8</v>
      </c>
      <c r="G462" s="42">
        <v>310.75</v>
      </c>
      <c r="H462" s="41" t="s">
        <v>24</v>
      </c>
      <c r="I462" s="41" t="s">
        <v>904</v>
      </c>
      <c r="J462" s="41" t="s">
        <v>37</v>
      </c>
      <c r="K462" s="41" t="s">
        <v>38</v>
      </c>
      <c r="L462" s="41" t="s">
        <v>28</v>
      </c>
      <c r="M462" s="41" t="s">
        <v>67</v>
      </c>
      <c r="N462" s="42">
        <v>927</v>
      </c>
      <c r="O462" s="41">
        <v>2024</v>
      </c>
      <c r="P462" s="41">
        <v>11</v>
      </c>
      <c r="Q462" s="41" t="s">
        <v>492</v>
      </c>
      <c r="R462" s="41" t="s">
        <v>458</v>
      </c>
      <c r="S462" s="42">
        <v>927</v>
      </c>
      <c r="T462" s="43">
        <v>185.4</v>
      </c>
    </row>
    <row r="463" spans="1:20" x14ac:dyDescent="0.35">
      <c r="A463" s="44">
        <v>45603</v>
      </c>
      <c r="B463" s="9" t="s">
        <v>394</v>
      </c>
      <c r="C463" s="9" t="s">
        <v>51</v>
      </c>
      <c r="D463" s="9" t="s">
        <v>52</v>
      </c>
      <c r="E463" s="9" t="s">
        <v>53</v>
      </c>
      <c r="F463" s="9">
        <v>8</v>
      </c>
      <c r="G463" s="10">
        <v>311.11</v>
      </c>
      <c r="H463" s="9" t="s">
        <v>64</v>
      </c>
      <c r="I463" s="9" t="s">
        <v>905</v>
      </c>
      <c r="J463" s="9" t="s">
        <v>37</v>
      </c>
      <c r="K463" s="9" t="s">
        <v>38</v>
      </c>
      <c r="L463" s="9" t="s">
        <v>28</v>
      </c>
      <c r="M463" s="9" t="s">
        <v>56</v>
      </c>
      <c r="N463" s="10">
        <v>1858.2</v>
      </c>
      <c r="O463" s="9">
        <v>2024</v>
      </c>
      <c r="P463" s="9">
        <v>11</v>
      </c>
      <c r="Q463" s="9" t="s">
        <v>492</v>
      </c>
      <c r="R463" s="9" t="s">
        <v>458</v>
      </c>
      <c r="S463" s="10">
        <v>1858.2</v>
      </c>
      <c r="T463" s="45">
        <v>309.7</v>
      </c>
    </row>
    <row r="464" spans="1:20" x14ac:dyDescent="0.35">
      <c r="A464" s="40">
        <v>45603</v>
      </c>
      <c r="B464" s="41" t="s">
        <v>906</v>
      </c>
      <c r="C464" s="41" t="s">
        <v>51</v>
      </c>
      <c r="D464" s="41" t="s">
        <v>52</v>
      </c>
      <c r="E464" s="41" t="s">
        <v>53</v>
      </c>
      <c r="F464" s="41">
        <v>8</v>
      </c>
      <c r="G464" s="42">
        <v>311.23</v>
      </c>
      <c r="H464" s="41" t="s">
        <v>35</v>
      </c>
      <c r="I464" s="41" t="s">
        <v>907</v>
      </c>
      <c r="J464" s="41" t="s">
        <v>37</v>
      </c>
      <c r="K464" s="41" t="s">
        <v>38</v>
      </c>
      <c r="L464" s="41" t="s">
        <v>66</v>
      </c>
      <c r="M464" s="41" t="s">
        <v>56</v>
      </c>
      <c r="N464" s="42">
        <v>2529.17</v>
      </c>
      <c r="O464" s="41">
        <v>2024</v>
      </c>
      <c r="P464" s="41">
        <v>11</v>
      </c>
      <c r="Q464" s="41" t="s">
        <v>492</v>
      </c>
      <c r="R464" s="41" t="s">
        <v>458</v>
      </c>
      <c r="S464" s="42">
        <v>2529.17</v>
      </c>
      <c r="T464" s="43">
        <v>361.31</v>
      </c>
    </row>
    <row r="465" spans="1:20" x14ac:dyDescent="0.35">
      <c r="A465" s="44">
        <v>45603</v>
      </c>
      <c r="B465" s="9" t="s">
        <v>908</v>
      </c>
      <c r="C465" s="9" t="s">
        <v>51</v>
      </c>
      <c r="D465" s="9" t="s">
        <v>52</v>
      </c>
      <c r="E465" s="9" t="s">
        <v>53</v>
      </c>
      <c r="F465" s="9">
        <v>8</v>
      </c>
      <c r="G465" s="10">
        <v>311.31</v>
      </c>
      <c r="H465" s="9" t="s">
        <v>58</v>
      </c>
      <c r="I465" s="9" t="s">
        <v>909</v>
      </c>
      <c r="J465" s="9" t="s">
        <v>37</v>
      </c>
      <c r="K465" s="9" t="s">
        <v>38</v>
      </c>
      <c r="L465" s="9" t="s">
        <v>28</v>
      </c>
      <c r="M465" s="9" t="s">
        <v>56</v>
      </c>
      <c r="N465" s="10">
        <v>3691</v>
      </c>
      <c r="O465" s="9">
        <v>2024</v>
      </c>
      <c r="P465" s="9">
        <v>11</v>
      </c>
      <c r="Q465" s="9" t="s">
        <v>492</v>
      </c>
      <c r="R465" s="9" t="s">
        <v>458</v>
      </c>
      <c r="S465" s="10">
        <v>3691</v>
      </c>
      <c r="T465" s="45">
        <v>369.1</v>
      </c>
    </row>
    <row r="466" spans="1:20" x14ac:dyDescent="0.35">
      <c r="A466" s="40">
        <v>45604</v>
      </c>
      <c r="B466" s="41" t="s">
        <v>910</v>
      </c>
      <c r="C466" s="41" t="s">
        <v>51</v>
      </c>
      <c r="D466" s="41" t="s">
        <v>52</v>
      </c>
      <c r="E466" s="41" t="s">
        <v>53</v>
      </c>
      <c r="F466" s="41">
        <v>8</v>
      </c>
      <c r="G466" s="42">
        <v>312.14</v>
      </c>
      <c r="H466" s="41" t="s">
        <v>58</v>
      </c>
      <c r="I466" s="41" t="s">
        <v>911</v>
      </c>
      <c r="J466" s="41" t="s">
        <v>37</v>
      </c>
      <c r="K466" s="41" t="s">
        <v>38</v>
      </c>
      <c r="L466" s="41" t="s">
        <v>28</v>
      </c>
      <c r="M466" s="41" t="s">
        <v>61</v>
      </c>
      <c r="N466" s="42">
        <v>704.95</v>
      </c>
      <c r="O466" s="41">
        <v>2024</v>
      </c>
      <c r="P466" s="41">
        <v>11</v>
      </c>
      <c r="Q466" s="41" t="s">
        <v>492</v>
      </c>
      <c r="R466" s="41" t="s">
        <v>458</v>
      </c>
      <c r="S466" s="42">
        <v>704.95</v>
      </c>
      <c r="T466" s="43">
        <v>140.99</v>
      </c>
    </row>
    <row r="467" spans="1:20" x14ac:dyDescent="0.35">
      <c r="A467" s="44">
        <v>45606</v>
      </c>
      <c r="B467" s="9" t="s">
        <v>912</v>
      </c>
      <c r="C467" s="9" t="s">
        <v>51</v>
      </c>
      <c r="D467" s="9" t="s">
        <v>52</v>
      </c>
      <c r="E467" s="9" t="s">
        <v>53</v>
      </c>
      <c r="F467" s="9">
        <v>8</v>
      </c>
      <c r="G467" s="10">
        <v>312.2</v>
      </c>
      <c r="H467" s="9" t="s">
        <v>58</v>
      </c>
      <c r="I467" s="9" t="s">
        <v>913</v>
      </c>
      <c r="J467" s="9" t="s">
        <v>37</v>
      </c>
      <c r="K467" s="9" t="s">
        <v>38</v>
      </c>
      <c r="L467" s="9" t="s">
        <v>39</v>
      </c>
      <c r="M467" s="9" t="s">
        <v>101</v>
      </c>
      <c r="N467" s="10">
        <v>1251.52</v>
      </c>
      <c r="O467" s="9">
        <v>2024</v>
      </c>
      <c r="P467" s="9">
        <v>11</v>
      </c>
      <c r="Q467" s="9" t="s">
        <v>492</v>
      </c>
      <c r="R467" s="9" t="s">
        <v>458</v>
      </c>
      <c r="S467" s="10">
        <v>1251.52</v>
      </c>
      <c r="T467" s="45">
        <v>312.88</v>
      </c>
    </row>
    <row r="468" spans="1:20" x14ac:dyDescent="0.35">
      <c r="A468" s="40">
        <v>45613</v>
      </c>
      <c r="B468" s="41" t="s">
        <v>99</v>
      </c>
      <c r="C468" s="41" t="s">
        <v>51</v>
      </c>
      <c r="D468" s="41" t="s">
        <v>52</v>
      </c>
      <c r="E468" s="41" t="s">
        <v>53</v>
      </c>
      <c r="F468" s="41">
        <v>8</v>
      </c>
      <c r="G468" s="42">
        <v>312.51</v>
      </c>
      <c r="H468" s="41" t="s">
        <v>44</v>
      </c>
      <c r="I468" s="41" t="s">
        <v>914</v>
      </c>
      <c r="J468" s="41" t="s">
        <v>37</v>
      </c>
      <c r="K468" s="41" t="s">
        <v>38</v>
      </c>
      <c r="L468" s="41" t="s">
        <v>28</v>
      </c>
      <c r="M468" s="41" t="s">
        <v>101</v>
      </c>
      <c r="N468" s="42">
        <v>53.94</v>
      </c>
      <c r="O468" s="41">
        <v>2024</v>
      </c>
      <c r="P468" s="41">
        <v>11</v>
      </c>
      <c r="Q468" s="41" t="s">
        <v>492</v>
      </c>
      <c r="R468" s="41" t="s">
        <v>458</v>
      </c>
      <c r="S468" s="42">
        <v>53.94</v>
      </c>
      <c r="T468" s="43">
        <v>17.98</v>
      </c>
    </row>
    <row r="469" spans="1:20" x14ac:dyDescent="0.35">
      <c r="A469" s="44">
        <v>45613</v>
      </c>
      <c r="B469" s="9" t="s">
        <v>915</v>
      </c>
      <c r="C469" s="9" t="s">
        <v>51</v>
      </c>
      <c r="D469" s="9" t="s">
        <v>52</v>
      </c>
      <c r="E469" s="9" t="s">
        <v>53</v>
      </c>
      <c r="F469" s="9">
        <v>8</v>
      </c>
      <c r="G469" s="10">
        <v>312.88</v>
      </c>
      <c r="H469" s="9" t="s">
        <v>24</v>
      </c>
      <c r="I469" s="9" t="s">
        <v>916</v>
      </c>
      <c r="J469" s="9" t="s">
        <v>37</v>
      </c>
      <c r="K469" s="9" t="s">
        <v>38</v>
      </c>
      <c r="L469" s="9" t="s">
        <v>39</v>
      </c>
      <c r="M469" s="9" t="s">
        <v>101</v>
      </c>
      <c r="N469" s="10">
        <v>8.0500000000000007</v>
      </c>
      <c r="O469" s="9">
        <v>2024</v>
      </c>
      <c r="P469" s="9">
        <v>11</v>
      </c>
      <c r="Q469" s="9" t="s">
        <v>492</v>
      </c>
      <c r="R469" s="9" t="s">
        <v>458</v>
      </c>
      <c r="S469" s="10">
        <v>8.0500000000000007</v>
      </c>
      <c r="T469" s="45">
        <v>8.0500000000000007</v>
      </c>
    </row>
    <row r="470" spans="1:20" x14ac:dyDescent="0.35">
      <c r="A470" s="40">
        <v>45613</v>
      </c>
      <c r="B470" s="41" t="s">
        <v>906</v>
      </c>
      <c r="C470" s="41" t="s">
        <v>51</v>
      </c>
      <c r="D470" s="41" t="s">
        <v>52</v>
      </c>
      <c r="E470" s="41" t="s">
        <v>53</v>
      </c>
      <c r="F470" s="41">
        <v>8</v>
      </c>
      <c r="G470" s="42">
        <v>313.01</v>
      </c>
      <c r="H470" s="41" t="s">
        <v>58</v>
      </c>
      <c r="I470" s="41" t="s">
        <v>917</v>
      </c>
      <c r="J470" s="41" t="s">
        <v>37</v>
      </c>
      <c r="K470" s="41" t="s">
        <v>38</v>
      </c>
      <c r="L470" s="41" t="s">
        <v>66</v>
      </c>
      <c r="M470" s="41" t="s">
        <v>101</v>
      </c>
      <c r="N470" s="42">
        <v>2734.02</v>
      </c>
      <c r="O470" s="41">
        <v>2024</v>
      </c>
      <c r="P470" s="41">
        <v>11</v>
      </c>
      <c r="Q470" s="41" t="s">
        <v>492</v>
      </c>
      <c r="R470" s="41" t="s">
        <v>458</v>
      </c>
      <c r="S470" s="42">
        <v>2734.02</v>
      </c>
      <c r="T470" s="43">
        <v>303.77999999999997</v>
      </c>
    </row>
    <row r="471" spans="1:20" x14ac:dyDescent="0.35">
      <c r="A471" s="44">
        <v>45614</v>
      </c>
      <c r="B471" s="9" t="s">
        <v>918</v>
      </c>
      <c r="C471" s="9" t="s">
        <v>51</v>
      </c>
      <c r="D471" s="9" t="s">
        <v>52</v>
      </c>
      <c r="E471" s="9" t="s">
        <v>53</v>
      </c>
      <c r="F471" s="9">
        <v>8</v>
      </c>
      <c r="G471" s="10">
        <v>313.77</v>
      </c>
      <c r="H471" s="9" t="s">
        <v>64</v>
      </c>
      <c r="I471" s="9" t="s">
        <v>919</v>
      </c>
      <c r="J471" s="9" t="s">
        <v>37</v>
      </c>
      <c r="K471" s="9" t="s">
        <v>38</v>
      </c>
      <c r="L471" s="9" t="s">
        <v>28</v>
      </c>
      <c r="M471" s="9" t="s">
        <v>29</v>
      </c>
      <c r="N471" s="10">
        <v>2932.4</v>
      </c>
      <c r="O471" s="9">
        <v>2024</v>
      </c>
      <c r="P471" s="9">
        <v>11</v>
      </c>
      <c r="Q471" s="9" t="s">
        <v>492</v>
      </c>
      <c r="R471" s="9" t="s">
        <v>458</v>
      </c>
      <c r="S471" s="10">
        <v>2932.4</v>
      </c>
      <c r="T471" s="45">
        <v>293.24</v>
      </c>
    </row>
    <row r="472" spans="1:20" x14ac:dyDescent="0.35">
      <c r="A472" s="40">
        <v>45615</v>
      </c>
      <c r="B472" s="41" t="s">
        <v>673</v>
      </c>
      <c r="C472" s="41" t="s">
        <v>51</v>
      </c>
      <c r="D472" s="41" t="s">
        <v>52</v>
      </c>
      <c r="E472" s="41" t="s">
        <v>53</v>
      </c>
      <c r="F472" s="41">
        <v>8</v>
      </c>
      <c r="G472" s="42">
        <v>314.01</v>
      </c>
      <c r="H472" s="41" t="s">
        <v>24</v>
      </c>
      <c r="I472" s="41" t="s">
        <v>920</v>
      </c>
      <c r="J472" s="41" t="s">
        <v>37</v>
      </c>
      <c r="K472" s="41" t="s">
        <v>38</v>
      </c>
      <c r="L472" s="41" t="s">
        <v>28</v>
      </c>
      <c r="M472" s="41" t="s">
        <v>49</v>
      </c>
      <c r="N472" s="42">
        <v>1063.44</v>
      </c>
      <c r="O472" s="41">
        <v>2024</v>
      </c>
      <c r="P472" s="41">
        <v>11</v>
      </c>
      <c r="Q472" s="41" t="s">
        <v>492</v>
      </c>
      <c r="R472" s="41" t="s">
        <v>458</v>
      </c>
      <c r="S472" s="42">
        <v>1063.44</v>
      </c>
      <c r="T472" s="43">
        <v>132.93</v>
      </c>
    </row>
    <row r="473" spans="1:20" x14ac:dyDescent="0.35">
      <c r="A473" s="44">
        <v>45616</v>
      </c>
      <c r="B473" s="9" t="s">
        <v>921</v>
      </c>
      <c r="C473" s="9" t="s">
        <v>51</v>
      </c>
      <c r="D473" s="9" t="s">
        <v>52</v>
      </c>
      <c r="E473" s="9" t="s">
        <v>53</v>
      </c>
      <c r="F473" s="9">
        <v>8</v>
      </c>
      <c r="G473" s="10">
        <v>314.48</v>
      </c>
      <c r="H473" s="9" t="s">
        <v>64</v>
      </c>
      <c r="I473" s="9" t="s">
        <v>922</v>
      </c>
      <c r="J473" s="9" t="s">
        <v>37</v>
      </c>
      <c r="K473" s="9" t="s">
        <v>38</v>
      </c>
      <c r="L473" s="9" t="s">
        <v>39</v>
      </c>
      <c r="M473" s="9" t="s">
        <v>67</v>
      </c>
      <c r="N473" s="10">
        <v>1205.25</v>
      </c>
      <c r="O473" s="9">
        <v>2024</v>
      </c>
      <c r="P473" s="9">
        <v>11</v>
      </c>
      <c r="Q473" s="9" t="s">
        <v>492</v>
      </c>
      <c r="R473" s="9" t="s">
        <v>458</v>
      </c>
      <c r="S473" s="10">
        <v>1205.25</v>
      </c>
      <c r="T473" s="45">
        <v>241.05</v>
      </c>
    </row>
    <row r="474" spans="1:20" x14ac:dyDescent="0.35">
      <c r="A474" s="40">
        <v>45617</v>
      </c>
      <c r="B474" s="41" t="s">
        <v>923</v>
      </c>
      <c r="C474" s="41" t="s">
        <v>51</v>
      </c>
      <c r="D474" s="41" t="s">
        <v>52</v>
      </c>
      <c r="E474" s="41" t="s">
        <v>53</v>
      </c>
      <c r="F474" s="41">
        <v>8</v>
      </c>
      <c r="G474" s="42">
        <v>314.73</v>
      </c>
      <c r="H474" s="41" t="s">
        <v>58</v>
      </c>
      <c r="I474" s="41" t="s">
        <v>924</v>
      </c>
      <c r="J474" s="41" t="s">
        <v>37</v>
      </c>
      <c r="K474" s="41" t="s">
        <v>38</v>
      </c>
      <c r="L474" s="41" t="s">
        <v>39</v>
      </c>
      <c r="M474" s="41" t="s">
        <v>56</v>
      </c>
      <c r="N474" s="42">
        <v>380.74</v>
      </c>
      <c r="O474" s="41">
        <v>2024</v>
      </c>
      <c r="P474" s="41">
        <v>11</v>
      </c>
      <c r="Q474" s="41" t="s">
        <v>492</v>
      </c>
      <c r="R474" s="41" t="s">
        <v>458</v>
      </c>
      <c r="S474" s="42">
        <v>380.74</v>
      </c>
      <c r="T474" s="43">
        <v>380.74</v>
      </c>
    </row>
    <row r="475" spans="1:20" x14ac:dyDescent="0.35">
      <c r="A475" s="44">
        <v>45618</v>
      </c>
      <c r="B475" s="9" t="s">
        <v>925</v>
      </c>
      <c r="C475" s="9" t="s">
        <v>51</v>
      </c>
      <c r="D475" s="9" t="s">
        <v>52</v>
      </c>
      <c r="E475" s="9" t="s">
        <v>53</v>
      </c>
      <c r="F475" s="9">
        <v>8</v>
      </c>
      <c r="G475" s="10">
        <v>314.73</v>
      </c>
      <c r="H475" s="9" t="s">
        <v>64</v>
      </c>
      <c r="I475" s="9" t="s">
        <v>926</v>
      </c>
      <c r="J475" s="9" t="s">
        <v>37</v>
      </c>
      <c r="K475" s="9" t="s">
        <v>38</v>
      </c>
      <c r="L475" s="9" t="s">
        <v>39</v>
      </c>
      <c r="M475" s="9" t="s">
        <v>61</v>
      </c>
      <c r="N475" s="10">
        <v>84.98</v>
      </c>
      <c r="O475" s="9">
        <v>2024</v>
      </c>
      <c r="P475" s="9">
        <v>11</v>
      </c>
      <c r="Q475" s="9" t="s">
        <v>492</v>
      </c>
      <c r="R475" s="9" t="s">
        <v>458</v>
      </c>
      <c r="S475" s="10">
        <v>84.98</v>
      </c>
      <c r="T475" s="45">
        <v>42.49</v>
      </c>
    </row>
    <row r="476" spans="1:20" x14ac:dyDescent="0.35">
      <c r="A476" s="40">
        <v>45619</v>
      </c>
      <c r="B476" s="41" t="s">
        <v>416</v>
      </c>
      <c r="C476" s="41" t="s">
        <v>51</v>
      </c>
      <c r="D476" s="41" t="s">
        <v>52</v>
      </c>
      <c r="E476" s="41" t="s">
        <v>53</v>
      </c>
      <c r="F476" s="41">
        <v>9</v>
      </c>
      <c r="G476" s="42">
        <v>315.45999999999998</v>
      </c>
      <c r="H476" s="41" t="s">
        <v>35</v>
      </c>
      <c r="I476" s="41" t="s">
        <v>927</v>
      </c>
      <c r="J476" s="41" t="s">
        <v>97</v>
      </c>
      <c r="K476" s="41" t="s">
        <v>38</v>
      </c>
      <c r="L476" s="41" t="s">
        <v>39</v>
      </c>
      <c r="M476" s="41" t="s">
        <v>79</v>
      </c>
      <c r="N476" s="42">
        <v>328.72</v>
      </c>
      <c r="O476" s="41">
        <v>2024</v>
      </c>
      <c r="P476" s="41">
        <v>11</v>
      </c>
      <c r="Q476" s="41" t="s">
        <v>492</v>
      </c>
      <c r="R476" s="41" t="s">
        <v>458</v>
      </c>
      <c r="S476" s="42">
        <v>328.72</v>
      </c>
      <c r="T476" s="43">
        <v>82.18</v>
      </c>
    </row>
    <row r="477" spans="1:20" x14ac:dyDescent="0.35">
      <c r="A477" s="44">
        <v>45620</v>
      </c>
      <c r="B477" s="9" t="s">
        <v>928</v>
      </c>
      <c r="C477" s="9" t="s">
        <v>51</v>
      </c>
      <c r="D477" s="9" t="s">
        <v>52</v>
      </c>
      <c r="E477" s="9" t="s">
        <v>53</v>
      </c>
      <c r="F477" s="9">
        <v>9</v>
      </c>
      <c r="G477" s="10">
        <v>316.62</v>
      </c>
      <c r="H477" s="9" t="s">
        <v>64</v>
      </c>
      <c r="I477" s="9" t="s">
        <v>929</v>
      </c>
      <c r="J477" s="9" t="s">
        <v>97</v>
      </c>
      <c r="K477" s="9" t="s">
        <v>38</v>
      </c>
      <c r="L477" s="9" t="s">
        <v>39</v>
      </c>
      <c r="M477" s="9" t="s">
        <v>101</v>
      </c>
      <c r="N477" s="10">
        <v>2131.3000000000002</v>
      </c>
      <c r="O477" s="9">
        <v>2024</v>
      </c>
      <c r="P477" s="9">
        <v>11</v>
      </c>
      <c r="Q477" s="9" t="s">
        <v>492</v>
      </c>
      <c r="R477" s="9" t="s">
        <v>458</v>
      </c>
      <c r="S477" s="10">
        <v>2131.3000000000002</v>
      </c>
      <c r="T477" s="45">
        <v>213.13</v>
      </c>
    </row>
    <row r="478" spans="1:20" x14ac:dyDescent="0.35">
      <c r="A478" s="40">
        <v>45621</v>
      </c>
      <c r="B478" s="41" t="s">
        <v>930</v>
      </c>
      <c r="C478" s="41" t="s">
        <v>51</v>
      </c>
      <c r="D478" s="41" t="s">
        <v>52</v>
      </c>
      <c r="E478" s="41" t="s">
        <v>53</v>
      </c>
      <c r="F478" s="41">
        <v>9</v>
      </c>
      <c r="G478" s="42">
        <v>316.64999999999998</v>
      </c>
      <c r="H478" s="41" t="s">
        <v>44</v>
      </c>
      <c r="I478" s="41" t="s">
        <v>931</v>
      </c>
      <c r="J478" s="41" t="s">
        <v>97</v>
      </c>
      <c r="K478" s="41" t="s">
        <v>38</v>
      </c>
      <c r="L478" s="41" t="s">
        <v>39</v>
      </c>
      <c r="M478" s="41" t="s">
        <v>29</v>
      </c>
      <c r="N478" s="42">
        <v>633.29999999999995</v>
      </c>
      <c r="O478" s="41">
        <v>2024</v>
      </c>
      <c r="P478" s="41">
        <v>11</v>
      </c>
      <c r="Q478" s="41" t="s">
        <v>492</v>
      </c>
      <c r="R478" s="41" t="s">
        <v>458</v>
      </c>
      <c r="S478" s="42">
        <v>633.29999999999995</v>
      </c>
      <c r="T478" s="43">
        <v>316.64999999999998</v>
      </c>
    </row>
    <row r="479" spans="1:20" x14ac:dyDescent="0.35">
      <c r="A479" s="44">
        <v>45624</v>
      </c>
      <c r="B479" s="9" t="s">
        <v>448</v>
      </c>
      <c r="C479" s="9" t="s">
        <v>51</v>
      </c>
      <c r="D479" s="9" t="s">
        <v>52</v>
      </c>
      <c r="E479" s="9" t="s">
        <v>53</v>
      </c>
      <c r="F479" s="9">
        <v>9</v>
      </c>
      <c r="G479" s="10">
        <v>316.95999999999998</v>
      </c>
      <c r="H479" s="9" t="s">
        <v>24</v>
      </c>
      <c r="I479" s="9" t="s">
        <v>932</v>
      </c>
      <c r="J479" s="9" t="s">
        <v>97</v>
      </c>
      <c r="K479" s="9" t="s">
        <v>38</v>
      </c>
      <c r="L479" s="9" t="s">
        <v>66</v>
      </c>
      <c r="M479" s="9" t="s">
        <v>56</v>
      </c>
      <c r="N479" s="10">
        <v>1615.18</v>
      </c>
      <c r="O479" s="9">
        <v>2024</v>
      </c>
      <c r="P479" s="9">
        <v>11</v>
      </c>
      <c r="Q479" s="9" t="s">
        <v>492</v>
      </c>
      <c r="R479" s="9" t="s">
        <v>458</v>
      </c>
      <c r="S479" s="10">
        <v>1615.18</v>
      </c>
      <c r="T479" s="45">
        <v>230.74</v>
      </c>
    </row>
    <row r="480" spans="1:20" x14ac:dyDescent="0.35">
      <c r="A480" s="40">
        <v>45627</v>
      </c>
      <c r="B480" s="41" t="s">
        <v>315</v>
      </c>
      <c r="C480" s="41" t="s">
        <v>51</v>
      </c>
      <c r="D480" s="41" t="s">
        <v>52</v>
      </c>
      <c r="E480" s="41" t="s">
        <v>53</v>
      </c>
      <c r="F480" s="41">
        <v>9</v>
      </c>
      <c r="G480" s="42">
        <v>318.93</v>
      </c>
      <c r="H480" s="41" t="s">
        <v>64</v>
      </c>
      <c r="I480" s="41" t="s">
        <v>933</v>
      </c>
      <c r="J480" s="41" t="s">
        <v>97</v>
      </c>
      <c r="K480" s="41" t="s">
        <v>38</v>
      </c>
      <c r="L480" s="41" t="s">
        <v>66</v>
      </c>
      <c r="M480" s="41" t="s">
        <v>101</v>
      </c>
      <c r="N480" s="42">
        <v>1872.08</v>
      </c>
      <c r="O480" s="41">
        <v>2024</v>
      </c>
      <c r="P480" s="41">
        <v>12</v>
      </c>
      <c r="Q480" s="41" t="s">
        <v>529</v>
      </c>
      <c r="R480" s="41" t="s">
        <v>458</v>
      </c>
      <c r="S480" s="42">
        <v>1872.08</v>
      </c>
      <c r="T480" s="43">
        <v>234.01</v>
      </c>
    </row>
    <row r="481" spans="1:20" x14ac:dyDescent="0.35">
      <c r="A481" s="44">
        <v>45627</v>
      </c>
      <c r="B481" s="9" t="s">
        <v>812</v>
      </c>
      <c r="C481" s="9" t="s">
        <v>51</v>
      </c>
      <c r="D481" s="9" t="s">
        <v>52</v>
      </c>
      <c r="E481" s="9" t="s">
        <v>53</v>
      </c>
      <c r="F481" s="9">
        <v>9</v>
      </c>
      <c r="G481" s="10">
        <v>319.05</v>
      </c>
      <c r="H481" s="9" t="s">
        <v>58</v>
      </c>
      <c r="I481" s="9" t="s">
        <v>934</v>
      </c>
      <c r="J481" s="9" t="s">
        <v>97</v>
      </c>
      <c r="K481" s="9" t="s">
        <v>38</v>
      </c>
      <c r="L481" s="9" t="s">
        <v>28</v>
      </c>
      <c r="M481" s="9" t="s">
        <v>101</v>
      </c>
      <c r="N481" s="10">
        <v>171.4</v>
      </c>
      <c r="O481" s="9">
        <v>2024</v>
      </c>
      <c r="P481" s="9">
        <v>12</v>
      </c>
      <c r="Q481" s="9" t="s">
        <v>529</v>
      </c>
      <c r="R481" s="9" t="s">
        <v>458</v>
      </c>
      <c r="S481" s="10">
        <v>171.4</v>
      </c>
      <c r="T481" s="45">
        <v>42.85</v>
      </c>
    </row>
    <row r="482" spans="1:20" x14ac:dyDescent="0.35">
      <c r="A482" s="40">
        <v>45630</v>
      </c>
      <c r="B482" s="41" t="s">
        <v>935</v>
      </c>
      <c r="C482" s="41" t="s">
        <v>51</v>
      </c>
      <c r="D482" s="41" t="s">
        <v>52</v>
      </c>
      <c r="E482" s="41" t="s">
        <v>53</v>
      </c>
      <c r="F482" s="41">
        <v>9</v>
      </c>
      <c r="G482" s="42">
        <v>320.56</v>
      </c>
      <c r="H482" s="41" t="s">
        <v>35</v>
      </c>
      <c r="I482" s="41" t="s">
        <v>936</v>
      </c>
      <c r="J482" s="41" t="s">
        <v>97</v>
      </c>
      <c r="K482" s="41" t="s">
        <v>38</v>
      </c>
      <c r="L482" s="41" t="s">
        <v>39</v>
      </c>
      <c r="M482" s="41" t="s">
        <v>67</v>
      </c>
      <c r="N482" s="42">
        <v>498.32</v>
      </c>
      <c r="O482" s="41">
        <v>2024</v>
      </c>
      <c r="P482" s="41">
        <v>12</v>
      </c>
      <c r="Q482" s="41" t="s">
        <v>529</v>
      </c>
      <c r="R482" s="41" t="s">
        <v>458</v>
      </c>
      <c r="S482" s="42">
        <v>498.32</v>
      </c>
      <c r="T482" s="43">
        <v>62.29</v>
      </c>
    </row>
    <row r="483" spans="1:20" x14ac:dyDescent="0.35">
      <c r="A483" s="44">
        <v>45631</v>
      </c>
      <c r="B483" s="9" t="s">
        <v>923</v>
      </c>
      <c r="C483" s="9" t="s">
        <v>51</v>
      </c>
      <c r="D483" s="9" t="s">
        <v>52</v>
      </c>
      <c r="E483" s="9" t="s">
        <v>53</v>
      </c>
      <c r="F483" s="9">
        <v>9</v>
      </c>
      <c r="G483" s="10">
        <v>321.2</v>
      </c>
      <c r="H483" s="9" t="s">
        <v>58</v>
      </c>
      <c r="I483" s="9" t="s">
        <v>937</v>
      </c>
      <c r="J483" s="9" t="s">
        <v>97</v>
      </c>
      <c r="K483" s="9" t="s">
        <v>38</v>
      </c>
      <c r="L483" s="9" t="s">
        <v>39</v>
      </c>
      <c r="M483" s="9" t="s">
        <v>56</v>
      </c>
      <c r="N483" s="10">
        <v>3829.9</v>
      </c>
      <c r="O483" s="9">
        <v>2024</v>
      </c>
      <c r="P483" s="9">
        <v>12</v>
      </c>
      <c r="Q483" s="9" t="s">
        <v>529</v>
      </c>
      <c r="R483" s="9" t="s">
        <v>458</v>
      </c>
      <c r="S483" s="10">
        <v>3829.9</v>
      </c>
      <c r="T483" s="45">
        <v>382.99</v>
      </c>
    </row>
    <row r="484" spans="1:20" x14ac:dyDescent="0.35">
      <c r="A484" s="40">
        <v>45635</v>
      </c>
      <c r="B484" s="41" t="s">
        <v>938</v>
      </c>
      <c r="C484" s="41" t="s">
        <v>51</v>
      </c>
      <c r="D484" s="41" t="s">
        <v>52</v>
      </c>
      <c r="E484" s="41" t="s">
        <v>53</v>
      </c>
      <c r="F484" s="41">
        <v>9</v>
      </c>
      <c r="G484" s="42">
        <v>323.45999999999998</v>
      </c>
      <c r="H484" s="41" t="s">
        <v>35</v>
      </c>
      <c r="I484" s="41" t="s">
        <v>939</v>
      </c>
      <c r="J484" s="41" t="s">
        <v>97</v>
      </c>
      <c r="K484" s="41" t="s">
        <v>38</v>
      </c>
      <c r="L484" s="41" t="s">
        <v>28</v>
      </c>
      <c r="M484" s="41" t="s">
        <v>29</v>
      </c>
      <c r="N484" s="42">
        <v>2059.19</v>
      </c>
      <c r="O484" s="41">
        <v>2024</v>
      </c>
      <c r="P484" s="41">
        <v>12</v>
      </c>
      <c r="Q484" s="41" t="s">
        <v>529</v>
      </c>
      <c r="R484" s="41" t="s">
        <v>458</v>
      </c>
      <c r="S484" s="42">
        <v>2059.19</v>
      </c>
      <c r="T484" s="43">
        <v>294.17</v>
      </c>
    </row>
    <row r="485" spans="1:20" x14ac:dyDescent="0.35">
      <c r="A485" s="44">
        <v>45635</v>
      </c>
      <c r="B485" s="9" t="s">
        <v>940</v>
      </c>
      <c r="C485" s="9" t="s">
        <v>51</v>
      </c>
      <c r="D485" s="9" t="s">
        <v>52</v>
      </c>
      <c r="E485" s="9" t="s">
        <v>53</v>
      </c>
      <c r="F485" s="9">
        <v>9</v>
      </c>
      <c r="G485" s="10">
        <v>323.48</v>
      </c>
      <c r="H485" s="9" t="s">
        <v>24</v>
      </c>
      <c r="I485" s="9" t="s">
        <v>941</v>
      </c>
      <c r="J485" s="9" t="s">
        <v>97</v>
      </c>
      <c r="K485" s="9" t="s">
        <v>38</v>
      </c>
      <c r="L485" s="9" t="s">
        <v>28</v>
      </c>
      <c r="M485" s="9" t="s">
        <v>29</v>
      </c>
      <c r="N485" s="10">
        <v>743.8</v>
      </c>
      <c r="O485" s="9">
        <v>2024</v>
      </c>
      <c r="P485" s="9">
        <v>12</v>
      </c>
      <c r="Q485" s="9" t="s">
        <v>529</v>
      </c>
      <c r="R485" s="9" t="s">
        <v>458</v>
      </c>
      <c r="S485" s="10">
        <v>743.8</v>
      </c>
      <c r="T485" s="45">
        <v>148.76</v>
      </c>
    </row>
    <row r="486" spans="1:20" x14ac:dyDescent="0.35">
      <c r="A486" s="40">
        <v>45636</v>
      </c>
      <c r="B486" s="41" t="s">
        <v>847</v>
      </c>
      <c r="C486" s="41" t="s">
        <v>51</v>
      </c>
      <c r="D486" s="41" t="s">
        <v>52</v>
      </c>
      <c r="E486" s="41" t="s">
        <v>53</v>
      </c>
      <c r="F486" s="41">
        <v>9</v>
      </c>
      <c r="G486" s="42">
        <v>323.91000000000003</v>
      </c>
      <c r="H486" s="41" t="s">
        <v>35</v>
      </c>
      <c r="I486" s="41" t="s">
        <v>942</v>
      </c>
      <c r="J486" s="41" t="s">
        <v>97</v>
      </c>
      <c r="K486" s="41" t="s">
        <v>38</v>
      </c>
      <c r="L486" s="41" t="s">
        <v>66</v>
      </c>
      <c r="M486" s="41" t="s">
        <v>49</v>
      </c>
      <c r="N486" s="42">
        <v>247.71</v>
      </c>
      <c r="O486" s="41">
        <v>2024</v>
      </c>
      <c r="P486" s="41">
        <v>12</v>
      </c>
      <c r="Q486" s="41" t="s">
        <v>529</v>
      </c>
      <c r="R486" s="41" t="s">
        <v>458</v>
      </c>
      <c r="S486" s="42">
        <v>247.71</v>
      </c>
      <c r="T486" s="43">
        <v>247.71</v>
      </c>
    </row>
    <row r="487" spans="1:20" x14ac:dyDescent="0.35">
      <c r="A487" s="44">
        <v>45637</v>
      </c>
      <c r="B487" s="9" t="s">
        <v>437</v>
      </c>
      <c r="C487" s="9" t="s">
        <v>51</v>
      </c>
      <c r="D487" s="9" t="s">
        <v>52</v>
      </c>
      <c r="E487" s="9" t="s">
        <v>53</v>
      </c>
      <c r="F487" s="9">
        <v>9</v>
      </c>
      <c r="G487" s="10">
        <v>324.63</v>
      </c>
      <c r="H487" s="9" t="s">
        <v>35</v>
      </c>
      <c r="I487" s="9" t="s">
        <v>943</v>
      </c>
      <c r="J487" s="9" t="s">
        <v>97</v>
      </c>
      <c r="K487" s="9" t="s">
        <v>38</v>
      </c>
      <c r="L487" s="9" t="s">
        <v>28</v>
      </c>
      <c r="M487" s="9" t="s">
        <v>67</v>
      </c>
      <c r="N487" s="10">
        <v>3093.3</v>
      </c>
      <c r="O487" s="9">
        <v>2024</v>
      </c>
      <c r="P487" s="9">
        <v>12</v>
      </c>
      <c r="Q487" s="9" t="s">
        <v>529</v>
      </c>
      <c r="R487" s="9" t="s">
        <v>458</v>
      </c>
      <c r="S487" s="10">
        <v>3093.3</v>
      </c>
      <c r="T487" s="45">
        <v>309.33</v>
      </c>
    </row>
    <row r="488" spans="1:20" x14ac:dyDescent="0.35">
      <c r="A488" s="40">
        <v>45639</v>
      </c>
      <c r="B488" s="41" t="s">
        <v>743</v>
      </c>
      <c r="C488" s="41" t="s">
        <v>51</v>
      </c>
      <c r="D488" s="41" t="s">
        <v>52</v>
      </c>
      <c r="E488" s="41" t="s">
        <v>53</v>
      </c>
      <c r="F488" s="41">
        <v>9</v>
      </c>
      <c r="G488" s="42">
        <v>324.72000000000003</v>
      </c>
      <c r="H488" s="41" t="s">
        <v>35</v>
      </c>
      <c r="I488" s="41" t="s">
        <v>944</v>
      </c>
      <c r="J488" s="41" t="s">
        <v>97</v>
      </c>
      <c r="K488" s="41" t="s">
        <v>38</v>
      </c>
      <c r="L488" s="41" t="s">
        <v>39</v>
      </c>
      <c r="M488" s="41" t="s">
        <v>61</v>
      </c>
      <c r="N488" s="42">
        <v>810.9</v>
      </c>
      <c r="O488" s="41">
        <v>2024</v>
      </c>
      <c r="P488" s="41">
        <v>12</v>
      </c>
      <c r="Q488" s="41" t="s">
        <v>529</v>
      </c>
      <c r="R488" s="41" t="s">
        <v>458</v>
      </c>
      <c r="S488" s="42">
        <v>810.9</v>
      </c>
      <c r="T488" s="43">
        <v>162.18</v>
      </c>
    </row>
    <row r="489" spans="1:20" x14ac:dyDescent="0.35">
      <c r="A489" s="44">
        <v>45639</v>
      </c>
      <c r="B489" s="9" t="s">
        <v>435</v>
      </c>
      <c r="C489" s="9" t="s">
        <v>51</v>
      </c>
      <c r="D489" s="9" t="s">
        <v>52</v>
      </c>
      <c r="E489" s="9" t="s">
        <v>53</v>
      </c>
      <c r="F489" s="9">
        <v>9</v>
      </c>
      <c r="G489" s="10">
        <v>326.64999999999998</v>
      </c>
      <c r="H489" s="9" t="s">
        <v>35</v>
      </c>
      <c r="I489" s="9" t="s">
        <v>945</v>
      </c>
      <c r="J489" s="9" t="s">
        <v>97</v>
      </c>
      <c r="K489" s="9" t="s">
        <v>38</v>
      </c>
      <c r="L489" s="9" t="s">
        <v>28</v>
      </c>
      <c r="M489" s="9" t="s">
        <v>61</v>
      </c>
      <c r="N489" s="10">
        <v>152.05000000000001</v>
      </c>
      <c r="O489" s="9">
        <v>2024</v>
      </c>
      <c r="P489" s="9">
        <v>12</v>
      </c>
      <c r="Q489" s="9" t="s">
        <v>529</v>
      </c>
      <c r="R489" s="9" t="s">
        <v>458</v>
      </c>
      <c r="S489" s="10">
        <v>152.05000000000001</v>
      </c>
      <c r="T489" s="45">
        <v>152.05000000000001</v>
      </c>
    </row>
    <row r="490" spans="1:20" x14ac:dyDescent="0.35">
      <c r="A490" s="40">
        <v>45639</v>
      </c>
      <c r="B490" s="41" t="s">
        <v>946</v>
      </c>
      <c r="C490" s="41" t="s">
        <v>51</v>
      </c>
      <c r="D490" s="41" t="s">
        <v>52</v>
      </c>
      <c r="E490" s="41" t="s">
        <v>53</v>
      </c>
      <c r="F490" s="41">
        <v>9</v>
      </c>
      <c r="G490" s="42">
        <v>326.93</v>
      </c>
      <c r="H490" s="41" t="s">
        <v>35</v>
      </c>
      <c r="I490" s="41" t="s">
        <v>947</v>
      </c>
      <c r="J490" s="41" t="s">
        <v>97</v>
      </c>
      <c r="K490" s="41" t="s">
        <v>38</v>
      </c>
      <c r="L490" s="41" t="s">
        <v>39</v>
      </c>
      <c r="M490" s="41" t="s">
        <v>61</v>
      </c>
      <c r="N490" s="42">
        <v>2278.4</v>
      </c>
      <c r="O490" s="41">
        <v>2024</v>
      </c>
      <c r="P490" s="41">
        <v>12</v>
      </c>
      <c r="Q490" s="41" t="s">
        <v>529</v>
      </c>
      <c r="R490" s="41" t="s">
        <v>458</v>
      </c>
      <c r="S490" s="42">
        <v>2278.4</v>
      </c>
      <c r="T490" s="43">
        <v>284.8</v>
      </c>
    </row>
    <row r="491" spans="1:20" x14ac:dyDescent="0.35">
      <c r="A491" s="44">
        <v>45640</v>
      </c>
      <c r="B491" s="9" t="s">
        <v>443</v>
      </c>
      <c r="C491" s="9" t="s">
        <v>51</v>
      </c>
      <c r="D491" s="9" t="s">
        <v>52</v>
      </c>
      <c r="E491" s="9" t="s">
        <v>53</v>
      </c>
      <c r="F491" s="9">
        <v>9</v>
      </c>
      <c r="G491" s="10">
        <v>327.69</v>
      </c>
      <c r="H491" s="9" t="s">
        <v>35</v>
      </c>
      <c r="I491" s="9" t="s">
        <v>948</v>
      </c>
      <c r="J491" s="9" t="s">
        <v>97</v>
      </c>
      <c r="K491" s="9" t="s">
        <v>38</v>
      </c>
      <c r="L491" s="9" t="s">
        <v>39</v>
      </c>
      <c r="M491" s="9" t="s">
        <v>79</v>
      </c>
      <c r="N491" s="10">
        <v>1067.9000000000001</v>
      </c>
      <c r="O491" s="9">
        <v>2024</v>
      </c>
      <c r="P491" s="9">
        <v>12</v>
      </c>
      <c r="Q491" s="9" t="s">
        <v>529</v>
      </c>
      <c r="R491" s="9" t="s">
        <v>458</v>
      </c>
      <c r="S491" s="10">
        <v>1067.9000000000001</v>
      </c>
      <c r="T491" s="45">
        <v>106.79</v>
      </c>
    </row>
    <row r="492" spans="1:20" x14ac:dyDescent="0.35">
      <c r="A492" s="40">
        <v>45642</v>
      </c>
      <c r="B492" s="41" t="s">
        <v>949</v>
      </c>
      <c r="C492" s="41" t="s">
        <v>51</v>
      </c>
      <c r="D492" s="41" t="s">
        <v>52</v>
      </c>
      <c r="E492" s="41" t="s">
        <v>53</v>
      </c>
      <c r="F492" s="41">
        <v>9</v>
      </c>
      <c r="G492" s="42">
        <v>327.76</v>
      </c>
      <c r="H492" s="41" t="s">
        <v>64</v>
      </c>
      <c r="I492" s="41" t="s">
        <v>950</v>
      </c>
      <c r="J492" s="41" t="s">
        <v>97</v>
      </c>
      <c r="K492" s="41" t="s">
        <v>38</v>
      </c>
      <c r="L492" s="41" t="s">
        <v>28</v>
      </c>
      <c r="M492" s="41" t="s">
        <v>29</v>
      </c>
      <c r="N492" s="42">
        <v>285.95999999999998</v>
      </c>
      <c r="O492" s="41">
        <v>2024</v>
      </c>
      <c r="P492" s="41">
        <v>12</v>
      </c>
      <c r="Q492" s="41" t="s">
        <v>529</v>
      </c>
      <c r="R492" s="41" t="s">
        <v>458</v>
      </c>
      <c r="S492" s="42">
        <v>285.95999999999998</v>
      </c>
      <c r="T492" s="43">
        <v>95.32</v>
      </c>
    </row>
    <row r="493" spans="1:20" x14ac:dyDescent="0.35">
      <c r="A493" s="44">
        <v>45642</v>
      </c>
      <c r="B493" s="9" t="s">
        <v>743</v>
      </c>
      <c r="C493" s="9" t="s">
        <v>51</v>
      </c>
      <c r="D493" s="9" t="s">
        <v>52</v>
      </c>
      <c r="E493" s="9" t="s">
        <v>53</v>
      </c>
      <c r="F493" s="9">
        <v>9</v>
      </c>
      <c r="G493" s="10">
        <v>328.28</v>
      </c>
      <c r="H493" s="9" t="s">
        <v>58</v>
      </c>
      <c r="I493" s="9" t="s">
        <v>951</v>
      </c>
      <c r="J493" s="9" t="s">
        <v>97</v>
      </c>
      <c r="K493" s="9" t="s">
        <v>38</v>
      </c>
      <c r="L493" s="9" t="s">
        <v>39</v>
      </c>
      <c r="M493" s="9" t="s">
        <v>29</v>
      </c>
      <c r="N493" s="10">
        <v>366.47</v>
      </c>
      <c r="O493" s="9">
        <v>2024</v>
      </c>
      <c r="P493" s="9">
        <v>12</v>
      </c>
      <c r="Q493" s="9" t="s">
        <v>529</v>
      </c>
      <c r="R493" s="9" t="s">
        <v>458</v>
      </c>
      <c r="S493" s="10">
        <v>366.47</v>
      </c>
      <c r="T493" s="45">
        <v>366.47</v>
      </c>
    </row>
    <row r="494" spans="1:20" x14ac:dyDescent="0.35">
      <c r="A494" s="40">
        <v>45643</v>
      </c>
      <c r="B494" s="41" t="s">
        <v>817</v>
      </c>
      <c r="C494" s="41" t="s">
        <v>51</v>
      </c>
      <c r="D494" s="41" t="s">
        <v>52</v>
      </c>
      <c r="E494" s="41" t="s">
        <v>53</v>
      </c>
      <c r="F494" s="41">
        <v>9</v>
      </c>
      <c r="G494" s="42">
        <v>328.5</v>
      </c>
      <c r="H494" s="41" t="s">
        <v>24</v>
      </c>
      <c r="I494" s="41" t="s">
        <v>952</v>
      </c>
      <c r="J494" s="41" t="s">
        <v>97</v>
      </c>
      <c r="K494" s="41" t="s">
        <v>38</v>
      </c>
      <c r="L494" s="41" t="s">
        <v>39</v>
      </c>
      <c r="M494" s="41" t="s">
        <v>49</v>
      </c>
      <c r="N494" s="42">
        <v>1005.9</v>
      </c>
      <c r="O494" s="41">
        <v>2024</v>
      </c>
      <c r="P494" s="41">
        <v>12</v>
      </c>
      <c r="Q494" s="41" t="s">
        <v>529</v>
      </c>
      <c r="R494" s="41" t="s">
        <v>458</v>
      </c>
      <c r="S494" s="42">
        <v>1005.9</v>
      </c>
      <c r="T494" s="43">
        <v>335.3</v>
      </c>
    </row>
    <row r="495" spans="1:20" x14ac:dyDescent="0.35">
      <c r="A495" s="44">
        <v>45649</v>
      </c>
      <c r="B495" s="9" t="s">
        <v>953</v>
      </c>
      <c r="C495" s="9" t="s">
        <v>51</v>
      </c>
      <c r="D495" s="9" t="s">
        <v>52</v>
      </c>
      <c r="E495" s="9" t="s">
        <v>53</v>
      </c>
      <c r="F495" s="9">
        <v>9</v>
      </c>
      <c r="G495" s="10">
        <v>328.63</v>
      </c>
      <c r="H495" s="9" t="s">
        <v>64</v>
      </c>
      <c r="I495" s="9" t="s">
        <v>954</v>
      </c>
      <c r="J495" s="9" t="s">
        <v>97</v>
      </c>
      <c r="K495" s="9" t="s">
        <v>38</v>
      </c>
      <c r="L495" s="9" t="s">
        <v>28</v>
      </c>
      <c r="M495" s="9" t="s">
        <v>29</v>
      </c>
      <c r="N495" s="10">
        <v>367.92</v>
      </c>
      <c r="O495" s="9">
        <v>2024</v>
      </c>
      <c r="P495" s="9">
        <v>12</v>
      </c>
      <c r="Q495" s="9" t="s">
        <v>529</v>
      </c>
      <c r="R495" s="9" t="s">
        <v>458</v>
      </c>
      <c r="S495" s="10">
        <v>367.92</v>
      </c>
      <c r="T495" s="45">
        <v>45.99</v>
      </c>
    </row>
    <row r="496" spans="1:20" x14ac:dyDescent="0.35">
      <c r="A496" s="40">
        <v>45650</v>
      </c>
      <c r="B496" s="41" t="s">
        <v>955</v>
      </c>
      <c r="C496" s="41" t="s">
        <v>51</v>
      </c>
      <c r="D496" s="41" t="s">
        <v>52</v>
      </c>
      <c r="E496" s="41" t="s">
        <v>53</v>
      </c>
      <c r="F496" s="41">
        <v>9</v>
      </c>
      <c r="G496" s="42">
        <v>329.07</v>
      </c>
      <c r="H496" s="41" t="s">
        <v>35</v>
      </c>
      <c r="I496" s="41" t="s">
        <v>956</v>
      </c>
      <c r="J496" s="41" t="s">
        <v>97</v>
      </c>
      <c r="K496" s="41" t="s">
        <v>38</v>
      </c>
      <c r="L496" s="41" t="s">
        <v>66</v>
      </c>
      <c r="M496" s="41" t="s">
        <v>49</v>
      </c>
      <c r="N496" s="42">
        <v>840.91</v>
      </c>
      <c r="O496" s="41">
        <v>2024</v>
      </c>
      <c r="P496" s="41">
        <v>12</v>
      </c>
      <c r="Q496" s="41" t="s">
        <v>529</v>
      </c>
      <c r="R496" s="41" t="s">
        <v>458</v>
      </c>
      <c r="S496" s="42">
        <v>840.91</v>
      </c>
      <c r="T496" s="43">
        <v>120.13</v>
      </c>
    </row>
    <row r="497" spans="1:20" x14ac:dyDescent="0.35">
      <c r="A497" s="44">
        <v>45650</v>
      </c>
      <c r="B497" s="9" t="s">
        <v>957</v>
      </c>
      <c r="C497" s="9" t="s">
        <v>51</v>
      </c>
      <c r="D497" s="9" t="s">
        <v>52</v>
      </c>
      <c r="E497" s="9" t="s">
        <v>53</v>
      </c>
      <c r="F497" s="9">
        <v>9</v>
      </c>
      <c r="G497" s="10">
        <v>329.82</v>
      </c>
      <c r="H497" s="9" t="s">
        <v>58</v>
      </c>
      <c r="I497" s="9" t="s">
        <v>958</v>
      </c>
      <c r="J497" s="9" t="s">
        <v>97</v>
      </c>
      <c r="K497" s="9" t="s">
        <v>38</v>
      </c>
      <c r="L497" s="9" t="s">
        <v>39</v>
      </c>
      <c r="M497" s="9" t="s">
        <v>49</v>
      </c>
      <c r="N497" s="10">
        <v>2119.1</v>
      </c>
      <c r="O497" s="9">
        <v>2024</v>
      </c>
      <c r="P497" s="9">
        <v>12</v>
      </c>
      <c r="Q497" s="9" t="s">
        <v>529</v>
      </c>
      <c r="R497" s="9" t="s">
        <v>458</v>
      </c>
      <c r="S497" s="10">
        <v>2119.1</v>
      </c>
      <c r="T497" s="45">
        <v>211.91</v>
      </c>
    </row>
    <row r="498" spans="1:20" x14ac:dyDescent="0.35">
      <c r="A498" s="40">
        <v>45653</v>
      </c>
      <c r="B498" s="41" t="s">
        <v>182</v>
      </c>
      <c r="C498" s="41" t="s">
        <v>51</v>
      </c>
      <c r="D498" s="41" t="s">
        <v>52</v>
      </c>
      <c r="E498" s="41" t="s">
        <v>53</v>
      </c>
      <c r="F498" s="41">
        <v>9</v>
      </c>
      <c r="G498" s="42">
        <v>330.6</v>
      </c>
      <c r="H498" s="41" t="s">
        <v>35</v>
      </c>
      <c r="I498" s="41" t="s">
        <v>959</v>
      </c>
      <c r="J498" s="41" t="s">
        <v>97</v>
      </c>
      <c r="K498" s="41" t="s">
        <v>38</v>
      </c>
      <c r="L498" s="41" t="s">
        <v>66</v>
      </c>
      <c r="M498" s="41" t="s">
        <v>61</v>
      </c>
      <c r="N498" s="42">
        <v>1528.32</v>
      </c>
      <c r="O498" s="41">
        <v>2024</v>
      </c>
      <c r="P498" s="41">
        <v>12</v>
      </c>
      <c r="Q498" s="41" t="s">
        <v>529</v>
      </c>
      <c r="R498" s="41" t="s">
        <v>458</v>
      </c>
      <c r="S498" s="42">
        <v>1528.32</v>
      </c>
      <c r="T498" s="43">
        <v>254.72</v>
      </c>
    </row>
    <row r="499" spans="1:20" x14ac:dyDescent="0.35">
      <c r="A499" s="44">
        <v>45656</v>
      </c>
      <c r="B499" s="9" t="s">
        <v>119</v>
      </c>
      <c r="C499" s="9" t="s">
        <v>51</v>
      </c>
      <c r="D499" s="9" t="s">
        <v>52</v>
      </c>
      <c r="E499" s="9" t="s">
        <v>53</v>
      </c>
      <c r="F499" s="9">
        <v>9</v>
      </c>
      <c r="G499" s="10">
        <v>331.33</v>
      </c>
      <c r="H499" s="9" t="s">
        <v>35</v>
      </c>
      <c r="I499" s="9" t="s">
        <v>960</v>
      </c>
      <c r="J499" s="9" t="s">
        <v>97</v>
      </c>
      <c r="K499" s="9" t="s">
        <v>38</v>
      </c>
      <c r="L499" s="9" t="s">
        <v>66</v>
      </c>
      <c r="M499" s="9" t="s">
        <v>29</v>
      </c>
      <c r="N499" s="10">
        <v>1341.64</v>
      </c>
      <c r="O499" s="9">
        <v>2024</v>
      </c>
      <c r="P499" s="9">
        <v>12</v>
      </c>
      <c r="Q499" s="9" t="s">
        <v>529</v>
      </c>
      <c r="R499" s="9" t="s">
        <v>458</v>
      </c>
      <c r="S499" s="10">
        <v>1341.64</v>
      </c>
      <c r="T499" s="45">
        <v>335.41</v>
      </c>
    </row>
    <row r="500" spans="1:20" x14ac:dyDescent="0.35">
      <c r="A500" s="40">
        <v>45657</v>
      </c>
      <c r="B500" s="41" t="s">
        <v>961</v>
      </c>
      <c r="C500" s="41" t="s">
        <v>51</v>
      </c>
      <c r="D500" s="41" t="s">
        <v>52</v>
      </c>
      <c r="E500" s="41" t="s">
        <v>53</v>
      </c>
      <c r="F500" s="41">
        <v>9</v>
      </c>
      <c r="G500" s="42">
        <v>332.06</v>
      </c>
      <c r="H500" s="41" t="s">
        <v>44</v>
      </c>
      <c r="I500" s="41" t="s">
        <v>962</v>
      </c>
      <c r="J500" s="41" t="s">
        <v>97</v>
      </c>
      <c r="K500" s="41" t="s">
        <v>38</v>
      </c>
      <c r="L500" s="41" t="s">
        <v>39</v>
      </c>
      <c r="M500" s="41" t="s">
        <v>49</v>
      </c>
      <c r="N500" s="42">
        <v>1443.54</v>
      </c>
      <c r="O500" s="41">
        <v>2024</v>
      </c>
      <c r="P500" s="41">
        <v>12</v>
      </c>
      <c r="Q500" s="41" t="s">
        <v>529</v>
      </c>
      <c r="R500" s="41" t="s">
        <v>458</v>
      </c>
      <c r="S500" s="42">
        <v>1443.54</v>
      </c>
      <c r="T500" s="43">
        <v>206.22</v>
      </c>
    </row>
    <row r="501" spans="1:20" x14ac:dyDescent="0.35">
      <c r="A501" s="44">
        <v>45657</v>
      </c>
      <c r="B501" s="9" t="s">
        <v>963</v>
      </c>
      <c r="C501" s="9" t="s">
        <v>51</v>
      </c>
      <c r="D501" s="9" t="s">
        <v>52</v>
      </c>
      <c r="E501" s="9" t="s">
        <v>53</v>
      </c>
      <c r="F501" s="9">
        <v>9</v>
      </c>
      <c r="G501" s="10">
        <v>333.11</v>
      </c>
      <c r="H501" s="9" t="s">
        <v>64</v>
      </c>
      <c r="I501" s="9" t="s">
        <v>964</v>
      </c>
      <c r="J501" s="9" t="s">
        <v>97</v>
      </c>
      <c r="K501" s="9" t="s">
        <v>38</v>
      </c>
      <c r="L501" s="9" t="s">
        <v>39</v>
      </c>
      <c r="M501" s="9" t="s">
        <v>49</v>
      </c>
      <c r="N501" s="10">
        <v>194.45</v>
      </c>
      <c r="O501" s="9">
        <v>2024</v>
      </c>
      <c r="P501" s="9">
        <v>12</v>
      </c>
      <c r="Q501" s="9" t="s">
        <v>529</v>
      </c>
      <c r="R501" s="9" t="s">
        <v>458</v>
      </c>
      <c r="S501" s="10">
        <v>194.45</v>
      </c>
      <c r="T501" s="45">
        <v>38.89</v>
      </c>
    </row>
    <row r="502" spans="1:20" x14ac:dyDescent="0.35">
      <c r="A502" s="40">
        <v>45657</v>
      </c>
      <c r="B502" s="41" t="s">
        <v>193</v>
      </c>
      <c r="C502" s="41" t="s">
        <v>51</v>
      </c>
      <c r="D502" s="41" t="s">
        <v>52</v>
      </c>
      <c r="E502" s="41" t="s">
        <v>53</v>
      </c>
      <c r="F502" s="41">
        <v>9</v>
      </c>
      <c r="G502" s="42">
        <v>335.3</v>
      </c>
      <c r="H502" s="41" t="s">
        <v>64</v>
      </c>
      <c r="I502" s="41" t="s">
        <v>965</v>
      </c>
      <c r="J502" s="41" t="s">
        <v>97</v>
      </c>
      <c r="K502" s="41" t="s">
        <v>38</v>
      </c>
      <c r="L502" s="41" t="s">
        <v>28</v>
      </c>
      <c r="M502" s="41" t="s">
        <v>49</v>
      </c>
      <c r="N502" s="42">
        <v>653.79999999999995</v>
      </c>
      <c r="O502" s="41">
        <v>2024</v>
      </c>
      <c r="P502" s="41">
        <v>12</v>
      </c>
      <c r="Q502" s="41" t="s">
        <v>529</v>
      </c>
      <c r="R502" s="41" t="s">
        <v>458</v>
      </c>
      <c r="S502" s="42">
        <v>653.79999999999995</v>
      </c>
      <c r="T502" s="43">
        <v>163.44999999999999</v>
      </c>
    </row>
    <row r="503" spans="1:20" x14ac:dyDescent="0.35">
      <c r="A503" s="44">
        <v>45659</v>
      </c>
      <c r="B503" s="9" t="s">
        <v>332</v>
      </c>
      <c r="C503" s="9" t="s">
        <v>51</v>
      </c>
      <c r="D503" s="9" t="s">
        <v>52</v>
      </c>
      <c r="E503" s="9" t="s">
        <v>53</v>
      </c>
      <c r="F503" s="9">
        <v>9</v>
      </c>
      <c r="G503" s="10">
        <v>335.39</v>
      </c>
      <c r="H503" s="9" t="s">
        <v>58</v>
      </c>
      <c r="I503" s="9" t="s">
        <v>966</v>
      </c>
      <c r="J503" s="9" t="s">
        <v>97</v>
      </c>
      <c r="K503" s="9" t="s">
        <v>38</v>
      </c>
      <c r="L503" s="9" t="s">
        <v>28</v>
      </c>
      <c r="M503" s="9" t="s">
        <v>56</v>
      </c>
      <c r="N503" s="10">
        <v>1504.98</v>
      </c>
      <c r="O503" s="9">
        <v>2025</v>
      </c>
      <c r="P503" s="9">
        <v>1</v>
      </c>
      <c r="Q503" s="9" t="s">
        <v>30</v>
      </c>
      <c r="R503" s="9" t="s">
        <v>31</v>
      </c>
      <c r="S503" s="10">
        <v>1504.98</v>
      </c>
      <c r="T503" s="45">
        <v>250.83</v>
      </c>
    </row>
    <row r="504" spans="1:20" x14ac:dyDescent="0.35">
      <c r="A504" s="40">
        <v>45661</v>
      </c>
      <c r="B504" s="41" t="s">
        <v>889</v>
      </c>
      <c r="C504" s="41" t="s">
        <v>51</v>
      </c>
      <c r="D504" s="41" t="s">
        <v>52</v>
      </c>
      <c r="E504" s="41" t="s">
        <v>53</v>
      </c>
      <c r="F504" s="41">
        <v>9</v>
      </c>
      <c r="G504" s="42">
        <v>335.41</v>
      </c>
      <c r="H504" s="41" t="s">
        <v>44</v>
      </c>
      <c r="I504" s="41" t="s">
        <v>967</v>
      </c>
      <c r="J504" s="41" t="s">
        <v>97</v>
      </c>
      <c r="K504" s="41" t="s">
        <v>38</v>
      </c>
      <c r="L504" s="41" t="s">
        <v>28</v>
      </c>
      <c r="M504" s="41" t="s">
        <v>79</v>
      </c>
      <c r="N504" s="42">
        <v>382.68</v>
      </c>
      <c r="O504" s="41">
        <v>2025</v>
      </c>
      <c r="P504" s="41">
        <v>1</v>
      </c>
      <c r="Q504" s="41" t="s">
        <v>30</v>
      </c>
      <c r="R504" s="41" t="s">
        <v>31</v>
      </c>
      <c r="S504" s="42">
        <v>382.68</v>
      </c>
      <c r="T504" s="43">
        <v>63.78</v>
      </c>
    </row>
    <row r="505" spans="1:20" x14ac:dyDescent="0.35">
      <c r="A505" s="44">
        <v>45663</v>
      </c>
      <c r="B505" s="9" t="s">
        <v>778</v>
      </c>
      <c r="C505" s="9" t="s">
        <v>51</v>
      </c>
      <c r="D505" s="9" t="s">
        <v>52</v>
      </c>
      <c r="E505" s="9" t="s">
        <v>53</v>
      </c>
      <c r="F505" s="9">
        <v>9</v>
      </c>
      <c r="G505" s="10">
        <v>336.99</v>
      </c>
      <c r="H505" s="9" t="s">
        <v>35</v>
      </c>
      <c r="I505" s="9" t="s">
        <v>968</v>
      </c>
      <c r="J505" s="9" t="s">
        <v>97</v>
      </c>
      <c r="K505" s="9" t="s">
        <v>38</v>
      </c>
      <c r="L505" s="9" t="s">
        <v>39</v>
      </c>
      <c r="M505" s="9" t="s">
        <v>29</v>
      </c>
      <c r="N505" s="10">
        <v>162.47999999999999</v>
      </c>
      <c r="O505" s="9">
        <v>2025</v>
      </c>
      <c r="P505" s="9">
        <v>1</v>
      </c>
      <c r="Q505" s="9" t="s">
        <v>30</v>
      </c>
      <c r="R505" s="9" t="s">
        <v>31</v>
      </c>
      <c r="S505" s="10">
        <v>162.47999999999999</v>
      </c>
      <c r="T505" s="45">
        <v>40.619999999999997</v>
      </c>
    </row>
    <row r="506" spans="1:20" x14ac:dyDescent="0.35">
      <c r="A506" s="40">
        <v>45665</v>
      </c>
      <c r="B506" s="41" t="s">
        <v>969</v>
      </c>
      <c r="C506" s="41" t="s">
        <v>51</v>
      </c>
      <c r="D506" s="41" t="s">
        <v>52</v>
      </c>
      <c r="E506" s="41" t="s">
        <v>53</v>
      </c>
      <c r="F506" s="41">
        <v>9</v>
      </c>
      <c r="G506" s="42">
        <v>337.42</v>
      </c>
      <c r="H506" s="41" t="s">
        <v>64</v>
      </c>
      <c r="I506" s="41" t="s">
        <v>970</v>
      </c>
      <c r="J506" s="41" t="s">
        <v>97</v>
      </c>
      <c r="K506" s="41" t="s">
        <v>38</v>
      </c>
      <c r="L506" s="41" t="s">
        <v>66</v>
      </c>
      <c r="M506" s="41" t="s">
        <v>67</v>
      </c>
      <c r="N506" s="42">
        <v>208.28</v>
      </c>
      <c r="O506" s="41">
        <v>2025</v>
      </c>
      <c r="P506" s="41">
        <v>1</v>
      </c>
      <c r="Q506" s="41" t="s">
        <v>30</v>
      </c>
      <c r="R506" s="41" t="s">
        <v>31</v>
      </c>
      <c r="S506" s="42">
        <v>208.28</v>
      </c>
      <c r="T506" s="43">
        <v>208.28</v>
      </c>
    </row>
    <row r="507" spans="1:20" x14ac:dyDescent="0.35">
      <c r="A507" s="44">
        <v>45667</v>
      </c>
      <c r="B507" s="9" t="s">
        <v>957</v>
      </c>
      <c r="C507" s="9" t="s">
        <v>51</v>
      </c>
      <c r="D507" s="9" t="s">
        <v>52</v>
      </c>
      <c r="E507" s="9" t="s">
        <v>53</v>
      </c>
      <c r="F507" s="9">
        <v>9</v>
      </c>
      <c r="G507" s="10">
        <v>338.2</v>
      </c>
      <c r="H507" s="9" t="s">
        <v>35</v>
      </c>
      <c r="I507" s="9" t="s">
        <v>971</v>
      </c>
      <c r="J507" s="9" t="s">
        <v>97</v>
      </c>
      <c r="K507" s="9" t="s">
        <v>38</v>
      </c>
      <c r="L507" s="9" t="s">
        <v>39</v>
      </c>
      <c r="M507" s="9" t="s">
        <v>61</v>
      </c>
      <c r="N507" s="10">
        <v>776.22</v>
      </c>
      <c r="O507" s="9">
        <v>2025</v>
      </c>
      <c r="P507" s="9">
        <v>1</v>
      </c>
      <c r="Q507" s="9" t="s">
        <v>30</v>
      </c>
      <c r="R507" s="9" t="s">
        <v>31</v>
      </c>
      <c r="S507" s="10">
        <v>776.22</v>
      </c>
      <c r="T507" s="45">
        <v>258.74</v>
      </c>
    </row>
    <row r="508" spans="1:20" x14ac:dyDescent="0.35">
      <c r="A508" s="40">
        <v>45667</v>
      </c>
      <c r="B508" s="41" t="s">
        <v>425</v>
      </c>
      <c r="C508" s="41" t="s">
        <v>51</v>
      </c>
      <c r="D508" s="41" t="s">
        <v>52</v>
      </c>
      <c r="E508" s="41" t="s">
        <v>53</v>
      </c>
      <c r="F508" s="41">
        <v>9</v>
      </c>
      <c r="G508" s="42">
        <v>338.25</v>
      </c>
      <c r="H508" s="41" t="s">
        <v>24</v>
      </c>
      <c r="I508" s="41" t="s">
        <v>972</v>
      </c>
      <c r="J508" s="41" t="s">
        <v>97</v>
      </c>
      <c r="K508" s="41" t="s">
        <v>38</v>
      </c>
      <c r="L508" s="41" t="s">
        <v>66</v>
      </c>
      <c r="M508" s="41" t="s">
        <v>61</v>
      </c>
      <c r="N508" s="42">
        <v>612.65</v>
      </c>
      <c r="O508" s="41">
        <v>2025</v>
      </c>
      <c r="P508" s="41">
        <v>1</v>
      </c>
      <c r="Q508" s="41" t="s">
        <v>30</v>
      </c>
      <c r="R508" s="41" t="s">
        <v>31</v>
      </c>
      <c r="S508" s="42">
        <v>612.65</v>
      </c>
      <c r="T508" s="43">
        <v>122.53</v>
      </c>
    </row>
    <row r="509" spans="1:20" x14ac:dyDescent="0.35">
      <c r="A509" s="44">
        <v>45667</v>
      </c>
      <c r="B509" s="9" t="s">
        <v>198</v>
      </c>
      <c r="C509" s="9" t="s">
        <v>51</v>
      </c>
      <c r="D509" s="9" t="s">
        <v>52</v>
      </c>
      <c r="E509" s="9" t="s">
        <v>53</v>
      </c>
      <c r="F509" s="9">
        <v>9</v>
      </c>
      <c r="G509" s="10">
        <v>339.04</v>
      </c>
      <c r="H509" s="9" t="s">
        <v>64</v>
      </c>
      <c r="I509" s="9" t="s">
        <v>973</v>
      </c>
      <c r="J509" s="9" t="s">
        <v>97</v>
      </c>
      <c r="K509" s="9" t="s">
        <v>38</v>
      </c>
      <c r="L509" s="9" t="s">
        <v>66</v>
      </c>
      <c r="M509" s="9" t="s">
        <v>61</v>
      </c>
      <c r="N509" s="10">
        <v>197.2</v>
      </c>
      <c r="O509" s="9">
        <v>2025</v>
      </c>
      <c r="P509" s="9">
        <v>1</v>
      </c>
      <c r="Q509" s="9" t="s">
        <v>30</v>
      </c>
      <c r="R509" s="9" t="s">
        <v>31</v>
      </c>
      <c r="S509" s="10">
        <v>197.2</v>
      </c>
      <c r="T509" s="45">
        <v>19.72</v>
      </c>
    </row>
    <row r="510" spans="1:20" x14ac:dyDescent="0.35">
      <c r="A510" s="40">
        <v>45671</v>
      </c>
      <c r="B510" s="41" t="s">
        <v>974</v>
      </c>
      <c r="C510" s="41" t="s">
        <v>51</v>
      </c>
      <c r="D510" s="41" t="s">
        <v>52</v>
      </c>
      <c r="E510" s="41" t="s">
        <v>53</v>
      </c>
      <c r="F510" s="41">
        <v>9</v>
      </c>
      <c r="G510" s="42">
        <v>340.55</v>
      </c>
      <c r="H510" s="41" t="s">
        <v>35</v>
      </c>
      <c r="I510" s="41" t="s">
        <v>975</v>
      </c>
      <c r="J510" s="41" t="s">
        <v>97</v>
      </c>
      <c r="K510" s="41" t="s">
        <v>38</v>
      </c>
      <c r="L510" s="41" t="s">
        <v>39</v>
      </c>
      <c r="M510" s="41" t="s">
        <v>49</v>
      </c>
      <c r="N510" s="42">
        <v>1755.36</v>
      </c>
      <c r="O510" s="41">
        <v>2025</v>
      </c>
      <c r="P510" s="41">
        <v>1</v>
      </c>
      <c r="Q510" s="41" t="s">
        <v>30</v>
      </c>
      <c r="R510" s="41" t="s">
        <v>31</v>
      </c>
      <c r="S510" s="42">
        <v>1755.36</v>
      </c>
      <c r="T510" s="43">
        <v>195.04</v>
      </c>
    </row>
    <row r="511" spans="1:20" x14ac:dyDescent="0.35">
      <c r="A511" s="44">
        <v>45671</v>
      </c>
      <c r="B511" s="9" t="s">
        <v>976</v>
      </c>
      <c r="C511" s="9" t="s">
        <v>51</v>
      </c>
      <c r="D511" s="9" t="s">
        <v>52</v>
      </c>
      <c r="E511" s="9" t="s">
        <v>53</v>
      </c>
      <c r="F511" s="9">
        <v>9</v>
      </c>
      <c r="G511" s="10">
        <v>341.68</v>
      </c>
      <c r="H511" s="9" t="s">
        <v>24</v>
      </c>
      <c r="I511" s="9" t="s">
        <v>977</v>
      </c>
      <c r="J511" s="9" t="s">
        <v>97</v>
      </c>
      <c r="K511" s="9" t="s">
        <v>38</v>
      </c>
      <c r="L511" s="9" t="s">
        <v>66</v>
      </c>
      <c r="M511" s="9" t="s">
        <v>49</v>
      </c>
      <c r="N511" s="10">
        <v>633.67999999999995</v>
      </c>
      <c r="O511" s="9">
        <v>2025</v>
      </c>
      <c r="P511" s="9">
        <v>1</v>
      </c>
      <c r="Q511" s="9" t="s">
        <v>30</v>
      </c>
      <c r="R511" s="9" t="s">
        <v>31</v>
      </c>
      <c r="S511" s="10">
        <v>633.67999999999995</v>
      </c>
      <c r="T511" s="45">
        <v>158.41999999999999</v>
      </c>
    </row>
    <row r="512" spans="1:20" x14ac:dyDescent="0.35">
      <c r="A512" s="40">
        <v>45672</v>
      </c>
      <c r="B512" s="41" t="s">
        <v>135</v>
      </c>
      <c r="C512" s="41" t="s">
        <v>51</v>
      </c>
      <c r="D512" s="41" t="s">
        <v>52</v>
      </c>
      <c r="E512" s="41" t="s">
        <v>53</v>
      </c>
      <c r="F512" s="41">
        <v>9</v>
      </c>
      <c r="G512" s="42">
        <v>342.44</v>
      </c>
      <c r="H512" s="41" t="s">
        <v>44</v>
      </c>
      <c r="I512" s="41" t="s">
        <v>978</v>
      </c>
      <c r="J512" s="41" t="s">
        <v>97</v>
      </c>
      <c r="K512" s="41" t="s">
        <v>38</v>
      </c>
      <c r="L512" s="41" t="s">
        <v>39</v>
      </c>
      <c r="M512" s="41" t="s">
        <v>67</v>
      </c>
      <c r="N512" s="42">
        <v>1029</v>
      </c>
      <c r="O512" s="41">
        <v>2025</v>
      </c>
      <c r="P512" s="41">
        <v>1</v>
      </c>
      <c r="Q512" s="41" t="s">
        <v>30</v>
      </c>
      <c r="R512" s="41" t="s">
        <v>31</v>
      </c>
      <c r="S512" s="42">
        <v>1029</v>
      </c>
      <c r="T512" s="43">
        <v>147</v>
      </c>
    </row>
    <row r="513" spans="1:20" x14ac:dyDescent="0.35">
      <c r="A513" s="44">
        <v>45672</v>
      </c>
      <c r="B513" s="9" t="s">
        <v>342</v>
      </c>
      <c r="C513" s="9" t="s">
        <v>51</v>
      </c>
      <c r="D513" s="9" t="s">
        <v>52</v>
      </c>
      <c r="E513" s="9" t="s">
        <v>53</v>
      </c>
      <c r="F513" s="9">
        <v>9</v>
      </c>
      <c r="G513" s="10">
        <v>343.44</v>
      </c>
      <c r="H513" s="9" t="s">
        <v>58</v>
      </c>
      <c r="I513" s="9" t="s">
        <v>979</v>
      </c>
      <c r="J513" s="9" t="s">
        <v>97</v>
      </c>
      <c r="K513" s="9" t="s">
        <v>38</v>
      </c>
      <c r="L513" s="9" t="s">
        <v>28</v>
      </c>
      <c r="M513" s="9" t="s">
        <v>67</v>
      </c>
      <c r="N513" s="10">
        <v>2871.28</v>
      </c>
      <c r="O513" s="9">
        <v>2025</v>
      </c>
      <c r="P513" s="9">
        <v>1</v>
      </c>
      <c r="Q513" s="9" t="s">
        <v>30</v>
      </c>
      <c r="R513" s="9" t="s">
        <v>31</v>
      </c>
      <c r="S513" s="10">
        <v>2871.28</v>
      </c>
      <c r="T513" s="45">
        <v>358.91</v>
      </c>
    </row>
    <row r="514" spans="1:20" x14ac:dyDescent="0.35">
      <c r="A514" s="40">
        <v>45677</v>
      </c>
      <c r="B514" s="41" t="s">
        <v>187</v>
      </c>
      <c r="C514" s="41" t="s">
        <v>51</v>
      </c>
      <c r="D514" s="41" t="s">
        <v>52</v>
      </c>
      <c r="E514" s="41" t="s">
        <v>53</v>
      </c>
      <c r="F514" s="41">
        <v>9</v>
      </c>
      <c r="G514" s="42">
        <v>346.62</v>
      </c>
      <c r="H514" s="41" t="s">
        <v>24</v>
      </c>
      <c r="I514" s="41" t="s">
        <v>980</v>
      </c>
      <c r="J514" s="41" t="s">
        <v>97</v>
      </c>
      <c r="K514" s="41" t="s">
        <v>38</v>
      </c>
      <c r="L514" s="41" t="s">
        <v>28</v>
      </c>
      <c r="M514" s="41" t="s">
        <v>29</v>
      </c>
      <c r="N514" s="42">
        <v>500.76</v>
      </c>
      <c r="O514" s="41">
        <v>2025</v>
      </c>
      <c r="P514" s="41">
        <v>1</v>
      </c>
      <c r="Q514" s="41" t="s">
        <v>30</v>
      </c>
      <c r="R514" s="41" t="s">
        <v>31</v>
      </c>
      <c r="S514" s="42">
        <v>500.76</v>
      </c>
      <c r="T514" s="43">
        <v>55.64</v>
      </c>
    </row>
    <row r="515" spans="1:20" x14ac:dyDescent="0.35">
      <c r="A515" s="44">
        <v>45678</v>
      </c>
      <c r="B515" s="9" t="s">
        <v>319</v>
      </c>
      <c r="C515" s="9" t="s">
        <v>51</v>
      </c>
      <c r="D515" s="9" t="s">
        <v>52</v>
      </c>
      <c r="E515" s="9" t="s">
        <v>53</v>
      </c>
      <c r="F515" s="9">
        <v>9</v>
      </c>
      <c r="G515" s="10">
        <v>346.87</v>
      </c>
      <c r="H515" s="9" t="s">
        <v>64</v>
      </c>
      <c r="I515" s="9" t="s">
        <v>981</v>
      </c>
      <c r="J515" s="9" t="s">
        <v>97</v>
      </c>
      <c r="K515" s="9" t="s">
        <v>38</v>
      </c>
      <c r="L515" s="9" t="s">
        <v>28</v>
      </c>
      <c r="M515" s="9" t="s">
        <v>49</v>
      </c>
      <c r="N515" s="10">
        <v>148.44</v>
      </c>
      <c r="O515" s="9">
        <v>2025</v>
      </c>
      <c r="P515" s="9">
        <v>1</v>
      </c>
      <c r="Q515" s="9" t="s">
        <v>30</v>
      </c>
      <c r="R515" s="9" t="s">
        <v>31</v>
      </c>
      <c r="S515" s="10">
        <v>148.44</v>
      </c>
      <c r="T515" s="45">
        <v>148.44</v>
      </c>
    </row>
    <row r="516" spans="1:20" x14ac:dyDescent="0.35">
      <c r="A516" s="40">
        <v>45678</v>
      </c>
      <c r="B516" s="41" t="s">
        <v>982</v>
      </c>
      <c r="C516" s="41" t="s">
        <v>51</v>
      </c>
      <c r="D516" s="41" t="s">
        <v>52</v>
      </c>
      <c r="E516" s="41" t="s">
        <v>53</v>
      </c>
      <c r="F516" s="41">
        <v>9</v>
      </c>
      <c r="G516" s="42">
        <v>347.24</v>
      </c>
      <c r="H516" s="41" t="s">
        <v>44</v>
      </c>
      <c r="I516" s="41" t="s">
        <v>983</v>
      </c>
      <c r="J516" s="41" t="s">
        <v>97</v>
      </c>
      <c r="K516" s="41" t="s">
        <v>38</v>
      </c>
      <c r="L516" s="41" t="s">
        <v>28</v>
      </c>
      <c r="M516" s="41" t="s">
        <v>49</v>
      </c>
      <c r="N516" s="42">
        <v>2238.84</v>
      </c>
      <c r="O516" s="41">
        <v>2025</v>
      </c>
      <c r="P516" s="41">
        <v>1</v>
      </c>
      <c r="Q516" s="41" t="s">
        <v>30</v>
      </c>
      <c r="R516" s="41" t="s">
        <v>31</v>
      </c>
      <c r="S516" s="42">
        <v>2238.84</v>
      </c>
      <c r="T516" s="43">
        <v>248.76</v>
      </c>
    </row>
    <row r="517" spans="1:20" x14ac:dyDescent="0.35">
      <c r="A517" s="44">
        <v>45681</v>
      </c>
      <c r="B517" s="9" t="s">
        <v>984</v>
      </c>
      <c r="C517" s="9" t="s">
        <v>51</v>
      </c>
      <c r="D517" s="9" t="s">
        <v>52</v>
      </c>
      <c r="E517" s="9" t="s">
        <v>53</v>
      </c>
      <c r="F517" s="9">
        <v>9</v>
      </c>
      <c r="G517" s="10">
        <v>347.26</v>
      </c>
      <c r="H517" s="9" t="s">
        <v>58</v>
      </c>
      <c r="I517" s="9" t="s">
        <v>985</v>
      </c>
      <c r="J517" s="9" t="s">
        <v>97</v>
      </c>
      <c r="K517" s="9" t="s">
        <v>38</v>
      </c>
      <c r="L517" s="9" t="s">
        <v>28</v>
      </c>
      <c r="M517" s="9" t="s">
        <v>61</v>
      </c>
      <c r="N517" s="10">
        <v>2720.07</v>
      </c>
      <c r="O517" s="9">
        <v>2025</v>
      </c>
      <c r="P517" s="9">
        <v>1</v>
      </c>
      <c r="Q517" s="9" t="s">
        <v>30</v>
      </c>
      <c r="R517" s="9" t="s">
        <v>31</v>
      </c>
      <c r="S517" s="10">
        <v>2720.07</v>
      </c>
      <c r="T517" s="45">
        <v>302.23</v>
      </c>
    </row>
    <row r="518" spans="1:20" x14ac:dyDescent="0.35">
      <c r="A518" s="40">
        <v>45682</v>
      </c>
      <c r="B518" s="41" t="s">
        <v>164</v>
      </c>
      <c r="C518" s="41" t="s">
        <v>51</v>
      </c>
      <c r="D518" s="41" t="s">
        <v>52</v>
      </c>
      <c r="E518" s="41" t="s">
        <v>53</v>
      </c>
      <c r="F518" s="41">
        <v>9</v>
      </c>
      <c r="G518" s="42">
        <v>347.37</v>
      </c>
      <c r="H518" s="41" t="s">
        <v>35</v>
      </c>
      <c r="I518" s="41" t="s">
        <v>986</v>
      </c>
      <c r="J518" s="41" t="s">
        <v>97</v>
      </c>
      <c r="K518" s="41" t="s">
        <v>38</v>
      </c>
      <c r="L518" s="41" t="s">
        <v>28</v>
      </c>
      <c r="M518" s="41" t="s">
        <v>79</v>
      </c>
      <c r="N518" s="42">
        <v>910.05</v>
      </c>
      <c r="O518" s="41">
        <v>2025</v>
      </c>
      <c r="P518" s="41">
        <v>1</v>
      </c>
      <c r="Q518" s="41" t="s">
        <v>30</v>
      </c>
      <c r="R518" s="41" t="s">
        <v>31</v>
      </c>
      <c r="S518" s="42">
        <v>910.05</v>
      </c>
      <c r="T518" s="43">
        <v>303.35000000000002</v>
      </c>
    </row>
    <row r="519" spans="1:20" x14ac:dyDescent="0.35">
      <c r="A519" s="44">
        <v>45686</v>
      </c>
      <c r="B519" s="9" t="s">
        <v>987</v>
      </c>
      <c r="C519" s="9" t="s">
        <v>51</v>
      </c>
      <c r="D519" s="9" t="s">
        <v>52</v>
      </c>
      <c r="E519" s="9" t="s">
        <v>53</v>
      </c>
      <c r="F519" s="9">
        <v>9</v>
      </c>
      <c r="G519" s="10">
        <v>347.45</v>
      </c>
      <c r="H519" s="9" t="s">
        <v>24</v>
      </c>
      <c r="I519" s="9" t="s">
        <v>988</v>
      </c>
      <c r="J519" s="9" t="s">
        <v>97</v>
      </c>
      <c r="K519" s="9" t="s">
        <v>38</v>
      </c>
      <c r="L519" s="9" t="s">
        <v>28</v>
      </c>
      <c r="M519" s="9" t="s">
        <v>67</v>
      </c>
      <c r="N519" s="10">
        <v>170.04</v>
      </c>
      <c r="O519" s="9">
        <v>2025</v>
      </c>
      <c r="P519" s="9">
        <v>1</v>
      </c>
      <c r="Q519" s="9" t="s">
        <v>30</v>
      </c>
      <c r="R519" s="9" t="s">
        <v>31</v>
      </c>
      <c r="S519" s="10">
        <v>170.04</v>
      </c>
      <c r="T519" s="45">
        <v>42.51</v>
      </c>
    </row>
    <row r="520" spans="1:20" x14ac:dyDescent="0.35">
      <c r="A520" s="40">
        <v>45686</v>
      </c>
      <c r="B520" s="41" t="s">
        <v>989</v>
      </c>
      <c r="C520" s="41" t="s">
        <v>51</v>
      </c>
      <c r="D520" s="41" t="s">
        <v>52</v>
      </c>
      <c r="E520" s="41" t="s">
        <v>53</v>
      </c>
      <c r="F520" s="41">
        <v>9</v>
      </c>
      <c r="G520" s="42">
        <v>347.71</v>
      </c>
      <c r="H520" s="41" t="s">
        <v>24</v>
      </c>
      <c r="I520" s="41" t="s">
        <v>990</v>
      </c>
      <c r="J520" s="41" t="s">
        <v>97</v>
      </c>
      <c r="K520" s="41" t="s">
        <v>38</v>
      </c>
      <c r="L520" s="41" t="s">
        <v>66</v>
      </c>
      <c r="M520" s="41" t="s">
        <v>67</v>
      </c>
      <c r="N520" s="42">
        <v>207.99</v>
      </c>
      <c r="O520" s="41">
        <v>2025</v>
      </c>
      <c r="P520" s="41">
        <v>1</v>
      </c>
      <c r="Q520" s="41" t="s">
        <v>30</v>
      </c>
      <c r="R520" s="41" t="s">
        <v>31</v>
      </c>
      <c r="S520" s="42">
        <v>207.99</v>
      </c>
      <c r="T520" s="43">
        <v>69.33</v>
      </c>
    </row>
    <row r="521" spans="1:20" x14ac:dyDescent="0.35">
      <c r="A521" s="44">
        <v>45689</v>
      </c>
      <c r="B521" s="9" t="s">
        <v>991</v>
      </c>
      <c r="C521" s="9" t="s">
        <v>51</v>
      </c>
      <c r="D521" s="9" t="s">
        <v>52</v>
      </c>
      <c r="E521" s="9" t="s">
        <v>53</v>
      </c>
      <c r="F521" s="9">
        <v>9</v>
      </c>
      <c r="G521" s="10">
        <v>349.94</v>
      </c>
      <c r="H521" s="9" t="s">
        <v>24</v>
      </c>
      <c r="I521" s="9" t="s">
        <v>992</v>
      </c>
      <c r="J521" s="9" t="s">
        <v>97</v>
      </c>
      <c r="K521" s="9" t="s">
        <v>38</v>
      </c>
      <c r="L521" s="9" t="s">
        <v>28</v>
      </c>
      <c r="M521" s="9" t="s">
        <v>79</v>
      </c>
      <c r="N521" s="10">
        <v>693.68</v>
      </c>
      <c r="O521" s="9">
        <v>2025</v>
      </c>
      <c r="P521" s="9">
        <v>2</v>
      </c>
      <c r="Q521" s="9" t="s">
        <v>118</v>
      </c>
      <c r="R521" s="9" t="s">
        <v>31</v>
      </c>
      <c r="S521" s="10">
        <v>693.68</v>
      </c>
      <c r="T521" s="45">
        <v>173.42</v>
      </c>
    </row>
    <row r="522" spans="1:20" x14ac:dyDescent="0.35">
      <c r="A522" s="40">
        <v>45689</v>
      </c>
      <c r="B522" s="41" t="s">
        <v>993</v>
      </c>
      <c r="C522" s="41" t="s">
        <v>51</v>
      </c>
      <c r="D522" s="41" t="s">
        <v>52</v>
      </c>
      <c r="E522" s="41" t="s">
        <v>53</v>
      </c>
      <c r="F522" s="41">
        <v>9</v>
      </c>
      <c r="G522" s="42">
        <v>350.33</v>
      </c>
      <c r="H522" s="41" t="s">
        <v>64</v>
      </c>
      <c r="I522" s="41" t="s">
        <v>994</v>
      </c>
      <c r="J522" s="41" t="s">
        <v>97</v>
      </c>
      <c r="K522" s="41" t="s">
        <v>38</v>
      </c>
      <c r="L522" s="41" t="s">
        <v>28</v>
      </c>
      <c r="M522" s="41" t="s">
        <v>79</v>
      </c>
      <c r="N522" s="42">
        <v>1185.8399999999999</v>
      </c>
      <c r="O522" s="41">
        <v>2025</v>
      </c>
      <c r="P522" s="41">
        <v>2</v>
      </c>
      <c r="Q522" s="41" t="s">
        <v>118</v>
      </c>
      <c r="R522" s="41" t="s">
        <v>31</v>
      </c>
      <c r="S522" s="42">
        <v>1185.8399999999999</v>
      </c>
      <c r="T522" s="43">
        <v>131.76</v>
      </c>
    </row>
    <row r="523" spans="1:20" x14ac:dyDescent="0.35">
      <c r="A523" s="44">
        <v>45691</v>
      </c>
      <c r="B523" s="9" t="s">
        <v>995</v>
      </c>
      <c r="C523" s="9" t="s">
        <v>51</v>
      </c>
      <c r="D523" s="9" t="s">
        <v>52</v>
      </c>
      <c r="E523" s="9" t="s">
        <v>53</v>
      </c>
      <c r="F523" s="9">
        <v>9</v>
      </c>
      <c r="G523" s="10">
        <v>350.46</v>
      </c>
      <c r="H523" s="9" t="s">
        <v>24</v>
      </c>
      <c r="I523" s="9" t="s">
        <v>996</v>
      </c>
      <c r="J523" s="9" t="s">
        <v>97</v>
      </c>
      <c r="K523" s="9" t="s">
        <v>38</v>
      </c>
      <c r="L523" s="9" t="s">
        <v>28</v>
      </c>
      <c r="M523" s="9" t="s">
        <v>29</v>
      </c>
      <c r="N523" s="10">
        <v>315.75</v>
      </c>
      <c r="O523" s="9">
        <v>2025</v>
      </c>
      <c r="P523" s="9">
        <v>2</v>
      </c>
      <c r="Q523" s="9" t="s">
        <v>118</v>
      </c>
      <c r="R523" s="9" t="s">
        <v>31</v>
      </c>
      <c r="S523" s="10">
        <v>315.75</v>
      </c>
      <c r="T523" s="45">
        <v>63.15</v>
      </c>
    </row>
    <row r="524" spans="1:20" x14ac:dyDescent="0.35">
      <c r="A524" s="40">
        <v>45692</v>
      </c>
      <c r="B524" s="41" t="s">
        <v>997</v>
      </c>
      <c r="C524" s="41" t="s">
        <v>51</v>
      </c>
      <c r="D524" s="41" t="s">
        <v>52</v>
      </c>
      <c r="E524" s="41" t="s">
        <v>53</v>
      </c>
      <c r="F524" s="41">
        <v>9</v>
      </c>
      <c r="G524" s="42">
        <v>351.54</v>
      </c>
      <c r="H524" s="41" t="s">
        <v>44</v>
      </c>
      <c r="I524" s="41" t="s">
        <v>998</v>
      </c>
      <c r="J524" s="41" t="s">
        <v>97</v>
      </c>
      <c r="K524" s="41" t="s">
        <v>38</v>
      </c>
      <c r="L524" s="41" t="s">
        <v>28</v>
      </c>
      <c r="M524" s="41" t="s">
        <v>49</v>
      </c>
      <c r="N524" s="42">
        <v>662.58</v>
      </c>
      <c r="O524" s="41">
        <v>2025</v>
      </c>
      <c r="P524" s="41">
        <v>2</v>
      </c>
      <c r="Q524" s="41" t="s">
        <v>118</v>
      </c>
      <c r="R524" s="41" t="s">
        <v>31</v>
      </c>
      <c r="S524" s="42">
        <v>662.58</v>
      </c>
      <c r="T524" s="43">
        <v>73.62</v>
      </c>
    </row>
    <row r="525" spans="1:20" x14ac:dyDescent="0.35">
      <c r="A525" s="44">
        <v>45696</v>
      </c>
      <c r="B525" s="9" t="s">
        <v>999</v>
      </c>
      <c r="C525" s="9" t="s">
        <v>51</v>
      </c>
      <c r="D525" s="9" t="s">
        <v>52</v>
      </c>
      <c r="E525" s="9" t="s">
        <v>53</v>
      </c>
      <c r="F525" s="9">
        <v>9</v>
      </c>
      <c r="G525" s="10">
        <v>352.23</v>
      </c>
      <c r="H525" s="9" t="s">
        <v>44</v>
      </c>
      <c r="I525" s="9" t="s">
        <v>1000</v>
      </c>
      <c r="J525" s="9" t="s">
        <v>97</v>
      </c>
      <c r="K525" s="9" t="s">
        <v>38</v>
      </c>
      <c r="L525" s="9" t="s">
        <v>39</v>
      </c>
      <c r="M525" s="9" t="s">
        <v>79</v>
      </c>
      <c r="N525" s="10">
        <v>561.89</v>
      </c>
      <c r="O525" s="9">
        <v>2025</v>
      </c>
      <c r="P525" s="9">
        <v>2</v>
      </c>
      <c r="Q525" s="9" t="s">
        <v>118</v>
      </c>
      <c r="R525" s="9" t="s">
        <v>31</v>
      </c>
      <c r="S525" s="10">
        <v>561.89</v>
      </c>
      <c r="T525" s="45">
        <v>80.27</v>
      </c>
    </row>
    <row r="526" spans="1:20" x14ac:dyDescent="0.35">
      <c r="A526" s="40">
        <v>45698</v>
      </c>
      <c r="B526" s="41" t="s">
        <v>218</v>
      </c>
      <c r="C526" s="41" t="s">
        <v>51</v>
      </c>
      <c r="D526" s="41" t="s">
        <v>52</v>
      </c>
      <c r="E526" s="41" t="s">
        <v>63</v>
      </c>
      <c r="F526" s="41">
        <v>9</v>
      </c>
      <c r="G526" s="42">
        <v>354.08</v>
      </c>
      <c r="H526" s="41" t="s">
        <v>44</v>
      </c>
      <c r="I526" s="41" t="s">
        <v>1001</v>
      </c>
      <c r="J526" s="41" t="s">
        <v>97</v>
      </c>
      <c r="K526" s="41" t="s">
        <v>38</v>
      </c>
      <c r="L526" s="41" t="s">
        <v>28</v>
      </c>
      <c r="M526" s="41" t="s">
        <v>29</v>
      </c>
      <c r="N526" s="42">
        <v>370.08</v>
      </c>
      <c r="O526" s="41">
        <v>2025</v>
      </c>
      <c r="P526" s="41">
        <v>2</v>
      </c>
      <c r="Q526" s="41" t="s">
        <v>118</v>
      </c>
      <c r="R526" s="41" t="s">
        <v>31</v>
      </c>
      <c r="S526" s="42">
        <v>370.08</v>
      </c>
      <c r="T526" s="43">
        <v>61.68</v>
      </c>
    </row>
    <row r="527" spans="1:20" x14ac:dyDescent="0.35">
      <c r="A527" s="44">
        <v>45702</v>
      </c>
      <c r="B527" s="9" t="s">
        <v>1002</v>
      </c>
      <c r="C527" s="9" t="s">
        <v>89</v>
      </c>
      <c r="D527" s="9" t="s">
        <v>52</v>
      </c>
      <c r="E527" s="9" t="s">
        <v>63</v>
      </c>
      <c r="F527" s="9">
        <v>9</v>
      </c>
      <c r="G527" s="10">
        <v>354.14</v>
      </c>
      <c r="H527" s="9" t="s">
        <v>44</v>
      </c>
      <c r="I527" s="9" t="s">
        <v>1003</v>
      </c>
      <c r="J527" s="9" t="s">
        <v>97</v>
      </c>
      <c r="K527" s="9" t="s">
        <v>38</v>
      </c>
      <c r="L527" s="9" t="s">
        <v>28</v>
      </c>
      <c r="M527" s="9" t="s">
        <v>61</v>
      </c>
      <c r="N527" s="10">
        <v>657</v>
      </c>
      <c r="O527" s="9">
        <v>2025</v>
      </c>
      <c r="P527" s="9">
        <v>2</v>
      </c>
      <c r="Q527" s="9" t="s">
        <v>118</v>
      </c>
      <c r="R527" s="9" t="s">
        <v>31</v>
      </c>
      <c r="S527" s="10">
        <v>657</v>
      </c>
      <c r="T527" s="45">
        <v>328.5</v>
      </c>
    </row>
    <row r="528" spans="1:20" x14ac:dyDescent="0.35">
      <c r="A528" s="40">
        <v>45705</v>
      </c>
      <c r="B528" s="41" t="s">
        <v>1004</v>
      </c>
      <c r="C528" s="41" t="s">
        <v>89</v>
      </c>
      <c r="D528" s="41" t="s">
        <v>52</v>
      </c>
      <c r="E528" s="41" t="s">
        <v>63</v>
      </c>
      <c r="F528" s="41">
        <v>9</v>
      </c>
      <c r="G528" s="42">
        <v>354.29</v>
      </c>
      <c r="H528" s="41" t="s">
        <v>24</v>
      </c>
      <c r="I528" s="41" t="s">
        <v>1005</v>
      </c>
      <c r="J528" s="41" t="s">
        <v>97</v>
      </c>
      <c r="K528" s="41" t="s">
        <v>38</v>
      </c>
      <c r="L528" s="41" t="s">
        <v>66</v>
      </c>
      <c r="M528" s="41" t="s">
        <v>29</v>
      </c>
      <c r="N528" s="42">
        <v>615</v>
      </c>
      <c r="O528" s="41">
        <v>2025</v>
      </c>
      <c r="P528" s="41">
        <v>2</v>
      </c>
      <c r="Q528" s="41" t="s">
        <v>118</v>
      </c>
      <c r="R528" s="41" t="s">
        <v>31</v>
      </c>
      <c r="S528" s="42">
        <v>615</v>
      </c>
      <c r="T528" s="43">
        <v>153.75</v>
      </c>
    </row>
    <row r="529" spans="1:20" x14ac:dyDescent="0.35">
      <c r="A529" s="44">
        <v>45708</v>
      </c>
      <c r="B529" s="9" t="s">
        <v>1006</v>
      </c>
      <c r="C529" s="9" t="s">
        <v>89</v>
      </c>
      <c r="D529" s="9" t="s">
        <v>52</v>
      </c>
      <c r="E529" s="9" t="s">
        <v>63</v>
      </c>
      <c r="F529" s="9">
        <v>9</v>
      </c>
      <c r="G529" s="10">
        <v>354.97</v>
      </c>
      <c r="H529" s="9" t="s">
        <v>64</v>
      </c>
      <c r="I529" s="9" t="s">
        <v>1007</v>
      </c>
      <c r="J529" s="9" t="s">
        <v>97</v>
      </c>
      <c r="K529" s="9" t="s">
        <v>38</v>
      </c>
      <c r="L529" s="9" t="s">
        <v>39</v>
      </c>
      <c r="M529" s="9" t="s">
        <v>56</v>
      </c>
      <c r="N529" s="10">
        <v>1328.58</v>
      </c>
      <c r="O529" s="9">
        <v>2025</v>
      </c>
      <c r="P529" s="9">
        <v>2</v>
      </c>
      <c r="Q529" s="9" t="s">
        <v>118</v>
      </c>
      <c r="R529" s="9" t="s">
        <v>31</v>
      </c>
      <c r="S529" s="10">
        <v>1328.58</v>
      </c>
      <c r="T529" s="45">
        <v>221.43</v>
      </c>
    </row>
    <row r="530" spans="1:20" x14ac:dyDescent="0.35">
      <c r="A530" s="40">
        <v>45713</v>
      </c>
      <c r="B530" s="41" t="s">
        <v>1008</v>
      </c>
      <c r="C530" s="41" t="s">
        <v>89</v>
      </c>
      <c r="D530" s="41" t="s">
        <v>52</v>
      </c>
      <c r="E530" s="41" t="s">
        <v>63</v>
      </c>
      <c r="F530" s="41">
        <v>9</v>
      </c>
      <c r="G530" s="42">
        <v>355.74</v>
      </c>
      <c r="H530" s="41" t="s">
        <v>24</v>
      </c>
      <c r="I530" s="41" t="s">
        <v>1009</v>
      </c>
      <c r="J530" s="41" t="s">
        <v>97</v>
      </c>
      <c r="K530" s="41" t="s">
        <v>38</v>
      </c>
      <c r="L530" s="41" t="s">
        <v>28</v>
      </c>
      <c r="M530" s="41" t="s">
        <v>49</v>
      </c>
      <c r="N530" s="42">
        <v>1181</v>
      </c>
      <c r="O530" s="41">
        <v>2025</v>
      </c>
      <c r="P530" s="41">
        <v>2</v>
      </c>
      <c r="Q530" s="41" t="s">
        <v>118</v>
      </c>
      <c r="R530" s="41" t="s">
        <v>31</v>
      </c>
      <c r="S530" s="42">
        <v>1181</v>
      </c>
      <c r="T530" s="43">
        <v>295.25</v>
      </c>
    </row>
    <row r="531" spans="1:20" x14ac:dyDescent="0.35">
      <c r="A531" s="44">
        <v>45713</v>
      </c>
      <c r="B531" s="9" t="s">
        <v>1010</v>
      </c>
      <c r="C531" s="9" t="s">
        <v>89</v>
      </c>
      <c r="D531" s="9" t="s">
        <v>52</v>
      </c>
      <c r="E531" s="9" t="s">
        <v>63</v>
      </c>
      <c r="F531" s="9">
        <v>9</v>
      </c>
      <c r="G531" s="10">
        <v>355.87</v>
      </c>
      <c r="H531" s="9" t="s">
        <v>35</v>
      </c>
      <c r="I531" s="9" t="s">
        <v>1011</v>
      </c>
      <c r="J531" s="9" t="s">
        <v>97</v>
      </c>
      <c r="K531" s="9" t="s">
        <v>38</v>
      </c>
      <c r="L531" s="9" t="s">
        <v>39</v>
      </c>
      <c r="M531" s="9" t="s">
        <v>49</v>
      </c>
      <c r="N531" s="10">
        <v>2292</v>
      </c>
      <c r="O531" s="9">
        <v>2025</v>
      </c>
      <c r="P531" s="9">
        <v>2</v>
      </c>
      <c r="Q531" s="9" t="s">
        <v>118</v>
      </c>
      <c r="R531" s="9" t="s">
        <v>31</v>
      </c>
      <c r="S531" s="10">
        <v>2292</v>
      </c>
      <c r="T531" s="45">
        <v>286.5</v>
      </c>
    </row>
    <row r="532" spans="1:20" x14ac:dyDescent="0.35">
      <c r="A532" s="40">
        <v>45720</v>
      </c>
      <c r="B532" s="41" t="s">
        <v>99</v>
      </c>
      <c r="C532" s="41" t="s">
        <v>89</v>
      </c>
      <c r="D532" s="41" t="s">
        <v>52</v>
      </c>
      <c r="E532" s="41" t="s">
        <v>63</v>
      </c>
      <c r="F532" s="41">
        <v>9</v>
      </c>
      <c r="G532" s="42">
        <v>356.74</v>
      </c>
      <c r="H532" s="41" t="s">
        <v>35</v>
      </c>
      <c r="I532" s="41" t="s">
        <v>1012</v>
      </c>
      <c r="J532" s="41" t="s">
        <v>97</v>
      </c>
      <c r="K532" s="41" t="s">
        <v>38</v>
      </c>
      <c r="L532" s="41" t="s">
        <v>28</v>
      </c>
      <c r="M532" s="41" t="s">
        <v>49</v>
      </c>
      <c r="N532" s="42">
        <v>104.85</v>
      </c>
      <c r="O532" s="41">
        <v>2025</v>
      </c>
      <c r="P532" s="41">
        <v>3</v>
      </c>
      <c r="Q532" s="41" t="s">
        <v>155</v>
      </c>
      <c r="R532" s="41" t="s">
        <v>31</v>
      </c>
      <c r="S532" s="42">
        <v>104.85</v>
      </c>
      <c r="T532" s="43">
        <v>34.950000000000003</v>
      </c>
    </row>
    <row r="533" spans="1:20" x14ac:dyDescent="0.35">
      <c r="A533" s="44">
        <v>45720</v>
      </c>
      <c r="B533" s="9" t="s">
        <v>299</v>
      </c>
      <c r="C533" s="9" t="s">
        <v>89</v>
      </c>
      <c r="D533" s="9" t="s">
        <v>52</v>
      </c>
      <c r="E533" s="9" t="s">
        <v>63</v>
      </c>
      <c r="F533" s="9">
        <v>9</v>
      </c>
      <c r="G533" s="10">
        <v>357.27</v>
      </c>
      <c r="H533" s="9" t="s">
        <v>24</v>
      </c>
      <c r="I533" s="9" t="s">
        <v>1013</v>
      </c>
      <c r="J533" s="9" t="s">
        <v>97</v>
      </c>
      <c r="K533" s="9" t="s">
        <v>38</v>
      </c>
      <c r="L533" s="9" t="s">
        <v>28</v>
      </c>
      <c r="M533" s="9" t="s">
        <v>49</v>
      </c>
      <c r="N533" s="10">
        <v>72.55</v>
      </c>
      <c r="O533" s="9">
        <v>2025</v>
      </c>
      <c r="P533" s="9">
        <v>3</v>
      </c>
      <c r="Q533" s="9" t="s">
        <v>155</v>
      </c>
      <c r="R533" s="9" t="s">
        <v>31</v>
      </c>
      <c r="S533" s="10">
        <v>72.55</v>
      </c>
      <c r="T533" s="45">
        <v>72.55</v>
      </c>
    </row>
    <row r="534" spans="1:20" x14ac:dyDescent="0.35">
      <c r="A534" s="40">
        <v>45721</v>
      </c>
      <c r="B534" s="41" t="s">
        <v>1014</v>
      </c>
      <c r="C534" s="41" t="s">
        <v>89</v>
      </c>
      <c r="D534" s="41" t="s">
        <v>52</v>
      </c>
      <c r="E534" s="41" t="s">
        <v>63</v>
      </c>
      <c r="F534" s="41">
        <v>10</v>
      </c>
      <c r="G534" s="42">
        <v>357.36</v>
      </c>
      <c r="H534" s="41" t="s">
        <v>58</v>
      </c>
      <c r="I534" s="41" t="s">
        <v>1015</v>
      </c>
      <c r="J534" s="41" t="s">
        <v>97</v>
      </c>
      <c r="K534" s="41" t="s">
        <v>38</v>
      </c>
      <c r="L534" s="41" t="s">
        <v>28</v>
      </c>
      <c r="M534" s="41" t="s">
        <v>67</v>
      </c>
      <c r="N534" s="42">
        <v>3130.1</v>
      </c>
      <c r="O534" s="41">
        <v>2025</v>
      </c>
      <c r="P534" s="41">
        <v>3</v>
      </c>
      <c r="Q534" s="41" t="s">
        <v>155</v>
      </c>
      <c r="R534" s="41" t="s">
        <v>31</v>
      </c>
      <c r="S534" s="42">
        <v>3130.1</v>
      </c>
      <c r="T534" s="43">
        <v>313.01</v>
      </c>
    </row>
    <row r="535" spans="1:20" x14ac:dyDescent="0.35">
      <c r="A535" s="44">
        <v>45723</v>
      </c>
      <c r="B535" s="9" t="s">
        <v>390</v>
      </c>
      <c r="C535" s="9" t="s">
        <v>89</v>
      </c>
      <c r="D535" s="9" t="s">
        <v>52</v>
      </c>
      <c r="E535" s="9" t="s">
        <v>63</v>
      </c>
      <c r="F535" s="9">
        <v>10</v>
      </c>
      <c r="G535" s="10">
        <v>357.5</v>
      </c>
      <c r="H535" s="9" t="s">
        <v>35</v>
      </c>
      <c r="I535" s="9" t="s">
        <v>1016</v>
      </c>
      <c r="J535" s="9" t="s">
        <v>97</v>
      </c>
      <c r="K535" s="9" t="s">
        <v>38</v>
      </c>
      <c r="L535" s="9" t="s">
        <v>28</v>
      </c>
      <c r="M535" s="9" t="s">
        <v>61</v>
      </c>
      <c r="N535" s="10">
        <v>1110</v>
      </c>
      <c r="O535" s="9">
        <v>2025</v>
      </c>
      <c r="P535" s="9">
        <v>3</v>
      </c>
      <c r="Q535" s="9" t="s">
        <v>155</v>
      </c>
      <c r="R535" s="9" t="s">
        <v>31</v>
      </c>
      <c r="S535" s="10">
        <v>1110</v>
      </c>
      <c r="T535" s="45">
        <v>277.5</v>
      </c>
    </row>
    <row r="536" spans="1:20" x14ac:dyDescent="0.35">
      <c r="A536" s="40">
        <v>45726</v>
      </c>
      <c r="B536" s="41" t="s">
        <v>886</v>
      </c>
      <c r="C536" s="41" t="s">
        <v>89</v>
      </c>
      <c r="D536" s="41" t="s">
        <v>52</v>
      </c>
      <c r="E536" s="41" t="s">
        <v>63</v>
      </c>
      <c r="F536" s="41">
        <v>10</v>
      </c>
      <c r="G536" s="42">
        <v>358.38</v>
      </c>
      <c r="H536" s="41" t="s">
        <v>44</v>
      </c>
      <c r="I536" s="41" t="s">
        <v>1017</v>
      </c>
      <c r="J536" s="41" t="s">
        <v>97</v>
      </c>
      <c r="K536" s="41" t="s">
        <v>38</v>
      </c>
      <c r="L536" s="41" t="s">
        <v>66</v>
      </c>
      <c r="M536" s="41" t="s">
        <v>29</v>
      </c>
      <c r="N536" s="42">
        <v>1619.68</v>
      </c>
      <c r="O536" s="41">
        <v>2025</v>
      </c>
      <c r="P536" s="41">
        <v>3</v>
      </c>
      <c r="Q536" s="41" t="s">
        <v>155</v>
      </c>
      <c r="R536" s="41" t="s">
        <v>31</v>
      </c>
      <c r="S536" s="42">
        <v>1619.68</v>
      </c>
      <c r="T536" s="43">
        <v>202.46</v>
      </c>
    </row>
    <row r="537" spans="1:20" x14ac:dyDescent="0.35">
      <c r="A537" s="44">
        <v>45726</v>
      </c>
      <c r="B537" s="9" t="s">
        <v>1018</v>
      </c>
      <c r="C537" s="9" t="s">
        <v>89</v>
      </c>
      <c r="D537" s="9" t="s">
        <v>52</v>
      </c>
      <c r="E537" s="9" t="s">
        <v>63</v>
      </c>
      <c r="F537" s="9">
        <v>10</v>
      </c>
      <c r="G537" s="10">
        <v>358.91</v>
      </c>
      <c r="H537" s="9" t="s">
        <v>44</v>
      </c>
      <c r="I537" s="9" t="s">
        <v>1019</v>
      </c>
      <c r="J537" s="9" t="s">
        <v>97</v>
      </c>
      <c r="K537" s="9" t="s">
        <v>38</v>
      </c>
      <c r="L537" s="9" t="s">
        <v>39</v>
      </c>
      <c r="M537" s="9" t="s">
        <v>29</v>
      </c>
      <c r="N537" s="10">
        <v>449.37</v>
      </c>
      <c r="O537" s="9">
        <v>2025</v>
      </c>
      <c r="P537" s="9">
        <v>3</v>
      </c>
      <c r="Q537" s="9" t="s">
        <v>155</v>
      </c>
      <c r="R537" s="9" t="s">
        <v>31</v>
      </c>
      <c r="S537" s="10">
        <v>449.37</v>
      </c>
      <c r="T537" s="45">
        <v>149.79</v>
      </c>
    </row>
    <row r="538" spans="1:20" x14ac:dyDescent="0.35">
      <c r="A538" s="40">
        <v>45732</v>
      </c>
      <c r="B538" s="41" t="s">
        <v>180</v>
      </c>
      <c r="C538" s="41" t="s">
        <v>89</v>
      </c>
      <c r="D538" s="41" t="s">
        <v>52</v>
      </c>
      <c r="E538" s="41" t="s">
        <v>63</v>
      </c>
      <c r="F538" s="41">
        <v>10</v>
      </c>
      <c r="G538" s="42">
        <v>359.29</v>
      </c>
      <c r="H538" s="41" t="s">
        <v>35</v>
      </c>
      <c r="I538" s="41" t="s">
        <v>1020</v>
      </c>
      <c r="J538" s="41" t="s">
        <v>97</v>
      </c>
      <c r="K538" s="41" t="s">
        <v>38</v>
      </c>
      <c r="L538" s="41" t="s">
        <v>39</v>
      </c>
      <c r="M538" s="41" t="s">
        <v>101</v>
      </c>
      <c r="N538" s="42">
        <v>229.84</v>
      </c>
      <c r="O538" s="41">
        <v>2025</v>
      </c>
      <c r="P538" s="41">
        <v>3</v>
      </c>
      <c r="Q538" s="41" t="s">
        <v>155</v>
      </c>
      <c r="R538" s="41" t="s">
        <v>31</v>
      </c>
      <c r="S538" s="42">
        <v>229.84</v>
      </c>
      <c r="T538" s="43">
        <v>28.73</v>
      </c>
    </row>
    <row r="539" spans="1:20" x14ac:dyDescent="0.35">
      <c r="A539" s="44">
        <v>45740</v>
      </c>
      <c r="B539" s="9" t="s">
        <v>1021</v>
      </c>
      <c r="C539" s="9" t="s">
        <v>89</v>
      </c>
      <c r="D539" s="9" t="s">
        <v>52</v>
      </c>
      <c r="E539" s="9" t="s">
        <v>63</v>
      </c>
      <c r="F539" s="9">
        <v>10</v>
      </c>
      <c r="G539" s="10">
        <v>359.55</v>
      </c>
      <c r="H539" s="9" t="s">
        <v>44</v>
      </c>
      <c r="I539" s="9" t="s">
        <v>1022</v>
      </c>
      <c r="J539" s="9" t="s">
        <v>97</v>
      </c>
      <c r="K539" s="9" t="s">
        <v>38</v>
      </c>
      <c r="L539" s="9" t="s">
        <v>28</v>
      </c>
      <c r="M539" s="9" t="s">
        <v>29</v>
      </c>
      <c r="N539" s="10">
        <v>509.96</v>
      </c>
      <c r="O539" s="9">
        <v>2025</v>
      </c>
      <c r="P539" s="9">
        <v>3</v>
      </c>
      <c r="Q539" s="9" t="s">
        <v>155</v>
      </c>
      <c r="R539" s="9" t="s">
        <v>31</v>
      </c>
      <c r="S539" s="10">
        <v>509.96</v>
      </c>
      <c r="T539" s="45">
        <v>254.98</v>
      </c>
    </row>
    <row r="540" spans="1:20" x14ac:dyDescent="0.35">
      <c r="A540" s="40">
        <v>45740</v>
      </c>
      <c r="B540" s="41" t="s">
        <v>1023</v>
      </c>
      <c r="C540" s="41" t="s">
        <v>89</v>
      </c>
      <c r="D540" s="41" t="s">
        <v>52</v>
      </c>
      <c r="E540" s="41" t="s">
        <v>63</v>
      </c>
      <c r="F540" s="41">
        <v>10</v>
      </c>
      <c r="G540" s="42">
        <v>360.57</v>
      </c>
      <c r="H540" s="41" t="s">
        <v>24</v>
      </c>
      <c r="I540" s="41" t="s">
        <v>1024</v>
      </c>
      <c r="J540" s="41" t="s">
        <v>97</v>
      </c>
      <c r="K540" s="41" t="s">
        <v>38</v>
      </c>
      <c r="L540" s="41" t="s">
        <v>39</v>
      </c>
      <c r="M540" s="41" t="s">
        <v>29</v>
      </c>
      <c r="N540" s="42">
        <v>168.2</v>
      </c>
      <c r="O540" s="41">
        <v>2025</v>
      </c>
      <c r="P540" s="41">
        <v>3</v>
      </c>
      <c r="Q540" s="41" t="s">
        <v>155</v>
      </c>
      <c r="R540" s="41" t="s">
        <v>31</v>
      </c>
      <c r="S540" s="42">
        <v>168.2</v>
      </c>
      <c r="T540" s="43">
        <v>33.64</v>
      </c>
    </row>
    <row r="541" spans="1:20" x14ac:dyDescent="0.35">
      <c r="A541" s="44">
        <v>45744</v>
      </c>
      <c r="B541" s="9" t="s">
        <v>586</v>
      </c>
      <c r="C541" s="9" t="s">
        <v>89</v>
      </c>
      <c r="D541" s="9" t="s">
        <v>52</v>
      </c>
      <c r="E541" s="9" t="s">
        <v>63</v>
      </c>
      <c r="F541" s="9">
        <v>10</v>
      </c>
      <c r="G541" s="10">
        <v>361.31</v>
      </c>
      <c r="H541" s="9" t="s">
        <v>35</v>
      </c>
      <c r="I541" s="9" t="s">
        <v>1025</v>
      </c>
      <c r="J541" s="9" t="s">
        <v>97</v>
      </c>
      <c r="K541" s="9" t="s">
        <v>38</v>
      </c>
      <c r="L541" s="9" t="s">
        <v>28</v>
      </c>
      <c r="M541" s="9" t="s">
        <v>61</v>
      </c>
      <c r="N541" s="10">
        <v>1258.92</v>
      </c>
      <c r="O541" s="9">
        <v>2025</v>
      </c>
      <c r="P541" s="9">
        <v>3</v>
      </c>
      <c r="Q541" s="9" t="s">
        <v>155</v>
      </c>
      <c r="R541" s="9" t="s">
        <v>31</v>
      </c>
      <c r="S541" s="10">
        <v>1258.92</v>
      </c>
      <c r="T541" s="45">
        <v>314.73</v>
      </c>
    </row>
    <row r="542" spans="1:20" x14ac:dyDescent="0.35">
      <c r="A542" s="40">
        <v>45747</v>
      </c>
      <c r="B542" s="41" t="s">
        <v>459</v>
      </c>
      <c r="C542" s="41" t="s">
        <v>89</v>
      </c>
      <c r="D542" s="41" t="s">
        <v>52</v>
      </c>
      <c r="E542" s="41" t="s">
        <v>63</v>
      </c>
      <c r="F542" s="41">
        <v>10</v>
      </c>
      <c r="G542" s="42">
        <v>361.39</v>
      </c>
      <c r="H542" s="41" t="s">
        <v>64</v>
      </c>
      <c r="I542" s="41" t="s">
        <v>1026</v>
      </c>
      <c r="J542" s="41" t="s">
        <v>97</v>
      </c>
      <c r="K542" s="41" t="s">
        <v>38</v>
      </c>
      <c r="L542" s="41" t="s">
        <v>66</v>
      </c>
      <c r="M542" s="41" t="s">
        <v>29</v>
      </c>
      <c r="N542" s="42">
        <v>46.55</v>
      </c>
      <c r="O542" s="41">
        <v>2025</v>
      </c>
      <c r="P542" s="41">
        <v>3</v>
      </c>
      <c r="Q542" s="41" t="s">
        <v>155</v>
      </c>
      <c r="R542" s="41" t="s">
        <v>31</v>
      </c>
      <c r="S542" s="42">
        <v>46.55</v>
      </c>
      <c r="T542" s="43">
        <v>46.55</v>
      </c>
    </row>
    <row r="543" spans="1:20" x14ac:dyDescent="0.35">
      <c r="A543" s="44">
        <v>45749</v>
      </c>
      <c r="B543" s="9" t="s">
        <v>1027</v>
      </c>
      <c r="C543" s="9" t="s">
        <v>89</v>
      </c>
      <c r="D543" s="9" t="s">
        <v>52</v>
      </c>
      <c r="E543" s="9" t="s">
        <v>63</v>
      </c>
      <c r="F543" s="9">
        <v>10</v>
      </c>
      <c r="G543" s="10">
        <v>361.61</v>
      </c>
      <c r="H543" s="9" t="s">
        <v>64</v>
      </c>
      <c r="I543" s="9" t="s">
        <v>1028</v>
      </c>
      <c r="J543" s="9" t="s">
        <v>97</v>
      </c>
      <c r="K543" s="9" t="s">
        <v>38</v>
      </c>
      <c r="L543" s="9" t="s">
        <v>28</v>
      </c>
      <c r="M543" s="9" t="s">
        <v>67</v>
      </c>
      <c r="N543" s="10">
        <v>412.4</v>
      </c>
      <c r="O543" s="9">
        <v>2025</v>
      </c>
      <c r="P543" s="9">
        <v>4</v>
      </c>
      <c r="Q543" s="9" t="s">
        <v>216</v>
      </c>
      <c r="R543" s="9" t="s">
        <v>217</v>
      </c>
      <c r="S543" s="10">
        <v>412.4</v>
      </c>
      <c r="T543" s="45">
        <v>51.55</v>
      </c>
    </row>
    <row r="544" spans="1:20" x14ac:dyDescent="0.35">
      <c r="A544" s="40">
        <v>45751</v>
      </c>
      <c r="B544" s="41" t="s">
        <v>1029</v>
      </c>
      <c r="C544" s="41" t="s">
        <v>89</v>
      </c>
      <c r="D544" s="41" t="s">
        <v>52</v>
      </c>
      <c r="E544" s="41" t="s">
        <v>63</v>
      </c>
      <c r="F544" s="41">
        <v>10</v>
      </c>
      <c r="G544" s="42">
        <v>362.03</v>
      </c>
      <c r="H544" s="41" t="s">
        <v>44</v>
      </c>
      <c r="I544" s="41" t="s">
        <v>1030</v>
      </c>
      <c r="J544" s="41" t="s">
        <v>97</v>
      </c>
      <c r="K544" s="41" t="s">
        <v>38</v>
      </c>
      <c r="L544" s="41" t="s">
        <v>66</v>
      </c>
      <c r="M544" s="41" t="s">
        <v>61</v>
      </c>
      <c r="N544" s="42">
        <v>1197.57</v>
      </c>
      <c r="O544" s="41">
        <v>2025</v>
      </c>
      <c r="P544" s="41">
        <v>4</v>
      </c>
      <c r="Q544" s="41" t="s">
        <v>216</v>
      </c>
      <c r="R544" s="41" t="s">
        <v>217</v>
      </c>
      <c r="S544" s="42">
        <v>1197.57</v>
      </c>
      <c r="T544" s="43">
        <v>399.19</v>
      </c>
    </row>
    <row r="545" spans="1:20" x14ac:dyDescent="0.35">
      <c r="A545" s="44">
        <v>45752</v>
      </c>
      <c r="B545" s="9" t="s">
        <v>1031</v>
      </c>
      <c r="C545" s="9" t="s">
        <v>89</v>
      </c>
      <c r="D545" s="9" t="s">
        <v>52</v>
      </c>
      <c r="E545" s="9" t="s">
        <v>63</v>
      </c>
      <c r="F545" s="9">
        <v>10</v>
      </c>
      <c r="G545" s="10">
        <v>362.87</v>
      </c>
      <c r="H545" s="9" t="s">
        <v>58</v>
      </c>
      <c r="I545" s="9" t="s">
        <v>1032</v>
      </c>
      <c r="J545" s="9" t="s">
        <v>97</v>
      </c>
      <c r="K545" s="9" t="s">
        <v>38</v>
      </c>
      <c r="L545" s="9" t="s">
        <v>66</v>
      </c>
      <c r="M545" s="9" t="s">
        <v>79</v>
      </c>
      <c r="N545" s="10">
        <v>237.99</v>
      </c>
      <c r="O545" s="9">
        <v>2025</v>
      </c>
      <c r="P545" s="9">
        <v>4</v>
      </c>
      <c r="Q545" s="9" t="s">
        <v>216</v>
      </c>
      <c r="R545" s="9" t="s">
        <v>217</v>
      </c>
      <c r="S545" s="10">
        <v>237.99</v>
      </c>
      <c r="T545" s="45">
        <v>79.33</v>
      </c>
    </row>
    <row r="546" spans="1:20" x14ac:dyDescent="0.35">
      <c r="A546" s="40">
        <v>45752</v>
      </c>
      <c r="B546" s="41" t="s">
        <v>753</v>
      </c>
      <c r="C546" s="41" t="s">
        <v>89</v>
      </c>
      <c r="D546" s="41" t="s">
        <v>52</v>
      </c>
      <c r="E546" s="41" t="s">
        <v>63</v>
      </c>
      <c r="F546" s="41">
        <v>10</v>
      </c>
      <c r="G546" s="42">
        <v>363.63</v>
      </c>
      <c r="H546" s="41" t="s">
        <v>64</v>
      </c>
      <c r="I546" s="41" t="s">
        <v>1033</v>
      </c>
      <c r="J546" s="41" t="s">
        <v>97</v>
      </c>
      <c r="K546" s="41" t="s">
        <v>38</v>
      </c>
      <c r="L546" s="41" t="s">
        <v>39</v>
      </c>
      <c r="M546" s="41" t="s">
        <v>79</v>
      </c>
      <c r="N546" s="42">
        <v>1167.96</v>
      </c>
      <c r="O546" s="41">
        <v>2025</v>
      </c>
      <c r="P546" s="41">
        <v>4</v>
      </c>
      <c r="Q546" s="41" t="s">
        <v>216</v>
      </c>
      <c r="R546" s="41" t="s">
        <v>217</v>
      </c>
      <c r="S546" s="42">
        <v>1167.96</v>
      </c>
      <c r="T546" s="43">
        <v>194.66</v>
      </c>
    </row>
    <row r="547" spans="1:20" x14ac:dyDescent="0.35">
      <c r="A547" s="44">
        <v>45753</v>
      </c>
      <c r="B547" s="9" t="s">
        <v>466</v>
      </c>
      <c r="C547" s="9" t="s">
        <v>89</v>
      </c>
      <c r="D547" s="9" t="s">
        <v>52</v>
      </c>
      <c r="E547" s="9" t="s">
        <v>63</v>
      </c>
      <c r="F547" s="9">
        <v>10</v>
      </c>
      <c r="G547" s="10">
        <v>363.77</v>
      </c>
      <c r="H547" s="9" t="s">
        <v>44</v>
      </c>
      <c r="I547" s="9" t="s">
        <v>1034</v>
      </c>
      <c r="J547" s="9" t="s">
        <v>97</v>
      </c>
      <c r="K547" s="9" t="s">
        <v>38</v>
      </c>
      <c r="L547" s="9" t="s">
        <v>39</v>
      </c>
      <c r="M547" s="9" t="s">
        <v>101</v>
      </c>
      <c r="N547" s="10">
        <v>1450.1</v>
      </c>
      <c r="O547" s="9">
        <v>2025</v>
      </c>
      <c r="P547" s="9">
        <v>4</v>
      </c>
      <c r="Q547" s="9" t="s">
        <v>216</v>
      </c>
      <c r="R547" s="9" t="s">
        <v>217</v>
      </c>
      <c r="S547" s="10">
        <v>1450.1</v>
      </c>
      <c r="T547" s="45">
        <v>290.02</v>
      </c>
    </row>
    <row r="548" spans="1:20" x14ac:dyDescent="0.35">
      <c r="A548" s="40">
        <v>45755</v>
      </c>
      <c r="B548" s="41" t="s">
        <v>386</v>
      </c>
      <c r="C548" s="41" t="s">
        <v>89</v>
      </c>
      <c r="D548" s="41" t="s">
        <v>52</v>
      </c>
      <c r="E548" s="41" t="s">
        <v>63</v>
      </c>
      <c r="F548" s="41">
        <v>10</v>
      </c>
      <c r="G548" s="42">
        <v>363.82</v>
      </c>
      <c r="H548" s="41" t="s">
        <v>64</v>
      </c>
      <c r="I548" s="41" t="s">
        <v>1035</v>
      </c>
      <c r="J548" s="41" t="s">
        <v>97</v>
      </c>
      <c r="K548" s="41" t="s">
        <v>38</v>
      </c>
      <c r="L548" s="41" t="s">
        <v>28</v>
      </c>
      <c r="M548" s="41" t="s">
        <v>49</v>
      </c>
      <c r="N548" s="42">
        <v>2517.84</v>
      </c>
      <c r="O548" s="41">
        <v>2025</v>
      </c>
      <c r="P548" s="41">
        <v>4</v>
      </c>
      <c r="Q548" s="41" t="s">
        <v>216</v>
      </c>
      <c r="R548" s="41" t="s">
        <v>217</v>
      </c>
      <c r="S548" s="42">
        <v>2517.84</v>
      </c>
      <c r="T548" s="43">
        <v>314.73</v>
      </c>
    </row>
    <row r="549" spans="1:20" x14ac:dyDescent="0.35">
      <c r="A549" s="44">
        <v>45757</v>
      </c>
      <c r="B549" s="9" t="s">
        <v>1036</v>
      </c>
      <c r="C549" s="9" t="s">
        <v>89</v>
      </c>
      <c r="D549" s="9" t="s">
        <v>52</v>
      </c>
      <c r="E549" s="9" t="s">
        <v>63</v>
      </c>
      <c r="F549" s="9">
        <v>10</v>
      </c>
      <c r="G549" s="10">
        <v>364.22</v>
      </c>
      <c r="H549" s="9" t="s">
        <v>24</v>
      </c>
      <c r="I549" s="9" t="s">
        <v>1037</v>
      </c>
      <c r="J549" s="9" t="s">
        <v>97</v>
      </c>
      <c r="K549" s="9" t="s">
        <v>38</v>
      </c>
      <c r="L549" s="9" t="s">
        <v>39</v>
      </c>
      <c r="M549" s="9" t="s">
        <v>56</v>
      </c>
      <c r="N549" s="10">
        <v>2615.83</v>
      </c>
      <c r="O549" s="9">
        <v>2025</v>
      </c>
      <c r="P549" s="9">
        <v>4</v>
      </c>
      <c r="Q549" s="9" t="s">
        <v>216</v>
      </c>
      <c r="R549" s="9" t="s">
        <v>217</v>
      </c>
      <c r="S549" s="10">
        <v>2615.83</v>
      </c>
      <c r="T549" s="45">
        <v>373.69</v>
      </c>
    </row>
    <row r="550" spans="1:20" x14ac:dyDescent="0.35">
      <c r="A550" s="40">
        <v>45760</v>
      </c>
      <c r="B550" s="41" t="s">
        <v>669</v>
      </c>
      <c r="C550" s="41" t="s">
        <v>89</v>
      </c>
      <c r="D550" s="41" t="s">
        <v>52</v>
      </c>
      <c r="E550" s="41" t="s">
        <v>63</v>
      </c>
      <c r="F550" s="41">
        <v>10</v>
      </c>
      <c r="G550" s="42">
        <v>366.17</v>
      </c>
      <c r="H550" s="41" t="s">
        <v>58</v>
      </c>
      <c r="I550" s="41" t="s">
        <v>1038</v>
      </c>
      <c r="J550" s="41" t="s">
        <v>97</v>
      </c>
      <c r="K550" s="41" t="s">
        <v>38</v>
      </c>
      <c r="L550" s="41" t="s">
        <v>39</v>
      </c>
      <c r="M550" s="41" t="s">
        <v>101</v>
      </c>
      <c r="N550" s="42">
        <v>60.07</v>
      </c>
      <c r="O550" s="41">
        <v>2025</v>
      </c>
      <c r="P550" s="41">
        <v>4</v>
      </c>
      <c r="Q550" s="41" t="s">
        <v>216</v>
      </c>
      <c r="R550" s="41" t="s">
        <v>217</v>
      </c>
      <c r="S550" s="42">
        <v>60.07</v>
      </c>
      <c r="T550" s="43">
        <v>60.07</v>
      </c>
    </row>
    <row r="551" spans="1:20" x14ac:dyDescent="0.35">
      <c r="A551" s="44">
        <v>45760</v>
      </c>
      <c r="B551" s="9" t="s">
        <v>636</v>
      </c>
      <c r="C551" s="9" t="s">
        <v>89</v>
      </c>
      <c r="D551" s="9" t="s">
        <v>52</v>
      </c>
      <c r="E551" s="9" t="s">
        <v>63</v>
      </c>
      <c r="F551" s="9">
        <v>10</v>
      </c>
      <c r="G551" s="10">
        <v>366.47</v>
      </c>
      <c r="H551" s="9" t="s">
        <v>24</v>
      </c>
      <c r="I551" s="9" t="s">
        <v>1039</v>
      </c>
      <c r="J551" s="9" t="s">
        <v>97</v>
      </c>
      <c r="K551" s="9" t="s">
        <v>38</v>
      </c>
      <c r="L551" s="9" t="s">
        <v>66</v>
      </c>
      <c r="M551" s="9" t="s">
        <v>101</v>
      </c>
      <c r="N551" s="10">
        <v>1037.95</v>
      </c>
      <c r="O551" s="9">
        <v>2025</v>
      </c>
      <c r="P551" s="9">
        <v>4</v>
      </c>
      <c r="Q551" s="9" t="s">
        <v>216</v>
      </c>
      <c r="R551" s="9" t="s">
        <v>217</v>
      </c>
      <c r="S551" s="10">
        <v>1037.95</v>
      </c>
      <c r="T551" s="45">
        <v>207.59</v>
      </c>
    </row>
    <row r="552" spans="1:20" x14ac:dyDescent="0.35">
      <c r="A552" s="40">
        <v>45761</v>
      </c>
      <c r="B552" s="41" t="s">
        <v>719</v>
      </c>
      <c r="C552" s="41" t="s">
        <v>89</v>
      </c>
      <c r="D552" s="41" t="s">
        <v>52</v>
      </c>
      <c r="E552" s="41" t="s">
        <v>63</v>
      </c>
      <c r="F552" s="41">
        <v>10</v>
      </c>
      <c r="G552" s="42">
        <v>367.5</v>
      </c>
      <c r="H552" s="41" t="s">
        <v>44</v>
      </c>
      <c r="I552" s="41" t="s">
        <v>1040</v>
      </c>
      <c r="J552" s="41" t="s">
        <v>97</v>
      </c>
      <c r="K552" s="41" t="s">
        <v>38</v>
      </c>
      <c r="L552" s="41" t="s">
        <v>66</v>
      </c>
      <c r="M552" s="41" t="s">
        <v>29</v>
      </c>
      <c r="N552" s="42">
        <v>1084.77</v>
      </c>
      <c r="O552" s="41">
        <v>2025</v>
      </c>
      <c r="P552" s="41">
        <v>4</v>
      </c>
      <c r="Q552" s="41" t="s">
        <v>216</v>
      </c>
      <c r="R552" s="41" t="s">
        <v>217</v>
      </c>
      <c r="S552" s="42">
        <v>1084.77</v>
      </c>
      <c r="T552" s="43">
        <v>120.53</v>
      </c>
    </row>
    <row r="553" spans="1:20" x14ac:dyDescent="0.35">
      <c r="A553" s="44">
        <v>45761</v>
      </c>
      <c r="B553" s="9" t="s">
        <v>1041</v>
      </c>
      <c r="C553" s="9" t="s">
        <v>89</v>
      </c>
      <c r="D553" s="9" t="s">
        <v>52</v>
      </c>
      <c r="E553" s="9" t="s">
        <v>63</v>
      </c>
      <c r="F553" s="9">
        <v>10</v>
      </c>
      <c r="G553" s="10">
        <v>367.88</v>
      </c>
      <c r="H553" s="9" t="s">
        <v>44</v>
      </c>
      <c r="I553" s="9" t="s">
        <v>1042</v>
      </c>
      <c r="J553" s="9" t="s">
        <v>97</v>
      </c>
      <c r="K553" s="9" t="s">
        <v>38</v>
      </c>
      <c r="L553" s="9" t="s">
        <v>28</v>
      </c>
      <c r="M553" s="9" t="s">
        <v>29</v>
      </c>
      <c r="N553" s="10">
        <v>266.73</v>
      </c>
      <c r="O553" s="9">
        <v>2025</v>
      </c>
      <c r="P553" s="9">
        <v>4</v>
      </c>
      <c r="Q553" s="9" t="s">
        <v>216</v>
      </c>
      <c r="R553" s="9" t="s">
        <v>217</v>
      </c>
      <c r="S553" s="10">
        <v>266.73</v>
      </c>
      <c r="T553" s="45">
        <v>88.91</v>
      </c>
    </row>
    <row r="554" spans="1:20" x14ac:dyDescent="0.35">
      <c r="A554" s="40">
        <v>45762</v>
      </c>
      <c r="B554" s="41" t="s">
        <v>1043</v>
      </c>
      <c r="C554" s="41" t="s">
        <v>89</v>
      </c>
      <c r="D554" s="41" t="s">
        <v>52</v>
      </c>
      <c r="E554" s="41" t="s">
        <v>63</v>
      </c>
      <c r="F554" s="41">
        <v>10</v>
      </c>
      <c r="G554" s="42">
        <v>368.51</v>
      </c>
      <c r="H554" s="41" t="s">
        <v>44</v>
      </c>
      <c r="I554" s="41" t="s">
        <v>1044</v>
      </c>
      <c r="J554" s="41" t="s">
        <v>97</v>
      </c>
      <c r="K554" s="41" t="s">
        <v>38</v>
      </c>
      <c r="L554" s="41" t="s">
        <v>28</v>
      </c>
      <c r="M554" s="41" t="s">
        <v>49</v>
      </c>
      <c r="N554" s="42">
        <v>2858.88</v>
      </c>
      <c r="O554" s="41">
        <v>2025</v>
      </c>
      <c r="P554" s="41">
        <v>4</v>
      </c>
      <c r="Q554" s="41" t="s">
        <v>216</v>
      </c>
      <c r="R554" s="41" t="s">
        <v>217</v>
      </c>
      <c r="S554" s="42">
        <v>2858.88</v>
      </c>
      <c r="T554" s="43">
        <v>357.36</v>
      </c>
    </row>
    <row r="555" spans="1:20" x14ac:dyDescent="0.35">
      <c r="A555" s="44">
        <v>45769</v>
      </c>
      <c r="B555" s="9" t="s">
        <v>459</v>
      </c>
      <c r="C555" s="9" t="s">
        <v>89</v>
      </c>
      <c r="D555" s="9" t="s">
        <v>52</v>
      </c>
      <c r="E555" s="9" t="s">
        <v>63</v>
      </c>
      <c r="F555" s="9">
        <v>10</v>
      </c>
      <c r="G555" s="10">
        <v>368.51</v>
      </c>
      <c r="H555" s="9" t="s">
        <v>58</v>
      </c>
      <c r="I555" s="9" t="s">
        <v>1045</v>
      </c>
      <c r="J555" s="9" t="s">
        <v>97</v>
      </c>
      <c r="K555" s="9" t="s">
        <v>38</v>
      </c>
      <c r="L555" s="9" t="s">
        <v>66</v>
      </c>
      <c r="M555" s="9" t="s">
        <v>49</v>
      </c>
      <c r="N555" s="10">
        <v>461.88</v>
      </c>
      <c r="O555" s="9">
        <v>2025</v>
      </c>
      <c r="P555" s="9">
        <v>4</v>
      </c>
      <c r="Q555" s="9" t="s">
        <v>216</v>
      </c>
      <c r="R555" s="9" t="s">
        <v>217</v>
      </c>
      <c r="S555" s="10">
        <v>461.88</v>
      </c>
      <c r="T555" s="45">
        <v>153.96</v>
      </c>
    </row>
    <row r="556" spans="1:20" x14ac:dyDescent="0.35">
      <c r="A556" s="40">
        <v>45771</v>
      </c>
      <c r="B556" s="41" t="s">
        <v>360</v>
      </c>
      <c r="C556" s="41" t="s">
        <v>89</v>
      </c>
      <c r="D556" s="41" t="s">
        <v>52</v>
      </c>
      <c r="E556" s="41" t="s">
        <v>63</v>
      </c>
      <c r="F556" s="41">
        <v>10</v>
      </c>
      <c r="G556" s="42">
        <v>368.99</v>
      </c>
      <c r="H556" s="41" t="s">
        <v>64</v>
      </c>
      <c r="I556" s="41" t="s">
        <v>1046</v>
      </c>
      <c r="J556" s="41" t="s">
        <v>97</v>
      </c>
      <c r="K556" s="41" t="s">
        <v>38</v>
      </c>
      <c r="L556" s="41" t="s">
        <v>66</v>
      </c>
      <c r="M556" s="41" t="s">
        <v>56</v>
      </c>
      <c r="N556" s="42">
        <v>3949.1</v>
      </c>
      <c r="O556" s="41">
        <v>2025</v>
      </c>
      <c r="P556" s="41">
        <v>4</v>
      </c>
      <c r="Q556" s="41" t="s">
        <v>216</v>
      </c>
      <c r="R556" s="41" t="s">
        <v>217</v>
      </c>
      <c r="S556" s="42">
        <v>3949.1</v>
      </c>
      <c r="T556" s="43">
        <v>394.91</v>
      </c>
    </row>
    <row r="557" spans="1:20" x14ac:dyDescent="0.35">
      <c r="A557" s="44">
        <v>45772</v>
      </c>
      <c r="B557" s="9" t="s">
        <v>1047</v>
      </c>
      <c r="C557" s="9" t="s">
        <v>89</v>
      </c>
      <c r="D557" s="9" t="s">
        <v>52</v>
      </c>
      <c r="E557" s="9" t="s">
        <v>63</v>
      </c>
      <c r="F557" s="9">
        <v>10</v>
      </c>
      <c r="G557" s="10">
        <v>369.1</v>
      </c>
      <c r="H557" s="9" t="s">
        <v>44</v>
      </c>
      <c r="I557" s="9" t="s">
        <v>1048</v>
      </c>
      <c r="J557" s="9" t="s">
        <v>97</v>
      </c>
      <c r="K557" s="9" t="s">
        <v>38</v>
      </c>
      <c r="L557" s="9" t="s">
        <v>28</v>
      </c>
      <c r="M557" s="9" t="s">
        <v>61</v>
      </c>
      <c r="N557" s="10">
        <v>321.2</v>
      </c>
      <c r="O557" s="9">
        <v>2025</v>
      </c>
      <c r="P557" s="9">
        <v>4</v>
      </c>
      <c r="Q557" s="9" t="s">
        <v>216</v>
      </c>
      <c r="R557" s="9" t="s">
        <v>217</v>
      </c>
      <c r="S557" s="10">
        <v>321.2</v>
      </c>
      <c r="T557" s="45">
        <v>32.119999999999997</v>
      </c>
    </row>
    <row r="558" spans="1:20" x14ac:dyDescent="0.35">
      <c r="A558" s="40">
        <v>45776</v>
      </c>
      <c r="B558" s="41" t="s">
        <v>1049</v>
      </c>
      <c r="C558" s="41" t="s">
        <v>89</v>
      </c>
      <c r="D558" s="41" t="s">
        <v>52</v>
      </c>
      <c r="E558" s="41" t="s">
        <v>63</v>
      </c>
      <c r="F558" s="41">
        <v>10</v>
      </c>
      <c r="G558" s="42">
        <v>369.63</v>
      </c>
      <c r="H558" s="41" t="s">
        <v>44</v>
      </c>
      <c r="I558" s="41" t="s">
        <v>1050</v>
      </c>
      <c r="J558" s="41" t="s">
        <v>97</v>
      </c>
      <c r="K558" s="41" t="s">
        <v>38</v>
      </c>
      <c r="L558" s="41" t="s">
        <v>66</v>
      </c>
      <c r="M558" s="41" t="s">
        <v>49</v>
      </c>
      <c r="N558" s="42">
        <v>827.36</v>
      </c>
      <c r="O558" s="41">
        <v>2025</v>
      </c>
      <c r="P558" s="41">
        <v>4</v>
      </c>
      <c r="Q558" s="41" t="s">
        <v>216</v>
      </c>
      <c r="R558" s="41" t="s">
        <v>217</v>
      </c>
      <c r="S558" s="42">
        <v>827.36</v>
      </c>
      <c r="T558" s="43">
        <v>206.84</v>
      </c>
    </row>
    <row r="559" spans="1:20" x14ac:dyDescent="0.35">
      <c r="A559" s="44">
        <v>45776</v>
      </c>
      <c r="B559" s="9" t="s">
        <v>1051</v>
      </c>
      <c r="C559" s="9" t="s">
        <v>89</v>
      </c>
      <c r="D559" s="9" t="s">
        <v>52</v>
      </c>
      <c r="E559" s="9" t="s">
        <v>63</v>
      </c>
      <c r="F559" s="9">
        <v>10</v>
      </c>
      <c r="G559" s="10">
        <v>370.9</v>
      </c>
      <c r="H559" s="9" t="s">
        <v>24</v>
      </c>
      <c r="I559" s="9" t="s">
        <v>1052</v>
      </c>
      <c r="J559" s="9" t="s">
        <v>97</v>
      </c>
      <c r="K559" s="9" t="s">
        <v>38</v>
      </c>
      <c r="L559" s="9" t="s">
        <v>66</v>
      </c>
      <c r="M559" s="9" t="s">
        <v>49</v>
      </c>
      <c r="N559" s="10">
        <v>72</v>
      </c>
      <c r="O559" s="9">
        <v>2025</v>
      </c>
      <c r="P559" s="9">
        <v>4</v>
      </c>
      <c r="Q559" s="9" t="s">
        <v>216</v>
      </c>
      <c r="R559" s="9" t="s">
        <v>217</v>
      </c>
      <c r="S559" s="10">
        <v>72</v>
      </c>
      <c r="T559" s="45">
        <v>72</v>
      </c>
    </row>
    <row r="560" spans="1:20" x14ac:dyDescent="0.35">
      <c r="A560" s="40">
        <v>45777</v>
      </c>
      <c r="B560" s="41" t="s">
        <v>1053</v>
      </c>
      <c r="C560" s="41" t="s">
        <v>89</v>
      </c>
      <c r="D560" s="41" t="s">
        <v>52</v>
      </c>
      <c r="E560" s="41" t="s">
        <v>63</v>
      </c>
      <c r="F560" s="41">
        <v>10</v>
      </c>
      <c r="G560" s="42">
        <v>373.03</v>
      </c>
      <c r="H560" s="41" t="s">
        <v>24</v>
      </c>
      <c r="I560" s="41" t="s">
        <v>1054</v>
      </c>
      <c r="J560" s="41" t="s">
        <v>97</v>
      </c>
      <c r="K560" s="41" t="s">
        <v>38</v>
      </c>
      <c r="L560" s="41" t="s">
        <v>28</v>
      </c>
      <c r="M560" s="41" t="s">
        <v>67</v>
      </c>
      <c r="N560" s="42">
        <v>215.47</v>
      </c>
      <c r="O560" s="41">
        <v>2025</v>
      </c>
      <c r="P560" s="41">
        <v>4</v>
      </c>
      <c r="Q560" s="41" t="s">
        <v>216</v>
      </c>
      <c r="R560" s="41" t="s">
        <v>217</v>
      </c>
      <c r="S560" s="42">
        <v>215.47</v>
      </c>
      <c r="T560" s="43">
        <v>215.47</v>
      </c>
    </row>
    <row r="561" spans="1:20" x14ac:dyDescent="0.35">
      <c r="A561" s="44">
        <v>45777</v>
      </c>
      <c r="B561" s="9" t="s">
        <v>1055</v>
      </c>
      <c r="C561" s="9" t="s">
        <v>89</v>
      </c>
      <c r="D561" s="9" t="s">
        <v>52</v>
      </c>
      <c r="E561" s="9" t="s">
        <v>63</v>
      </c>
      <c r="F561" s="9">
        <v>10</v>
      </c>
      <c r="G561" s="10">
        <v>373.31</v>
      </c>
      <c r="H561" s="9" t="s">
        <v>24</v>
      </c>
      <c r="I561" s="9" t="s">
        <v>1056</v>
      </c>
      <c r="J561" s="9" t="s">
        <v>97</v>
      </c>
      <c r="K561" s="9" t="s">
        <v>38</v>
      </c>
      <c r="L561" s="9" t="s">
        <v>39</v>
      </c>
      <c r="M561" s="9" t="s">
        <v>67</v>
      </c>
      <c r="N561" s="10">
        <v>1592.99</v>
      </c>
      <c r="O561" s="9">
        <v>2025</v>
      </c>
      <c r="P561" s="9">
        <v>4</v>
      </c>
      <c r="Q561" s="9" t="s">
        <v>216</v>
      </c>
      <c r="R561" s="9" t="s">
        <v>217</v>
      </c>
      <c r="S561" s="10">
        <v>1592.99</v>
      </c>
      <c r="T561" s="45">
        <v>227.57</v>
      </c>
    </row>
    <row r="562" spans="1:20" x14ac:dyDescent="0.35">
      <c r="A562" s="40">
        <v>45780</v>
      </c>
      <c r="B562" s="41" t="s">
        <v>1057</v>
      </c>
      <c r="C562" s="41" t="s">
        <v>89</v>
      </c>
      <c r="D562" s="41" t="s">
        <v>52</v>
      </c>
      <c r="E562" s="41" t="s">
        <v>63</v>
      </c>
      <c r="F562" s="41">
        <v>10</v>
      </c>
      <c r="G562" s="42">
        <v>373.69</v>
      </c>
      <c r="H562" s="41" t="s">
        <v>64</v>
      </c>
      <c r="I562" s="41" t="s">
        <v>1058</v>
      </c>
      <c r="J562" s="41" t="s">
        <v>97</v>
      </c>
      <c r="K562" s="41" t="s">
        <v>38</v>
      </c>
      <c r="L562" s="41" t="s">
        <v>66</v>
      </c>
      <c r="M562" s="41" t="s">
        <v>79</v>
      </c>
      <c r="N562" s="42">
        <v>1833.16</v>
      </c>
      <c r="O562" s="41">
        <v>2025</v>
      </c>
      <c r="P562" s="41">
        <v>5</v>
      </c>
      <c r="Q562" s="41" t="s">
        <v>267</v>
      </c>
      <c r="R562" s="41" t="s">
        <v>217</v>
      </c>
      <c r="S562" s="42">
        <v>1833.16</v>
      </c>
      <c r="T562" s="43">
        <v>261.88</v>
      </c>
    </row>
    <row r="563" spans="1:20" x14ac:dyDescent="0.35">
      <c r="A563" s="44">
        <v>45780</v>
      </c>
      <c r="B563" s="9" t="s">
        <v>145</v>
      </c>
      <c r="C563" s="9" t="s">
        <v>89</v>
      </c>
      <c r="D563" s="9" t="s">
        <v>52</v>
      </c>
      <c r="E563" s="9" t="s">
        <v>63</v>
      </c>
      <c r="F563" s="9">
        <v>10</v>
      </c>
      <c r="G563" s="10">
        <v>373.91</v>
      </c>
      <c r="H563" s="9" t="s">
        <v>44</v>
      </c>
      <c r="I563" s="9" t="s">
        <v>1059</v>
      </c>
      <c r="J563" s="9" t="s">
        <v>97</v>
      </c>
      <c r="K563" s="9" t="s">
        <v>38</v>
      </c>
      <c r="L563" s="9" t="s">
        <v>28</v>
      </c>
      <c r="M563" s="9" t="s">
        <v>79</v>
      </c>
      <c r="N563" s="10">
        <v>1153.26</v>
      </c>
      <c r="O563" s="9">
        <v>2025</v>
      </c>
      <c r="P563" s="9">
        <v>5</v>
      </c>
      <c r="Q563" s="9" t="s">
        <v>267</v>
      </c>
      <c r="R563" s="9" t="s">
        <v>217</v>
      </c>
      <c r="S563" s="10">
        <v>1153.26</v>
      </c>
      <c r="T563" s="45">
        <v>384.42</v>
      </c>
    </row>
    <row r="564" spans="1:20" x14ac:dyDescent="0.35">
      <c r="A564" s="40">
        <v>45785</v>
      </c>
      <c r="B564" s="41" t="s">
        <v>472</v>
      </c>
      <c r="C564" s="41" t="s">
        <v>89</v>
      </c>
      <c r="D564" s="41" t="s">
        <v>52</v>
      </c>
      <c r="E564" s="41" t="s">
        <v>63</v>
      </c>
      <c r="F564" s="41">
        <v>10</v>
      </c>
      <c r="G564" s="42">
        <v>375.22</v>
      </c>
      <c r="H564" s="41" t="s">
        <v>35</v>
      </c>
      <c r="I564" s="41" t="s">
        <v>1060</v>
      </c>
      <c r="J564" s="41" t="s">
        <v>97</v>
      </c>
      <c r="K564" s="41" t="s">
        <v>38</v>
      </c>
      <c r="L564" s="41" t="s">
        <v>28</v>
      </c>
      <c r="M564" s="41" t="s">
        <v>56</v>
      </c>
      <c r="N564" s="42">
        <v>1025.1600000000001</v>
      </c>
      <c r="O564" s="41">
        <v>2025</v>
      </c>
      <c r="P564" s="41">
        <v>5</v>
      </c>
      <c r="Q564" s="41" t="s">
        <v>267</v>
      </c>
      <c r="R564" s="41" t="s">
        <v>217</v>
      </c>
      <c r="S564" s="42">
        <v>1025.1600000000001</v>
      </c>
      <c r="T564" s="43">
        <v>256.29000000000002</v>
      </c>
    </row>
    <row r="565" spans="1:20" x14ac:dyDescent="0.35">
      <c r="A565" s="44">
        <v>45794</v>
      </c>
      <c r="B565" s="9" t="s">
        <v>1031</v>
      </c>
      <c r="C565" s="9" t="s">
        <v>89</v>
      </c>
      <c r="D565" s="9" t="s">
        <v>52</v>
      </c>
      <c r="E565" s="9" t="s">
        <v>63</v>
      </c>
      <c r="F565" s="9">
        <v>10</v>
      </c>
      <c r="G565" s="10">
        <v>375.32</v>
      </c>
      <c r="H565" s="9" t="s">
        <v>35</v>
      </c>
      <c r="I565" s="9" t="s">
        <v>1061</v>
      </c>
      <c r="J565" s="9" t="s">
        <v>97</v>
      </c>
      <c r="K565" s="9" t="s">
        <v>38</v>
      </c>
      <c r="L565" s="9" t="s">
        <v>66</v>
      </c>
      <c r="M565" s="9" t="s">
        <v>79</v>
      </c>
      <c r="N565" s="10">
        <v>2292.84</v>
      </c>
      <c r="O565" s="9">
        <v>2025</v>
      </c>
      <c r="P565" s="9">
        <v>5</v>
      </c>
      <c r="Q565" s="9" t="s">
        <v>267</v>
      </c>
      <c r="R565" s="9" t="s">
        <v>217</v>
      </c>
      <c r="S565" s="10">
        <v>2292.84</v>
      </c>
      <c r="T565" s="45">
        <v>254.76</v>
      </c>
    </row>
    <row r="566" spans="1:20" x14ac:dyDescent="0.35">
      <c r="A566" s="40">
        <v>45797</v>
      </c>
      <c r="B566" s="41" t="s">
        <v>1062</v>
      </c>
      <c r="C566" s="41" t="s">
        <v>89</v>
      </c>
      <c r="D566" s="41" t="s">
        <v>52</v>
      </c>
      <c r="E566" s="41" t="s">
        <v>63</v>
      </c>
      <c r="F566" s="41">
        <v>10</v>
      </c>
      <c r="G566" s="42">
        <v>376.61</v>
      </c>
      <c r="H566" s="41" t="s">
        <v>24</v>
      </c>
      <c r="I566" s="41" t="s">
        <v>1063</v>
      </c>
      <c r="J566" s="41" t="s">
        <v>97</v>
      </c>
      <c r="K566" s="41" t="s">
        <v>38</v>
      </c>
      <c r="L566" s="41" t="s">
        <v>28</v>
      </c>
      <c r="M566" s="41" t="s">
        <v>49</v>
      </c>
      <c r="N566" s="42">
        <v>1335.88</v>
      </c>
      <c r="O566" s="41">
        <v>2025</v>
      </c>
      <c r="P566" s="41">
        <v>5</v>
      </c>
      <c r="Q566" s="41" t="s">
        <v>267</v>
      </c>
      <c r="R566" s="41" t="s">
        <v>217</v>
      </c>
      <c r="S566" s="42">
        <v>1335.88</v>
      </c>
      <c r="T566" s="43">
        <v>190.84</v>
      </c>
    </row>
    <row r="567" spans="1:20" x14ac:dyDescent="0.35">
      <c r="A567" s="44">
        <v>45797</v>
      </c>
      <c r="B567" s="9" t="s">
        <v>1036</v>
      </c>
      <c r="C567" s="9" t="s">
        <v>89</v>
      </c>
      <c r="D567" s="9" t="s">
        <v>52</v>
      </c>
      <c r="E567" s="9" t="s">
        <v>63</v>
      </c>
      <c r="F567" s="9">
        <v>10</v>
      </c>
      <c r="G567" s="10">
        <v>377.06</v>
      </c>
      <c r="H567" s="9" t="s">
        <v>35</v>
      </c>
      <c r="I567" s="9" t="s">
        <v>1064</v>
      </c>
      <c r="J567" s="9" t="s">
        <v>97</v>
      </c>
      <c r="K567" s="9" t="s">
        <v>38</v>
      </c>
      <c r="L567" s="9" t="s">
        <v>39</v>
      </c>
      <c r="M567" s="9" t="s">
        <v>49</v>
      </c>
      <c r="N567" s="10">
        <v>2040</v>
      </c>
      <c r="O567" s="9">
        <v>2025</v>
      </c>
      <c r="P567" s="9">
        <v>5</v>
      </c>
      <c r="Q567" s="9" t="s">
        <v>267</v>
      </c>
      <c r="R567" s="9" t="s">
        <v>217</v>
      </c>
      <c r="S567" s="10">
        <v>2040</v>
      </c>
      <c r="T567" s="45">
        <v>204</v>
      </c>
    </row>
    <row r="568" spans="1:20" x14ac:dyDescent="0.35">
      <c r="A568" s="40">
        <v>45800</v>
      </c>
      <c r="B568" s="41" t="s">
        <v>137</v>
      </c>
      <c r="C568" s="41" t="s">
        <v>89</v>
      </c>
      <c r="D568" s="41" t="s">
        <v>52</v>
      </c>
      <c r="E568" s="41" t="s">
        <v>63</v>
      </c>
      <c r="F568" s="41">
        <v>10</v>
      </c>
      <c r="G568" s="42">
        <v>378.43</v>
      </c>
      <c r="H568" s="41" t="s">
        <v>35</v>
      </c>
      <c r="I568" s="41" t="s">
        <v>1065</v>
      </c>
      <c r="J568" s="41" t="s">
        <v>97</v>
      </c>
      <c r="K568" s="41" t="s">
        <v>38</v>
      </c>
      <c r="L568" s="41" t="s">
        <v>28</v>
      </c>
      <c r="M568" s="41" t="s">
        <v>61</v>
      </c>
      <c r="N568" s="42">
        <v>1787.31</v>
      </c>
      <c r="O568" s="41">
        <v>2025</v>
      </c>
      <c r="P568" s="41">
        <v>5</v>
      </c>
      <c r="Q568" s="41" t="s">
        <v>267</v>
      </c>
      <c r="R568" s="41" t="s">
        <v>217</v>
      </c>
      <c r="S568" s="42">
        <v>1787.31</v>
      </c>
      <c r="T568" s="43">
        <v>255.33</v>
      </c>
    </row>
    <row r="569" spans="1:20" x14ac:dyDescent="0.35">
      <c r="A569" s="44">
        <v>45800</v>
      </c>
      <c r="B569" s="9" t="s">
        <v>174</v>
      </c>
      <c r="C569" s="9" t="s">
        <v>89</v>
      </c>
      <c r="D569" s="9" t="s">
        <v>52</v>
      </c>
      <c r="E569" s="9" t="s">
        <v>63</v>
      </c>
      <c r="F569" s="9">
        <v>10</v>
      </c>
      <c r="G569" s="10">
        <v>380.63</v>
      </c>
      <c r="H569" s="9" t="s">
        <v>35</v>
      </c>
      <c r="I569" s="9" t="s">
        <v>1066</v>
      </c>
      <c r="J569" s="9" t="s">
        <v>97</v>
      </c>
      <c r="K569" s="9" t="s">
        <v>38</v>
      </c>
      <c r="L569" s="9" t="s">
        <v>28</v>
      </c>
      <c r="M569" s="9" t="s">
        <v>61</v>
      </c>
      <c r="N569" s="10">
        <v>1474.04</v>
      </c>
      <c r="O569" s="9">
        <v>2025</v>
      </c>
      <c r="P569" s="9">
        <v>5</v>
      </c>
      <c r="Q569" s="9" t="s">
        <v>267</v>
      </c>
      <c r="R569" s="9" t="s">
        <v>217</v>
      </c>
      <c r="S569" s="10">
        <v>1474.04</v>
      </c>
      <c r="T569" s="45">
        <v>368.51</v>
      </c>
    </row>
    <row r="570" spans="1:20" x14ac:dyDescent="0.35">
      <c r="A570" s="40">
        <v>45801</v>
      </c>
      <c r="B570" s="41" t="s">
        <v>195</v>
      </c>
      <c r="C570" s="41" t="s">
        <v>89</v>
      </c>
      <c r="D570" s="41" t="s">
        <v>52</v>
      </c>
      <c r="E570" s="41" t="s">
        <v>63</v>
      </c>
      <c r="F570" s="41">
        <v>10</v>
      </c>
      <c r="G570" s="42">
        <v>380.74</v>
      </c>
      <c r="H570" s="41" t="s">
        <v>58</v>
      </c>
      <c r="I570" s="41" t="s">
        <v>1067</v>
      </c>
      <c r="J570" s="41" t="s">
        <v>97</v>
      </c>
      <c r="K570" s="41" t="s">
        <v>38</v>
      </c>
      <c r="L570" s="41" t="s">
        <v>39</v>
      </c>
      <c r="M570" s="41" t="s">
        <v>79</v>
      </c>
      <c r="N570" s="42">
        <v>2711.1</v>
      </c>
      <c r="O570" s="41">
        <v>2025</v>
      </c>
      <c r="P570" s="41">
        <v>5</v>
      </c>
      <c r="Q570" s="41" t="s">
        <v>267</v>
      </c>
      <c r="R570" s="41" t="s">
        <v>217</v>
      </c>
      <c r="S570" s="42">
        <v>2711.1</v>
      </c>
      <c r="T570" s="43">
        <v>387.3</v>
      </c>
    </row>
    <row r="571" spans="1:20" x14ac:dyDescent="0.35">
      <c r="A571" s="44">
        <v>45804</v>
      </c>
      <c r="B571" s="9" t="s">
        <v>1068</v>
      </c>
      <c r="C571" s="9" t="s">
        <v>89</v>
      </c>
      <c r="D571" s="9" t="s">
        <v>52</v>
      </c>
      <c r="E571" s="9" t="s">
        <v>63</v>
      </c>
      <c r="F571" s="9">
        <v>10</v>
      </c>
      <c r="G571" s="10">
        <v>382.95</v>
      </c>
      <c r="H571" s="9" t="s">
        <v>44</v>
      </c>
      <c r="I571" s="9" t="s">
        <v>1069</v>
      </c>
      <c r="J571" s="9" t="s">
        <v>97</v>
      </c>
      <c r="K571" s="9" t="s">
        <v>38</v>
      </c>
      <c r="L571" s="9" t="s">
        <v>39</v>
      </c>
      <c r="M571" s="9" t="s">
        <v>49</v>
      </c>
      <c r="N571" s="10">
        <v>397.26</v>
      </c>
      <c r="O571" s="9">
        <v>2025</v>
      </c>
      <c r="P571" s="9">
        <v>5</v>
      </c>
      <c r="Q571" s="9" t="s">
        <v>267</v>
      </c>
      <c r="R571" s="9" t="s">
        <v>217</v>
      </c>
      <c r="S571" s="10">
        <v>397.26</v>
      </c>
      <c r="T571" s="45">
        <v>397.26</v>
      </c>
    </row>
    <row r="572" spans="1:20" x14ac:dyDescent="0.35">
      <c r="A572" s="40">
        <v>45807</v>
      </c>
      <c r="B572" s="41" t="s">
        <v>566</v>
      </c>
      <c r="C572" s="41" t="s">
        <v>89</v>
      </c>
      <c r="D572" s="41" t="s">
        <v>52</v>
      </c>
      <c r="E572" s="41" t="s">
        <v>63</v>
      </c>
      <c r="F572" s="41">
        <v>10</v>
      </c>
      <c r="G572" s="42">
        <v>382.99</v>
      </c>
      <c r="H572" s="41" t="s">
        <v>64</v>
      </c>
      <c r="I572" s="41" t="s">
        <v>1070</v>
      </c>
      <c r="J572" s="41" t="s">
        <v>97</v>
      </c>
      <c r="K572" s="41" t="s">
        <v>38</v>
      </c>
      <c r="L572" s="41" t="s">
        <v>28</v>
      </c>
      <c r="M572" s="41" t="s">
        <v>61</v>
      </c>
      <c r="N572" s="42">
        <v>2860</v>
      </c>
      <c r="O572" s="41">
        <v>2025</v>
      </c>
      <c r="P572" s="41">
        <v>5</v>
      </c>
      <c r="Q572" s="41" t="s">
        <v>267</v>
      </c>
      <c r="R572" s="41" t="s">
        <v>217</v>
      </c>
      <c r="S572" s="42">
        <v>2860</v>
      </c>
      <c r="T572" s="43">
        <v>357.5</v>
      </c>
    </row>
    <row r="573" spans="1:20" x14ac:dyDescent="0.35">
      <c r="A573" s="44">
        <v>45808</v>
      </c>
      <c r="B573" s="9" t="s">
        <v>520</v>
      </c>
      <c r="C573" s="9" t="s">
        <v>89</v>
      </c>
      <c r="D573" s="9" t="s">
        <v>52</v>
      </c>
      <c r="E573" s="9" t="s">
        <v>63</v>
      </c>
      <c r="F573" s="9">
        <v>10</v>
      </c>
      <c r="G573" s="10">
        <v>383.7</v>
      </c>
      <c r="H573" s="9" t="s">
        <v>44</v>
      </c>
      <c r="I573" s="9" t="s">
        <v>1071</v>
      </c>
      <c r="J573" s="9" t="s">
        <v>97</v>
      </c>
      <c r="K573" s="9" t="s">
        <v>38</v>
      </c>
      <c r="L573" s="9" t="s">
        <v>28</v>
      </c>
      <c r="M573" s="9" t="s">
        <v>79</v>
      </c>
      <c r="N573" s="10">
        <v>196.88</v>
      </c>
      <c r="O573" s="9">
        <v>2025</v>
      </c>
      <c r="P573" s="9">
        <v>5</v>
      </c>
      <c r="Q573" s="9" t="s">
        <v>267</v>
      </c>
      <c r="R573" s="9" t="s">
        <v>217</v>
      </c>
      <c r="S573" s="10">
        <v>196.88</v>
      </c>
      <c r="T573" s="45">
        <v>24.61</v>
      </c>
    </row>
    <row r="574" spans="1:20" x14ac:dyDescent="0.35">
      <c r="A574" s="40">
        <v>45809</v>
      </c>
      <c r="B574" s="41" t="s">
        <v>212</v>
      </c>
      <c r="C574" s="41" t="s">
        <v>89</v>
      </c>
      <c r="D574" s="41" t="s">
        <v>52</v>
      </c>
      <c r="E574" s="41" t="s">
        <v>63</v>
      </c>
      <c r="F574" s="41">
        <v>10</v>
      </c>
      <c r="G574" s="42">
        <v>384.42</v>
      </c>
      <c r="H574" s="41" t="s">
        <v>35</v>
      </c>
      <c r="I574" s="41" t="s">
        <v>1072</v>
      </c>
      <c r="J574" s="41" t="s">
        <v>97</v>
      </c>
      <c r="K574" s="41" t="s">
        <v>38</v>
      </c>
      <c r="L574" s="41" t="s">
        <v>39</v>
      </c>
      <c r="M574" s="41" t="s">
        <v>101</v>
      </c>
      <c r="N574" s="42">
        <v>1177.1199999999999</v>
      </c>
      <c r="O574" s="41">
        <v>2025</v>
      </c>
      <c r="P574" s="41">
        <v>6</v>
      </c>
      <c r="Q574" s="41" t="s">
        <v>321</v>
      </c>
      <c r="R574" s="41" t="s">
        <v>217</v>
      </c>
      <c r="S574" s="42">
        <v>1177.1199999999999</v>
      </c>
      <c r="T574" s="43">
        <v>294.27999999999997</v>
      </c>
    </row>
    <row r="575" spans="1:20" x14ac:dyDescent="0.35">
      <c r="A575" s="44">
        <v>45812</v>
      </c>
      <c r="B575" s="9" t="s">
        <v>1073</v>
      </c>
      <c r="C575" s="9" t="s">
        <v>89</v>
      </c>
      <c r="D575" s="9" t="s">
        <v>52</v>
      </c>
      <c r="E575" s="9" t="s">
        <v>63</v>
      </c>
      <c r="F575" s="9">
        <v>10</v>
      </c>
      <c r="G575" s="10">
        <v>384.74</v>
      </c>
      <c r="H575" s="9" t="s">
        <v>64</v>
      </c>
      <c r="I575" s="9" t="s">
        <v>1074</v>
      </c>
      <c r="J575" s="9" t="s">
        <v>97</v>
      </c>
      <c r="K575" s="9" t="s">
        <v>38</v>
      </c>
      <c r="L575" s="9" t="s">
        <v>28</v>
      </c>
      <c r="M575" s="9" t="s">
        <v>67</v>
      </c>
      <c r="N575" s="10">
        <v>251.16</v>
      </c>
      <c r="O575" s="9">
        <v>2025</v>
      </c>
      <c r="P575" s="9">
        <v>6</v>
      </c>
      <c r="Q575" s="9" t="s">
        <v>321</v>
      </c>
      <c r="R575" s="9" t="s">
        <v>217</v>
      </c>
      <c r="S575" s="10">
        <v>251.16</v>
      </c>
      <c r="T575" s="45">
        <v>125.58</v>
      </c>
    </row>
    <row r="576" spans="1:20" x14ac:dyDescent="0.35">
      <c r="A576" s="40">
        <v>45813</v>
      </c>
      <c r="B576" s="41" t="s">
        <v>1075</v>
      </c>
      <c r="C576" s="41" t="s">
        <v>89</v>
      </c>
      <c r="D576" s="41" t="s">
        <v>52</v>
      </c>
      <c r="E576" s="41" t="s">
        <v>63</v>
      </c>
      <c r="F576" s="41">
        <v>10</v>
      </c>
      <c r="G576" s="42">
        <v>385.02</v>
      </c>
      <c r="H576" s="41" t="s">
        <v>64</v>
      </c>
      <c r="I576" s="41" t="s">
        <v>1076</v>
      </c>
      <c r="J576" s="41" t="s">
        <v>97</v>
      </c>
      <c r="K576" s="41" t="s">
        <v>38</v>
      </c>
      <c r="L576" s="41" t="s">
        <v>39</v>
      </c>
      <c r="M576" s="41" t="s">
        <v>56</v>
      </c>
      <c r="N576" s="42">
        <v>1017.12</v>
      </c>
      <c r="O576" s="41">
        <v>2025</v>
      </c>
      <c r="P576" s="41">
        <v>6</v>
      </c>
      <c r="Q576" s="41" t="s">
        <v>321</v>
      </c>
      <c r="R576" s="41" t="s">
        <v>217</v>
      </c>
      <c r="S576" s="42">
        <v>1017.12</v>
      </c>
      <c r="T576" s="43">
        <v>339.04</v>
      </c>
    </row>
    <row r="577" spans="1:20" x14ac:dyDescent="0.35">
      <c r="A577" s="44">
        <v>45813</v>
      </c>
      <c r="B577" s="9" t="s">
        <v>350</v>
      </c>
      <c r="C577" s="9" t="s">
        <v>89</v>
      </c>
      <c r="D577" s="9" t="s">
        <v>52</v>
      </c>
      <c r="E577" s="9" t="s">
        <v>63</v>
      </c>
      <c r="F577" s="9">
        <v>10</v>
      </c>
      <c r="G577" s="10">
        <v>385.05</v>
      </c>
      <c r="H577" s="9" t="s">
        <v>58</v>
      </c>
      <c r="I577" s="9" t="s">
        <v>1077</v>
      </c>
      <c r="J577" s="9" t="s">
        <v>97</v>
      </c>
      <c r="K577" s="9" t="s">
        <v>38</v>
      </c>
      <c r="L577" s="9" t="s">
        <v>28</v>
      </c>
      <c r="M577" s="9" t="s">
        <v>56</v>
      </c>
      <c r="N577" s="10">
        <v>1663.08</v>
      </c>
      <c r="O577" s="9">
        <v>2025</v>
      </c>
      <c r="P577" s="9">
        <v>6</v>
      </c>
      <c r="Q577" s="9" t="s">
        <v>321</v>
      </c>
      <c r="R577" s="9" t="s">
        <v>217</v>
      </c>
      <c r="S577" s="10">
        <v>1663.08</v>
      </c>
      <c r="T577" s="45">
        <v>277.18</v>
      </c>
    </row>
    <row r="578" spans="1:20" x14ac:dyDescent="0.35">
      <c r="A578" s="40">
        <v>45815</v>
      </c>
      <c r="B578" s="41" t="s">
        <v>1078</v>
      </c>
      <c r="C578" s="41" t="s">
        <v>89</v>
      </c>
      <c r="D578" s="41" t="s">
        <v>52</v>
      </c>
      <c r="E578" s="41" t="s">
        <v>63</v>
      </c>
      <c r="F578" s="41">
        <v>10</v>
      </c>
      <c r="G578" s="42">
        <v>385.41</v>
      </c>
      <c r="H578" s="41" t="s">
        <v>24</v>
      </c>
      <c r="I578" s="41" t="s">
        <v>1079</v>
      </c>
      <c r="J578" s="41" t="s">
        <v>97</v>
      </c>
      <c r="K578" s="41" t="s">
        <v>38</v>
      </c>
      <c r="L578" s="41" t="s">
        <v>28</v>
      </c>
      <c r="M578" s="41" t="s">
        <v>79</v>
      </c>
      <c r="N578" s="42">
        <v>3829.5</v>
      </c>
      <c r="O578" s="41">
        <v>2025</v>
      </c>
      <c r="P578" s="41">
        <v>6</v>
      </c>
      <c r="Q578" s="41" t="s">
        <v>321</v>
      </c>
      <c r="R578" s="41" t="s">
        <v>217</v>
      </c>
      <c r="S578" s="42">
        <v>3829.5</v>
      </c>
      <c r="T578" s="43">
        <v>382.95</v>
      </c>
    </row>
    <row r="579" spans="1:20" x14ac:dyDescent="0.35">
      <c r="A579" s="44">
        <v>45816</v>
      </c>
      <c r="B579" s="9" t="s">
        <v>1080</v>
      </c>
      <c r="C579" s="9" t="s">
        <v>89</v>
      </c>
      <c r="D579" s="9" t="s">
        <v>52</v>
      </c>
      <c r="E579" s="9" t="s">
        <v>63</v>
      </c>
      <c r="F579" s="9">
        <v>10</v>
      </c>
      <c r="G579" s="10">
        <v>387.3</v>
      </c>
      <c r="H579" s="9" t="s">
        <v>64</v>
      </c>
      <c r="I579" s="9" t="s">
        <v>1081</v>
      </c>
      <c r="J579" s="9" t="s">
        <v>97</v>
      </c>
      <c r="K579" s="9" t="s">
        <v>38</v>
      </c>
      <c r="L579" s="9" t="s">
        <v>66</v>
      </c>
      <c r="M579" s="9" t="s">
        <v>101</v>
      </c>
      <c r="N579" s="10">
        <v>279.39999999999998</v>
      </c>
      <c r="O579" s="9">
        <v>2025</v>
      </c>
      <c r="P579" s="9">
        <v>6</v>
      </c>
      <c r="Q579" s="9" t="s">
        <v>321</v>
      </c>
      <c r="R579" s="9" t="s">
        <v>217</v>
      </c>
      <c r="S579" s="10">
        <v>279.39999999999998</v>
      </c>
      <c r="T579" s="45">
        <v>27.94</v>
      </c>
    </row>
    <row r="580" spans="1:20" x14ac:dyDescent="0.35">
      <c r="A580" s="40">
        <v>45819</v>
      </c>
      <c r="B580" s="41" t="s">
        <v>935</v>
      </c>
      <c r="C580" s="41" t="s">
        <v>89</v>
      </c>
      <c r="D580" s="41" t="s">
        <v>52</v>
      </c>
      <c r="E580" s="41" t="s">
        <v>63</v>
      </c>
      <c r="F580" s="41">
        <v>10</v>
      </c>
      <c r="G580" s="42">
        <v>388.02</v>
      </c>
      <c r="H580" s="41" t="s">
        <v>64</v>
      </c>
      <c r="I580" s="41" t="s">
        <v>1082</v>
      </c>
      <c r="J580" s="41" t="s">
        <v>97</v>
      </c>
      <c r="K580" s="41" t="s">
        <v>38</v>
      </c>
      <c r="L580" s="41" t="s">
        <v>39</v>
      </c>
      <c r="M580" s="41" t="s">
        <v>67</v>
      </c>
      <c r="N580" s="42">
        <v>2879.3</v>
      </c>
      <c r="O580" s="41">
        <v>2025</v>
      </c>
      <c r="P580" s="41">
        <v>6</v>
      </c>
      <c r="Q580" s="41" t="s">
        <v>321</v>
      </c>
      <c r="R580" s="41" t="s">
        <v>217</v>
      </c>
      <c r="S580" s="42">
        <v>2879.3</v>
      </c>
      <c r="T580" s="43">
        <v>287.93</v>
      </c>
    </row>
    <row r="581" spans="1:20" x14ac:dyDescent="0.35">
      <c r="A581" s="44">
        <v>45820</v>
      </c>
      <c r="B581" s="9" t="s">
        <v>661</v>
      </c>
      <c r="C581" s="9" t="s">
        <v>89</v>
      </c>
      <c r="D581" s="9" t="s">
        <v>52</v>
      </c>
      <c r="E581" s="9" t="s">
        <v>63</v>
      </c>
      <c r="F581" s="9">
        <v>10</v>
      </c>
      <c r="G581" s="10">
        <v>389.25</v>
      </c>
      <c r="H581" s="9" t="s">
        <v>24</v>
      </c>
      <c r="I581" s="9" t="s">
        <v>1083</v>
      </c>
      <c r="J581" s="9" t="s">
        <v>97</v>
      </c>
      <c r="K581" s="9" t="s">
        <v>38</v>
      </c>
      <c r="L581" s="9" t="s">
        <v>39</v>
      </c>
      <c r="M581" s="9" t="s">
        <v>56</v>
      </c>
      <c r="N581" s="10">
        <v>1236.06</v>
      </c>
      <c r="O581" s="9">
        <v>2025</v>
      </c>
      <c r="P581" s="9">
        <v>6</v>
      </c>
      <c r="Q581" s="9" t="s">
        <v>321</v>
      </c>
      <c r="R581" s="9" t="s">
        <v>217</v>
      </c>
      <c r="S581" s="10">
        <v>1236.06</v>
      </c>
      <c r="T581" s="45">
        <v>206.01</v>
      </c>
    </row>
    <row r="582" spans="1:20" x14ac:dyDescent="0.35">
      <c r="A582" s="40">
        <v>45820</v>
      </c>
      <c r="B582" s="41" t="s">
        <v>1084</v>
      </c>
      <c r="C582" s="41" t="s">
        <v>89</v>
      </c>
      <c r="D582" s="41" t="s">
        <v>52</v>
      </c>
      <c r="E582" s="41" t="s">
        <v>63</v>
      </c>
      <c r="F582" s="41">
        <v>10</v>
      </c>
      <c r="G582" s="42">
        <v>390.14</v>
      </c>
      <c r="H582" s="41" t="s">
        <v>35</v>
      </c>
      <c r="I582" s="41" t="s">
        <v>1085</v>
      </c>
      <c r="J582" s="41" t="s">
        <v>97</v>
      </c>
      <c r="K582" s="41" t="s">
        <v>38</v>
      </c>
      <c r="L582" s="41" t="s">
        <v>39</v>
      </c>
      <c r="M582" s="41" t="s">
        <v>56</v>
      </c>
      <c r="N582" s="42">
        <v>2954.52</v>
      </c>
      <c r="O582" s="41">
        <v>2025</v>
      </c>
      <c r="P582" s="41">
        <v>6</v>
      </c>
      <c r="Q582" s="41" t="s">
        <v>321</v>
      </c>
      <c r="R582" s="41" t="s">
        <v>217</v>
      </c>
      <c r="S582" s="42">
        <v>2954.52</v>
      </c>
      <c r="T582" s="43">
        <v>328.28</v>
      </c>
    </row>
    <row r="583" spans="1:20" x14ac:dyDescent="0.35">
      <c r="A583" s="44">
        <v>45820</v>
      </c>
      <c r="B583" s="9" t="s">
        <v>1086</v>
      </c>
      <c r="C583" s="9" t="s">
        <v>89</v>
      </c>
      <c r="D583" s="9" t="s">
        <v>52</v>
      </c>
      <c r="E583" s="9" t="s">
        <v>63</v>
      </c>
      <c r="F583" s="9">
        <v>10</v>
      </c>
      <c r="G583" s="10">
        <v>390.36</v>
      </c>
      <c r="H583" s="9" t="s">
        <v>24</v>
      </c>
      <c r="I583" s="9" t="s">
        <v>1087</v>
      </c>
      <c r="J583" s="9" t="s">
        <v>97</v>
      </c>
      <c r="K583" s="9" t="s">
        <v>38</v>
      </c>
      <c r="L583" s="9" t="s">
        <v>66</v>
      </c>
      <c r="M583" s="9" t="s">
        <v>56</v>
      </c>
      <c r="N583" s="10">
        <v>2249.37</v>
      </c>
      <c r="O583" s="9">
        <v>2025</v>
      </c>
      <c r="P583" s="9">
        <v>6</v>
      </c>
      <c r="Q583" s="9" t="s">
        <v>321</v>
      </c>
      <c r="R583" s="9" t="s">
        <v>217</v>
      </c>
      <c r="S583" s="10">
        <v>2249.37</v>
      </c>
      <c r="T583" s="45">
        <v>249.93</v>
      </c>
    </row>
    <row r="584" spans="1:20" x14ac:dyDescent="0.35">
      <c r="A584" s="40">
        <v>45821</v>
      </c>
      <c r="B584" s="41" t="s">
        <v>1088</v>
      </c>
      <c r="C584" s="41" t="s">
        <v>89</v>
      </c>
      <c r="D584" s="41" t="s">
        <v>52</v>
      </c>
      <c r="E584" s="41" t="s">
        <v>63</v>
      </c>
      <c r="F584" s="41">
        <v>10</v>
      </c>
      <c r="G584" s="42">
        <v>391.28</v>
      </c>
      <c r="H584" s="41" t="s">
        <v>35</v>
      </c>
      <c r="I584" s="41" t="s">
        <v>1089</v>
      </c>
      <c r="J584" s="41" t="s">
        <v>97</v>
      </c>
      <c r="K584" s="41" t="s">
        <v>38</v>
      </c>
      <c r="L584" s="41" t="s">
        <v>66</v>
      </c>
      <c r="M584" s="41" t="s">
        <v>61</v>
      </c>
      <c r="N584" s="42">
        <v>2791.81</v>
      </c>
      <c r="O584" s="41">
        <v>2025</v>
      </c>
      <c r="P584" s="41">
        <v>6</v>
      </c>
      <c r="Q584" s="41" t="s">
        <v>321</v>
      </c>
      <c r="R584" s="41" t="s">
        <v>217</v>
      </c>
      <c r="S584" s="42">
        <v>2791.81</v>
      </c>
      <c r="T584" s="43">
        <v>398.83</v>
      </c>
    </row>
    <row r="585" spans="1:20" x14ac:dyDescent="0.35">
      <c r="A585" s="44">
        <v>45821</v>
      </c>
      <c r="B585" s="9" t="s">
        <v>1090</v>
      </c>
      <c r="C585" s="9" t="s">
        <v>89</v>
      </c>
      <c r="D585" s="9" t="s">
        <v>52</v>
      </c>
      <c r="E585" s="9" t="s">
        <v>63</v>
      </c>
      <c r="F585" s="9">
        <v>10</v>
      </c>
      <c r="G585" s="10">
        <v>391.43</v>
      </c>
      <c r="H585" s="9" t="s">
        <v>24</v>
      </c>
      <c r="I585" s="9" t="s">
        <v>1091</v>
      </c>
      <c r="J585" s="9" t="s">
        <v>97</v>
      </c>
      <c r="K585" s="9" t="s">
        <v>38</v>
      </c>
      <c r="L585" s="9" t="s">
        <v>28</v>
      </c>
      <c r="M585" s="9" t="s">
        <v>61</v>
      </c>
      <c r="N585" s="10">
        <v>3083.28</v>
      </c>
      <c r="O585" s="9">
        <v>2025</v>
      </c>
      <c r="P585" s="9">
        <v>6</v>
      </c>
      <c r="Q585" s="9" t="s">
        <v>321</v>
      </c>
      <c r="R585" s="9" t="s">
        <v>217</v>
      </c>
      <c r="S585" s="10">
        <v>3083.28</v>
      </c>
      <c r="T585" s="45">
        <v>385.41</v>
      </c>
    </row>
    <row r="586" spans="1:20" x14ac:dyDescent="0.35">
      <c r="A586" s="40">
        <v>45821</v>
      </c>
      <c r="B586" s="41" t="s">
        <v>1092</v>
      </c>
      <c r="C586" s="41" t="s">
        <v>89</v>
      </c>
      <c r="D586" s="41" t="s">
        <v>52</v>
      </c>
      <c r="E586" s="41" t="s">
        <v>63</v>
      </c>
      <c r="F586" s="41">
        <v>10</v>
      </c>
      <c r="G586" s="42">
        <v>392.47</v>
      </c>
      <c r="H586" s="41" t="s">
        <v>44</v>
      </c>
      <c r="I586" s="41" t="s">
        <v>1093</v>
      </c>
      <c r="J586" s="41" t="s">
        <v>97</v>
      </c>
      <c r="K586" s="41" t="s">
        <v>38</v>
      </c>
      <c r="L586" s="41" t="s">
        <v>28</v>
      </c>
      <c r="M586" s="41" t="s">
        <v>61</v>
      </c>
      <c r="N586" s="42">
        <v>1273.0999999999999</v>
      </c>
      <c r="O586" s="41">
        <v>2025</v>
      </c>
      <c r="P586" s="41">
        <v>6</v>
      </c>
      <c r="Q586" s="41" t="s">
        <v>321</v>
      </c>
      <c r="R586" s="41" t="s">
        <v>217</v>
      </c>
      <c r="S586" s="42">
        <v>1273.0999999999999</v>
      </c>
      <c r="T586" s="43">
        <v>254.62</v>
      </c>
    </row>
    <row r="587" spans="1:20" x14ac:dyDescent="0.35">
      <c r="A587" s="44">
        <v>45822</v>
      </c>
      <c r="B587" s="9" t="s">
        <v>1094</v>
      </c>
      <c r="C587" s="9" t="s">
        <v>89</v>
      </c>
      <c r="D587" s="9" t="s">
        <v>52</v>
      </c>
      <c r="E587" s="9" t="s">
        <v>63</v>
      </c>
      <c r="F587" s="9">
        <v>10</v>
      </c>
      <c r="G587" s="10">
        <v>392.71</v>
      </c>
      <c r="H587" s="9" t="s">
        <v>24</v>
      </c>
      <c r="I587" s="9" t="s">
        <v>1095</v>
      </c>
      <c r="J587" s="9" t="s">
        <v>97</v>
      </c>
      <c r="K587" s="9" t="s">
        <v>38</v>
      </c>
      <c r="L587" s="9" t="s">
        <v>66</v>
      </c>
      <c r="M587" s="9" t="s">
        <v>79</v>
      </c>
      <c r="N587" s="10">
        <v>1684.06</v>
      </c>
      <c r="O587" s="9">
        <v>2025</v>
      </c>
      <c r="P587" s="9">
        <v>6</v>
      </c>
      <c r="Q587" s="9" t="s">
        <v>321</v>
      </c>
      <c r="R587" s="9" t="s">
        <v>217</v>
      </c>
      <c r="S587" s="10">
        <v>1684.06</v>
      </c>
      <c r="T587" s="45">
        <v>240.58</v>
      </c>
    </row>
    <row r="588" spans="1:20" x14ac:dyDescent="0.35">
      <c r="A588" s="40">
        <v>45824</v>
      </c>
      <c r="B588" s="41" t="s">
        <v>503</v>
      </c>
      <c r="C588" s="41" t="s">
        <v>89</v>
      </c>
      <c r="D588" s="41" t="s">
        <v>52</v>
      </c>
      <c r="E588" s="41" t="s">
        <v>63</v>
      </c>
      <c r="F588" s="41">
        <v>10</v>
      </c>
      <c r="G588" s="42">
        <v>393.62</v>
      </c>
      <c r="H588" s="41" t="s">
        <v>35</v>
      </c>
      <c r="I588" s="41" t="s">
        <v>1096</v>
      </c>
      <c r="J588" s="41" t="s">
        <v>97</v>
      </c>
      <c r="K588" s="41" t="s">
        <v>38</v>
      </c>
      <c r="L588" s="41" t="s">
        <v>28</v>
      </c>
      <c r="M588" s="41" t="s">
        <v>29</v>
      </c>
      <c r="N588" s="42">
        <v>2003.49</v>
      </c>
      <c r="O588" s="41">
        <v>2025</v>
      </c>
      <c r="P588" s="41">
        <v>6</v>
      </c>
      <c r="Q588" s="41" t="s">
        <v>321</v>
      </c>
      <c r="R588" s="41" t="s">
        <v>217</v>
      </c>
      <c r="S588" s="42">
        <v>2003.49</v>
      </c>
      <c r="T588" s="43">
        <v>222.61</v>
      </c>
    </row>
    <row r="589" spans="1:20" x14ac:dyDescent="0.35">
      <c r="A589" s="44">
        <v>45825</v>
      </c>
      <c r="B589" s="9" t="s">
        <v>638</v>
      </c>
      <c r="C589" s="9" t="s">
        <v>89</v>
      </c>
      <c r="D589" s="9" t="s">
        <v>52</v>
      </c>
      <c r="E589" s="9" t="s">
        <v>63</v>
      </c>
      <c r="F589" s="9">
        <v>10</v>
      </c>
      <c r="G589" s="10">
        <v>393.87</v>
      </c>
      <c r="H589" s="9" t="s">
        <v>58</v>
      </c>
      <c r="I589" s="9" t="s">
        <v>1097</v>
      </c>
      <c r="J589" s="9" t="s">
        <v>97</v>
      </c>
      <c r="K589" s="9" t="s">
        <v>38</v>
      </c>
      <c r="L589" s="9" t="s">
        <v>39</v>
      </c>
      <c r="M589" s="9" t="s">
        <v>49</v>
      </c>
      <c r="N589" s="10">
        <v>1387.48</v>
      </c>
      <c r="O589" s="9">
        <v>2025</v>
      </c>
      <c r="P589" s="9">
        <v>6</v>
      </c>
      <c r="Q589" s="9" t="s">
        <v>321</v>
      </c>
      <c r="R589" s="9" t="s">
        <v>217</v>
      </c>
      <c r="S589" s="10">
        <v>1387.48</v>
      </c>
      <c r="T589" s="45">
        <v>346.87</v>
      </c>
    </row>
    <row r="590" spans="1:20" x14ac:dyDescent="0.35">
      <c r="A590" s="40">
        <v>45825</v>
      </c>
      <c r="B590" s="41" t="s">
        <v>1098</v>
      </c>
      <c r="C590" s="41" t="s">
        <v>89</v>
      </c>
      <c r="D590" s="41" t="s">
        <v>52</v>
      </c>
      <c r="E590" s="41" t="s">
        <v>63</v>
      </c>
      <c r="F590" s="41">
        <v>10</v>
      </c>
      <c r="G590" s="42">
        <v>394.28</v>
      </c>
      <c r="H590" s="41" t="s">
        <v>44</v>
      </c>
      <c r="I590" s="41" t="s">
        <v>1099</v>
      </c>
      <c r="J590" s="41" t="s">
        <v>97</v>
      </c>
      <c r="K590" s="41" t="s">
        <v>38</v>
      </c>
      <c r="L590" s="41" t="s">
        <v>28</v>
      </c>
      <c r="M590" s="41" t="s">
        <v>49</v>
      </c>
      <c r="N590" s="42">
        <v>2148.64</v>
      </c>
      <c r="O590" s="41">
        <v>2025</v>
      </c>
      <c r="P590" s="41">
        <v>6</v>
      </c>
      <c r="Q590" s="41" t="s">
        <v>321</v>
      </c>
      <c r="R590" s="41" t="s">
        <v>217</v>
      </c>
      <c r="S590" s="42">
        <v>2148.64</v>
      </c>
      <c r="T590" s="43">
        <v>268.58</v>
      </c>
    </row>
    <row r="591" spans="1:20" x14ac:dyDescent="0.35">
      <c r="A591" s="44">
        <v>45825</v>
      </c>
      <c r="B591" s="9" t="s">
        <v>1014</v>
      </c>
      <c r="C591" s="9" t="s">
        <v>89</v>
      </c>
      <c r="D591" s="9" t="s">
        <v>52</v>
      </c>
      <c r="E591" s="9" t="s">
        <v>63</v>
      </c>
      <c r="F591" s="9">
        <v>10</v>
      </c>
      <c r="G591" s="10">
        <v>394.42</v>
      </c>
      <c r="H591" s="9" t="s">
        <v>58</v>
      </c>
      <c r="I591" s="9" t="s">
        <v>1100</v>
      </c>
      <c r="J591" s="9" t="s">
        <v>97</v>
      </c>
      <c r="K591" s="9" t="s">
        <v>38</v>
      </c>
      <c r="L591" s="9" t="s">
        <v>28</v>
      </c>
      <c r="M591" s="9" t="s">
        <v>49</v>
      </c>
      <c r="N591" s="10">
        <v>836.2</v>
      </c>
      <c r="O591" s="9">
        <v>2025</v>
      </c>
      <c r="P591" s="9">
        <v>6</v>
      </c>
      <c r="Q591" s="9" t="s">
        <v>321</v>
      </c>
      <c r="R591" s="9" t="s">
        <v>217</v>
      </c>
      <c r="S591" s="10">
        <v>836.2</v>
      </c>
      <c r="T591" s="45">
        <v>209.05</v>
      </c>
    </row>
    <row r="592" spans="1:20" x14ac:dyDescent="0.35">
      <c r="A592" s="40">
        <v>45825</v>
      </c>
      <c r="B592" s="41" t="s">
        <v>963</v>
      </c>
      <c r="C592" s="41" t="s">
        <v>89</v>
      </c>
      <c r="D592" s="41" t="s">
        <v>52</v>
      </c>
      <c r="E592" s="41" t="s">
        <v>63</v>
      </c>
      <c r="F592" s="41">
        <v>10</v>
      </c>
      <c r="G592" s="42">
        <v>394.91</v>
      </c>
      <c r="H592" s="41" t="s">
        <v>24</v>
      </c>
      <c r="I592" s="41" t="s">
        <v>1101</v>
      </c>
      <c r="J592" s="41" t="s">
        <v>97</v>
      </c>
      <c r="K592" s="41" t="s">
        <v>38</v>
      </c>
      <c r="L592" s="41" t="s">
        <v>39</v>
      </c>
      <c r="M592" s="41" t="s">
        <v>49</v>
      </c>
      <c r="N592" s="42">
        <v>205.45</v>
      </c>
      <c r="O592" s="41">
        <v>2025</v>
      </c>
      <c r="P592" s="41">
        <v>6</v>
      </c>
      <c r="Q592" s="41" t="s">
        <v>321</v>
      </c>
      <c r="R592" s="41" t="s">
        <v>217</v>
      </c>
      <c r="S592" s="42">
        <v>205.45</v>
      </c>
      <c r="T592" s="43">
        <v>41.09</v>
      </c>
    </row>
    <row r="593" spans="1:20" x14ac:dyDescent="0.35">
      <c r="A593" s="44">
        <v>45825</v>
      </c>
      <c r="B593" s="9" t="s">
        <v>1102</v>
      </c>
      <c r="C593" s="9" t="s">
        <v>89</v>
      </c>
      <c r="D593" s="9" t="s">
        <v>52</v>
      </c>
      <c r="E593" s="9" t="s">
        <v>63</v>
      </c>
      <c r="F593" s="9">
        <v>10</v>
      </c>
      <c r="G593" s="10">
        <v>395.53</v>
      </c>
      <c r="H593" s="9" t="s">
        <v>35</v>
      </c>
      <c r="I593" s="9" t="s">
        <v>1103</v>
      </c>
      <c r="J593" s="9" t="s">
        <v>97</v>
      </c>
      <c r="K593" s="9" t="s">
        <v>38</v>
      </c>
      <c r="L593" s="9" t="s">
        <v>39</v>
      </c>
      <c r="M593" s="9" t="s">
        <v>49</v>
      </c>
      <c r="N593" s="10">
        <v>409.6</v>
      </c>
      <c r="O593" s="9">
        <v>2025</v>
      </c>
      <c r="P593" s="9">
        <v>6</v>
      </c>
      <c r="Q593" s="9" t="s">
        <v>321</v>
      </c>
      <c r="R593" s="9" t="s">
        <v>217</v>
      </c>
      <c r="S593" s="10">
        <v>409.6</v>
      </c>
      <c r="T593" s="45">
        <v>40.96</v>
      </c>
    </row>
    <row r="594" spans="1:20" x14ac:dyDescent="0.35">
      <c r="A594" s="40">
        <v>45827</v>
      </c>
      <c r="B594" s="41" t="s">
        <v>1062</v>
      </c>
      <c r="C594" s="41" t="s">
        <v>89</v>
      </c>
      <c r="D594" s="41" t="s">
        <v>52</v>
      </c>
      <c r="E594" s="41" t="s">
        <v>63</v>
      </c>
      <c r="F594" s="41">
        <v>10</v>
      </c>
      <c r="G594" s="42">
        <v>396.79</v>
      </c>
      <c r="H594" s="41" t="s">
        <v>58</v>
      </c>
      <c r="I594" s="41" t="s">
        <v>1104</v>
      </c>
      <c r="J594" s="41" t="s">
        <v>97</v>
      </c>
      <c r="K594" s="41" t="s">
        <v>38</v>
      </c>
      <c r="L594" s="41" t="s">
        <v>28</v>
      </c>
      <c r="M594" s="41" t="s">
        <v>56</v>
      </c>
      <c r="N594" s="42">
        <v>107.19</v>
      </c>
      <c r="O594" s="41">
        <v>2025</v>
      </c>
      <c r="P594" s="41">
        <v>6</v>
      </c>
      <c r="Q594" s="41" t="s">
        <v>321</v>
      </c>
      <c r="R594" s="41" t="s">
        <v>217</v>
      </c>
      <c r="S594" s="42">
        <v>107.19</v>
      </c>
      <c r="T594" s="43">
        <v>11.91</v>
      </c>
    </row>
    <row r="595" spans="1:20" x14ac:dyDescent="0.35">
      <c r="A595" s="44">
        <v>45828</v>
      </c>
      <c r="B595" s="9" t="s">
        <v>1105</v>
      </c>
      <c r="C595" s="9" t="s">
        <v>89</v>
      </c>
      <c r="D595" s="9" t="s">
        <v>52</v>
      </c>
      <c r="E595" s="9" t="s">
        <v>63</v>
      </c>
      <c r="F595" s="9">
        <v>10</v>
      </c>
      <c r="G595" s="10">
        <v>397.26</v>
      </c>
      <c r="H595" s="9" t="s">
        <v>44</v>
      </c>
      <c r="I595" s="9" t="s">
        <v>1106</v>
      </c>
      <c r="J595" s="9" t="s">
        <v>97</v>
      </c>
      <c r="K595" s="9" t="s">
        <v>38</v>
      </c>
      <c r="L595" s="9" t="s">
        <v>39</v>
      </c>
      <c r="M595" s="9" t="s">
        <v>61</v>
      </c>
      <c r="N595" s="10">
        <v>1194.45</v>
      </c>
      <c r="O595" s="9">
        <v>2025</v>
      </c>
      <c r="P595" s="9">
        <v>6</v>
      </c>
      <c r="Q595" s="9" t="s">
        <v>321</v>
      </c>
      <c r="R595" s="9" t="s">
        <v>217</v>
      </c>
      <c r="S595" s="10">
        <v>1194.45</v>
      </c>
      <c r="T595" s="45">
        <v>238.89</v>
      </c>
    </row>
    <row r="596" spans="1:20" x14ac:dyDescent="0.35">
      <c r="A596" s="40">
        <v>45828</v>
      </c>
      <c r="B596" s="41" t="s">
        <v>1107</v>
      </c>
      <c r="C596" s="41" t="s">
        <v>89</v>
      </c>
      <c r="D596" s="41" t="s">
        <v>52</v>
      </c>
      <c r="E596" s="41" t="s">
        <v>63</v>
      </c>
      <c r="F596" s="41">
        <v>10</v>
      </c>
      <c r="G596" s="42">
        <v>397.8</v>
      </c>
      <c r="H596" s="41" t="s">
        <v>58</v>
      </c>
      <c r="I596" s="41" t="s">
        <v>1108</v>
      </c>
      <c r="J596" s="41" t="s">
        <v>97</v>
      </c>
      <c r="K596" s="41" t="s">
        <v>38</v>
      </c>
      <c r="L596" s="41" t="s">
        <v>39</v>
      </c>
      <c r="M596" s="41" t="s">
        <v>61</v>
      </c>
      <c r="N596" s="42">
        <v>599.17999999999995</v>
      </c>
      <c r="O596" s="41">
        <v>2025</v>
      </c>
      <c r="P596" s="41">
        <v>6</v>
      </c>
      <c r="Q596" s="41" t="s">
        <v>321</v>
      </c>
      <c r="R596" s="41" t="s">
        <v>217</v>
      </c>
      <c r="S596" s="42">
        <v>599.17999999999995</v>
      </c>
      <c r="T596" s="43">
        <v>299.58999999999997</v>
      </c>
    </row>
    <row r="597" spans="1:20" x14ac:dyDescent="0.35">
      <c r="A597" s="44">
        <v>45828</v>
      </c>
      <c r="B597" s="9" t="s">
        <v>198</v>
      </c>
      <c r="C597" s="9" t="s">
        <v>89</v>
      </c>
      <c r="D597" s="9" t="s">
        <v>52</v>
      </c>
      <c r="E597" s="9" t="s">
        <v>63</v>
      </c>
      <c r="F597" s="9">
        <v>10</v>
      </c>
      <c r="G597" s="10">
        <v>397.85</v>
      </c>
      <c r="H597" s="9" t="s">
        <v>44</v>
      </c>
      <c r="I597" s="9" t="s">
        <v>1109</v>
      </c>
      <c r="J597" s="9" t="s">
        <v>97</v>
      </c>
      <c r="K597" s="9" t="s">
        <v>38</v>
      </c>
      <c r="L597" s="9" t="s">
        <v>66</v>
      </c>
      <c r="M597" s="9" t="s">
        <v>61</v>
      </c>
      <c r="N597" s="10">
        <v>2340.84</v>
      </c>
      <c r="O597" s="9">
        <v>2025</v>
      </c>
      <c r="P597" s="9">
        <v>6</v>
      </c>
      <c r="Q597" s="9" t="s">
        <v>321</v>
      </c>
      <c r="R597" s="9" t="s">
        <v>217</v>
      </c>
      <c r="S597" s="10">
        <v>2340.84</v>
      </c>
      <c r="T597" s="45">
        <v>390.14</v>
      </c>
    </row>
    <row r="598" spans="1:20" x14ac:dyDescent="0.35">
      <c r="A598" s="40">
        <v>45834</v>
      </c>
      <c r="B598" s="41" t="s">
        <v>388</v>
      </c>
      <c r="C598" s="41" t="s">
        <v>89</v>
      </c>
      <c r="D598" s="41" t="s">
        <v>52</v>
      </c>
      <c r="E598" s="41" t="s">
        <v>63</v>
      </c>
      <c r="F598" s="41">
        <v>10</v>
      </c>
      <c r="G598" s="42">
        <v>398.75</v>
      </c>
      <c r="H598" s="41" t="s">
        <v>64</v>
      </c>
      <c r="I598" s="41" t="s">
        <v>1110</v>
      </c>
      <c r="J598" s="41" t="s">
        <v>97</v>
      </c>
      <c r="K598" s="41" t="s">
        <v>38</v>
      </c>
      <c r="L598" s="41" t="s">
        <v>28</v>
      </c>
      <c r="M598" s="41" t="s">
        <v>56</v>
      </c>
      <c r="N598" s="42">
        <v>1866.66</v>
      </c>
      <c r="O598" s="41">
        <v>2025</v>
      </c>
      <c r="P598" s="41">
        <v>6</v>
      </c>
      <c r="Q598" s="41" t="s">
        <v>321</v>
      </c>
      <c r="R598" s="41" t="s">
        <v>217</v>
      </c>
      <c r="S598" s="42">
        <v>1866.66</v>
      </c>
      <c r="T598" s="43">
        <v>311.11</v>
      </c>
    </row>
    <row r="599" spans="1:20" x14ac:dyDescent="0.35">
      <c r="A599" s="44">
        <v>45834</v>
      </c>
      <c r="B599" s="9" t="s">
        <v>1111</v>
      </c>
      <c r="C599" s="9" t="s">
        <v>89</v>
      </c>
      <c r="D599" s="9" t="s">
        <v>52</v>
      </c>
      <c r="E599" s="9" t="s">
        <v>63</v>
      </c>
      <c r="F599" s="9">
        <v>10</v>
      </c>
      <c r="G599" s="10">
        <v>398.83</v>
      </c>
      <c r="H599" s="9" t="s">
        <v>58</v>
      </c>
      <c r="I599" s="9" t="s">
        <v>1112</v>
      </c>
      <c r="J599" s="9" t="s">
        <v>97</v>
      </c>
      <c r="K599" s="9" t="s">
        <v>38</v>
      </c>
      <c r="L599" s="9" t="s">
        <v>66</v>
      </c>
      <c r="M599" s="9" t="s">
        <v>56</v>
      </c>
      <c r="N599" s="10">
        <v>3997.4</v>
      </c>
      <c r="O599" s="9">
        <v>2025</v>
      </c>
      <c r="P599" s="9">
        <v>6</v>
      </c>
      <c r="Q599" s="9" t="s">
        <v>321</v>
      </c>
      <c r="R599" s="9" t="s">
        <v>217</v>
      </c>
      <c r="S599" s="10">
        <v>3997.4</v>
      </c>
      <c r="T599" s="45">
        <v>399.74</v>
      </c>
    </row>
    <row r="600" spans="1:20" x14ac:dyDescent="0.35">
      <c r="A600" s="40">
        <v>45835</v>
      </c>
      <c r="B600" s="41" t="s">
        <v>961</v>
      </c>
      <c r="C600" s="41" t="s">
        <v>89</v>
      </c>
      <c r="D600" s="41" t="s">
        <v>52</v>
      </c>
      <c r="E600" s="41" t="s">
        <v>63</v>
      </c>
      <c r="F600" s="41">
        <v>10</v>
      </c>
      <c r="G600" s="42">
        <v>399.19</v>
      </c>
      <c r="H600" s="41" t="s">
        <v>24</v>
      </c>
      <c r="I600" s="41" t="s">
        <v>1113</v>
      </c>
      <c r="J600" s="41" t="s">
        <v>97</v>
      </c>
      <c r="K600" s="41" t="s">
        <v>38</v>
      </c>
      <c r="L600" s="41" t="s">
        <v>39</v>
      </c>
      <c r="M600" s="41" t="s">
        <v>61</v>
      </c>
      <c r="N600" s="42">
        <v>917</v>
      </c>
      <c r="O600" s="41">
        <v>2025</v>
      </c>
      <c r="P600" s="41">
        <v>6</v>
      </c>
      <c r="Q600" s="41" t="s">
        <v>321</v>
      </c>
      <c r="R600" s="41" t="s">
        <v>217</v>
      </c>
      <c r="S600" s="42">
        <v>917</v>
      </c>
      <c r="T600" s="43">
        <v>229.25</v>
      </c>
    </row>
    <row r="601" spans="1:20" x14ac:dyDescent="0.35">
      <c r="A601" s="44">
        <v>45835</v>
      </c>
      <c r="B601" s="9" t="s">
        <v>378</v>
      </c>
      <c r="C601" s="9" t="s">
        <v>89</v>
      </c>
      <c r="D601" s="9" t="s">
        <v>52</v>
      </c>
      <c r="E601" s="9" t="s">
        <v>63</v>
      </c>
      <c r="F601" s="9">
        <v>10</v>
      </c>
      <c r="G601" s="10">
        <v>399.74</v>
      </c>
      <c r="H601" s="9" t="s">
        <v>64</v>
      </c>
      <c r="I601" s="9" t="s">
        <v>1114</v>
      </c>
      <c r="J601" s="9" t="s">
        <v>97</v>
      </c>
      <c r="K601" s="9" t="s">
        <v>38</v>
      </c>
      <c r="L601" s="9" t="s">
        <v>66</v>
      </c>
      <c r="M601" s="9" t="s">
        <v>61</v>
      </c>
      <c r="N601" s="10">
        <v>468.3</v>
      </c>
      <c r="O601" s="9">
        <v>2025</v>
      </c>
      <c r="P601" s="9">
        <v>6</v>
      </c>
      <c r="Q601" s="9" t="s">
        <v>321</v>
      </c>
      <c r="R601" s="9" t="s">
        <v>217</v>
      </c>
      <c r="S601" s="10">
        <v>468.3</v>
      </c>
      <c r="T601" s="45">
        <v>93.66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ED3D8D-3382-4F45-9A97-BA042F6F5DEB}">
  <sheetPr>
    <tabColor rgb="FF00B050"/>
  </sheetPr>
  <dimension ref="A1:F25"/>
  <sheetViews>
    <sheetView zoomScale="70" zoomScaleNormal="70" workbookViewId="0">
      <selection activeCell="H13" sqref="H13"/>
    </sheetView>
  </sheetViews>
  <sheetFormatPr defaultRowHeight="14.5" x14ac:dyDescent="0.35"/>
  <cols>
    <col min="1" max="1" width="35" customWidth="1"/>
    <col min="2" max="2" width="20" customWidth="1"/>
    <col min="5" max="5" width="14.54296875" bestFit="1" customWidth="1"/>
    <col min="6" max="6" width="36.81640625" bestFit="1" customWidth="1"/>
    <col min="7" max="7" width="11.26953125" customWidth="1"/>
  </cols>
  <sheetData>
    <row r="1" spans="1:6" ht="15.5" x14ac:dyDescent="0.35">
      <c r="A1" s="47" t="s">
        <v>2880</v>
      </c>
      <c r="B1" s="48"/>
      <c r="E1" s="46" t="s">
        <v>2881</v>
      </c>
      <c r="F1" s="46" t="s">
        <v>2882</v>
      </c>
    </row>
    <row r="2" spans="1:6" x14ac:dyDescent="0.35">
      <c r="A2" s="16" t="s">
        <v>2837</v>
      </c>
      <c r="B2" s="16" t="s">
        <v>2838</v>
      </c>
      <c r="E2" s="22" t="s">
        <v>8</v>
      </c>
      <c r="F2" s="22" t="s">
        <v>2883</v>
      </c>
    </row>
    <row r="3" spans="1:6" x14ac:dyDescent="0.35">
      <c r="A3" s="9" t="s">
        <v>2839</v>
      </c>
      <c r="B3" s="9">
        <v>600</v>
      </c>
      <c r="E3" s="22" t="s">
        <v>2884</v>
      </c>
      <c r="F3" s="22" t="s">
        <v>2885</v>
      </c>
    </row>
    <row r="4" spans="1:6" x14ac:dyDescent="0.35">
      <c r="A4" s="9" t="s">
        <v>2840</v>
      </c>
      <c r="B4" s="9">
        <v>20</v>
      </c>
      <c r="E4" s="22" t="s">
        <v>14</v>
      </c>
      <c r="F4" s="22" t="s">
        <v>2886</v>
      </c>
    </row>
    <row r="5" spans="1:6" x14ac:dyDescent="0.35">
      <c r="A5" s="9" t="s">
        <v>2841</v>
      </c>
      <c r="B5" s="27">
        <v>44928</v>
      </c>
      <c r="E5" s="22" t="s">
        <v>15</v>
      </c>
      <c r="F5" s="22" t="s">
        <v>2887</v>
      </c>
    </row>
    <row r="6" spans="1:6" x14ac:dyDescent="0.35">
      <c r="A6" s="9" t="s">
        <v>2842</v>
      </c>
      <c r="B6" s="27">
        <v>45835</v>
      </c>
      <c r="E6" s="22" t="s">
        <v>16</v>
      </c>
      <c r="F6" s="22" t="s">
        <v>2888</v>
      </c>
    </row>
    <row r="7" spans="1:6" x14ac:dyDescent="0.35">
      <c r="A7" s="9"/>
      <c r="B7" s="9"/>
      <c r="E7" s="22" t="s">
        <v>17</v>
      </c>
      <c r="F7" s="22" t="s">
        <v>2889</v>
      </c>
    </row>
    <row r="8" spans="1:6" x14ac:dyDescent="0.35">
      <c r="A8" s="16" t="s">
        <v>2843</v>
      </c>
      <c r="B8" s="16"/>
      <c r="E8" s="22" t="s">
        <v>2890</v>
      </c>
      <c r="F8" s="22" t="s">
        <v>2891</v>
      </c>
    </row>
    <row r="9" spans="1:6" x14ac:dyDescent="0.35">
      <c r="A9" s="9" t="s">
        <v>2844</v>
      </c>
      <c r="B9" s="9">
        <v>0</v>
      </c>
      <c r="E9" s="22" t="s">
        <v>12</v>
      </c>
      <c r="F9" s="22" t="s">
        <v>2892</v>
      </c>
    </row>
    <row r="10" spans="1:6" x14ac:dyDescent="0.35">
      <c r="A10" s="9" t="s">
        <v>2845</v>
      </c>
      <c r="B10" s="9">
        <v>0</v>
      </c>
      <c r="E10" s="22" t="s">
        <v>1</v>
      </c>
      <c r="F10" s="22" t="s">
        <v>2893</v>
      </c>
    </row>
    <row r="11" spans="1:6" x14ac:dyDescent="0.35">
      <c r="A11" s="9" t="s">
        <v>2861</v>
      </c>
      <c r="B11" s="9">
        <v>0</v>
      </c>
      <c r="E11" s="22" t="s">
        <v>11</v>
      </c>
      <c r="F11" s="22" t="s">
        <v>2894</v>
      </c>
    </row>
    <row r="12" spans="1:6" x14ac:dyDescent="0.35">
      <c r="A12" s="9" t="s">
        <v>2862</v>
      </c>
      <c r="B12" s="9">
        <v>0</v>
      </c>
      <c r="E12" s="22" t="s">
        <v>2895</v>
      </c>
      <c r="F12" s="22" t="s">
        <v>2896</v>
      </c>
    </row>
    <row r="13" spans="1:6" x14ac:dyDescent="0.35">
      <c r="A13" s="9" t="s">
        <v>2846</v>
      </c>
      <c r="B13" s="9">
        <v>0</v>
      </c>
      <c r="E13" s="22" t="s">
        <v>2</v>
      </c>
      <c r="F13" s="22" t="s">
        <v>2897</v>
      </c>
    </row>
    <row r="14" spans="1:6" x14ac:dyDescent="0.35">
      <c r="A14" s="9"/>
      <c r="B14" s="9"/>
      <c r="E14" s="22" t="s">
        <v>3</v>
      </c>
      <c r="F14" s="22" t="s">
        <v>2898</v>
      </c>
    </row>
    <row r="15" spans="1:6" x14ac:dyDescent="0.35">
      <c r="A15" s="16" t="s">
        <v>2847</v>
      </c>
      <c r="B15" s="16"/>
      <c r="E15" s="22" t="s">
        <v>9</v>
      </c>
      <c r="F15" s="22" t="s">
        <v>2899</v>
      </c>
    </row>
    <row r="16" spans="1:6" x14ac:dyDescent="0.35">
      <c r="A16" s="9" t="s">
        <v>1119</v>
      </c>
      <c r="B16" s="9">
        <f>SUM([1]Data!N2:N601)</f>
        <v>707221.09999999986</v>
      </c>
      <c r="E16" s="22" t="s">
        <v>10</v>
      </c>
      <c r="F16" s="22" t="s">
        <v>2900</v>
      </c>
    </row>
    <row r="17" spans="1:6" x14ac:dyDescent="0.35">
      <c r="A17" s="9" t="s">
        <v>2848</v>
      </c>
      <c r="B17" s="9">
        <f>AVERAGE([1]Data!N2:N601)</f>
        <v>1178.7018333333331</v>
      </c>
      <c r="E17" s="22" t="s">
        <v>4</v>
      </c>
      <c r="F17" s="22" t="s">
        <v>2901</v>
      </c>
    </row>
    <row r="18" spans="1:6" x14ac:dyDescent="0.35">
      <c r="A18" s="9" t="s">
        <v>2849</v>
      </c>
      <c r="B18" s="9">
        <f>MAX([1]Data!N2:N601)</f>
        <v>3997.4</v>
      </c>
      <c r="E18" s="22" t="s">
        <v>2902</v>
      </c>
      <c r="F18" s="22" t="s">
        <v>2903</v>
      </c>
    </row>
    <row r="19" spans="1:6" x14ac:dyDescent="0.35">
      <c r="A19" s="9" t="s">
        <v>2850</v>
      </c>
      <c r="B19" s="9">
        <f>MIN([1]Data!N2:N601)</f>
        <v>5.74</v>
      </c>
      <c r="E19" s="22" t="s">
        <v>5</v>
      </c>
      <c r="F19" s="22" t="s">
        <v>2904</v>
      </c>
    </row>
    <row r="20" spans="1:6" x14ac:dyDescent="0.35">
      <c r="A20" s="9" t="s">
        <v>2851</v>
      </c>
      <c r="B20" s="9">
        <f>MEDIAN([1]Data!N2:N601)</f>
        <v>889.3</v>
      </c>
      <c r="E20" s="22" t="s">
        <v>6</v>
      </c>
      <c r="F20" s="22" t="s">
        <v>2905</v>
      </c>
    </row>
    <row r="21" spans="1:6" x14ac:dyDescent="0.35">
      <c r="A21" s="9"/>
      <c r="B21" s="9"/>
      <c r="E21" s="22" t="s">
        <v>18</v>
      </c>
      <c r="F21" s="22" t="s">
        <v>2906</v>
      </c>
    </row>
    <row r="22" spans="1:6" x14ac:dyDescent="0.35">
      <c r="A22" s="16" t="s">
        <v>2852</v>
      </c>
      <c r="B22" s="16"/>
      <c r="E22" s="22" t="s">
        <v>13</v>
      </c>
      <c r="F22" s="22" t="s">
        <v>2907</v>
      </c>
    </row>
    <row r="23" spans="1:6" x14ac:dyDescent="0.35">
      <c r="A23" s="9" t="s">
        <v>2853</v>
      </c>
      <c r="B23" s="9">
        <v>10</v>
      </c>
      <c r="E23" s="22" t="s">
        <v>19</v>
      </c>
      <c r="F23" s="22" t="s">
        <v>2908</v>
      </c>
    </row>
    <row r="24" spans="1:6" x14ac:dyDescent="0.35">
      <c r="A24" s="21" t="s">
        <v>2854</v>
      </c>
      <c r="B24" s="21">
        <v>7</v>
      </c>
      <c r="E24" s="22" t="s">
        <v>2909</v>
      </c>
      <c r="F24" s="22" t="s">
        <v>2910</v>
      </c>
    </row>
    <row r="25" spans="1:6" x14ac:dyDescent="0.35">
      <c r="A25" s="22" t="s">
        <v>2855</v>
      </c>
      <c r="B25" s="22">
        <v>10</v>
      </c>
      <c r="E25" s="22" t="s">
        <v>7</v>
      </c>
      <c r="F25" s="22" t="s">
        <v>2911</v>
      </c>
    </row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90798-F34F-4BC9-8A37-6CFA3CE97765}">
  <sheetPr>
    <tabColor rgb="FF002060"/>
  </sheetPr>
  <dimension ref="A1:H48"/>
  <sheetViews>
    <sheetView tabSelected="1" topLeftCell="A24" zoomScale="83" zoomScaleNormal="83" workbookViewId="0">
      <selection activeCell="E50" sqref="E50"/>
    </sheetView>
  </sheetViews>
  <sheetFormatPr defaultRowHeight="14.5" x14ac:dyDescent="0.35"/>
  <cols>
    <col min="1" max="1" width="12.36328125" bestFit="1" customWidth="1"/>
    <col min="2" max="2" width="14.54296875" bestFit="1" customWidth="1"/>
    <col min="3" max="3" width="17.90625" bestFit="1" customWidth="1"/>
    <col min="4" max="4" width="20.54296875" bestFit="1" customWidth="1"/>
    <col min="5" max="6" width="19.1796875" bestFit="1" customWidth="1"/>
    <col min="7" max="7" width="13" bestFit="1" customWidth="1"/>
    <col min="8" max="8" width="11.1796875" bestFit="1" customWidth="1"/>
    <col min="9" max="9" width="10.36328125" bestFit="1" customWidth="1"/>
    <col min="10" max="10" width="16.26953125" bestFit="1" customWidth="1"/>
    <col min="11" max="11" width="16" bestFit="1" customWidth="1"/>
    <col min="12" max="12" width="9.36328125" bestFit="1" customWidth="1"/>
    <col min="13" max="13" width="14.1796875" bestFit="1" customWidth="1"/>
    <col min="14" max="14" width="9.36328125" bestFit="1" customWidth="1"/>
    <col min="15" max="15" width="14.1796875" bestFit="1" customWidth="1"/>
    <col min="16" max="16" width="9.36328125" bestFit="1" customWidth="1"/>
    <col min="17" max="17" width="14.1796875" bestFit="1" customWidth="1"/>
    <col min="18" max="18" width="10.7265625" bestFit="1" customWidth="1"/>
  </cols>
  <sheetData>
    <row r="1" spans="1:8" x14ac:dyDescent="0.35">
      <c r="A1" s="49" t="s">
        <v>1146</v>
      </c>
      <c r="B1" s="49"/>
      <c r="C1" s="49"/>
      <c r="D1" s="8"/>
      <c r="E1" s="8"/>
      <c r="F1" s="8"/>
    </row>
    <row r="2" spans="1:8" x14ac:dyDescent="0.35">
      <c r="A2" s="19" t="s">
        <v>1127</v>
      </c>
      <c r="B2" s="8" t="s">
        <v>1133</v>
      </c>
      <c r="C2" s="8" t="s">
        <v>1132</v>
      </c>
      <c r="D2" s="8" t="s">
        <v>1130</v>
      </c>
      <c r="E2" s="8" t="s">
        <v>1131</v>
      </c>
      <c r="F2" s="8" t="s">
        <v>1129</v>
      </c>
    </row>
    <row r="3" spans="1:8" x14ac:dyDescent="0.35">
      <c r="A3" s="8" t="s">
        <v>43</v>
      </c>
      <c r="B3" s="8">
        <v>501</v>
      </c>
      <c r="C3" s="8">
        <v>197.2373255813954</v>
      </c>
      <c r="D3" s="20">
        <v>100579.2</v>
      </c>
      <c r="E3" s="20">
        <v>1169.525581395349</v>
      </c>
      <c r="F3" s="20">
        <v>86</v>
      </c>
    </row>
    <row r="4" spans="1:8" x14ac:dyDescent="0.35">
      <c r="A4" s="8" t="s">
        <v>92</v>
      </c>
      <c r="B4" s="8">
        <v>436</v>
      </c>
      <c r="C4" s="8">
        <v>210.82839999999999</v>
      </c>
      <c r="D4" s="20">
        <v>95007.420000000013</v>
      </c>
      <c r="E4" s="20">
        <v>1266.7655999999999</v>
      </c>
      <c r="F4" s="20">
        <v>75</v>
      </c>
    </row>
    <row r="5" spans="1:8" x14ac:dyDescent="0.35">
      <c r="A5" s="8" t="s">
        <v>83</v>
      </c>
      <c r="B5" s="8">
        <v>420</v>
      </c>
      <c r="C5" s="8">
        <v>207.88052631578941</v>
      </c>
      <c r="D5" s="20">
        <v>85650.89</v>
      </c>
      <c r="E5" s="20">
        <v>1126.985394736842</v>
      </c>
      <c r="F5" s="20">
        <v>76</v>
      </c>
    </row>
    <row r="6" spans="1:8" x14ac:dyDescent="0.35">
      <c r="A6" s="8" t="s">
        <v>23</v>
      </c>
      <c r="B6" s="8">
        <v>501</v>
      </c>
      <c r="C6" s="8">
        <v>221.15946236559139</v>
      </c>
      <c r="D6" s="20">
        <v>114606.96</v>
      </c>
      <c r="E6" s="20">
        <v>1232.3329032258059</v>
      </c>
      <c r="F6" s="20">
        <v>93</v>
      </c>
    </row>
    <row r="7" spans="1:8" x14ac:dyDescent="0.35">
      <c r="A7" s="8" t="s">
        <v>34</v>
      </c>
      <c r="B7" s="8">
        <v>574</v>
      </c>
      <c r="C7" s="8">
        <v>206.5343689320388</v>
      </c>
      <c r="D7" s="20">
        <v>121774.1</v>
      </c>
      <c r="E7" s="20">
        <v>1182.272815533981</v>
      </c>
      <c r="F7" s="20">
        <v>103</v>
      </c>
    </row>
    <row r="8" spans="1:8" x14ac:dyDescent="0.35">
      <c r="A8" s="8" t="s">
        <v>53</v>
      </c>
      <c r="B8" s="8">
        <v>493</v>
      </c>
      <c r="C8" s="8">
        <v>194.94681318681319</v>
      </c>
      <c r="D8" s="20">
        <v>101254.93</v>
      </c>
      <c r="E8" s="20">
        <v>1112.6915384615379</v>
      </c>
      <c r="F8" s="20">
        <v>91</v>
      </c>
    </row>
    <row r="9" spans="1:8" x14ac:dyDescent="0.35">
      <c r="A9" s="8" t="s">
        <v>63</v>
      </c>
      <c r="B9" s="8">
        <v>419</v>
      </c>
      <c r="C9" s="8">
        <v>208.10210526315791</v>
      </c>
      <c r="D9" s="20">
        <v>88347.6</v>
      </c>
      <c r="E9" s="20">
        <v>1162.468421052632</v>
      </c>
      <c r="F9" s="20">
        <v>76</v>
      </c>
    </row>
    <row r="10" spans="1:8" x14ac:dyDescent="0.35">
      <c r="A10" s="8" t="s">
        <v>1128</v>
      </c>
      <c r="B10" s="8">
        <v>3344</v>
      </c>
      <c r="C10" s="8">
        <v>1446.689001644786</v>
      </c>
      <c r="D10" s="20">
        <v>707221.1</v>
      </c>
      <c r="E10" s="20">
        <v>8253.0422544061475</v>
      </c>
      <c r="F10" s="20">
        <v>600</v>
      </c>
    </row>
    <row r="12" spans="1:8" x14ac:dyDescent="0.35">
      <c r="A12" s="49" t="s">
        <v>1145</v>
      </c>
      <c r="B12" s="49"/>
      <c r="C12" s="49"/>
      <c r="D12" s="8"/>
      <c r="E12" s="8"/>
      <c r="F12" s="8"/>
      <c r="G12" s="8"/>
      <c r="H12" s="8"/>
    </row>
    <row r="13" spans="1:8" x14ac:dyDescent="0.35">
      <c r="A13" s="19" t="s">
        <v>1127</v>
      </c>
      <c r="B13" s="8" t="s">
        <v>1140</v>
      </c>
      <c r="C13" s="8" t="s">
        <v>1139</v>
      </c>
      <c r="D13" s="8" t="s">
        <v>1137</v>
      </c>
      <c r="E13" s="8" t="s">
        <v>1138</v>
      </c>
      <c r="F13" s="8" t="s">
        <v>1134</v>
      </c>
      <c r="G13" s="8" t="s">
        <v>1136</v>
      </c>
      <c r="H13" s="8" t="s">
        <v>1135</v>
      </c>
    </row>
    <row r="14" spans="1:8" x14ac:dyDescent="0.35">
      <c r="A14" s="8" t="s">
        <v>27</v>
      </c>
      <c r="B14" s="8">
        <v>12334.19</v>
      </c>
      <c r="C14" s="8">
        <v>28102.650000000009</v>
      </c>
      <c r="D14" s="8">
        <v>28722.419999999991</v>
      </c>
      <c r="E14" s="8">
        <v>28736.15</v>
      </c>
      <c r="F14" s="8">
        <v>19387.62</v>
      </c>
      <c r="G14" s="8">
        <v>23110.53</v>
      </c>
      <c r="H14" s="8">
        <v>17696.740000000002</v>
      </c>
    </row>
    <row r="15" spans="1:8" x14ac:dyDescent="0.35">
      <c r="A15" s="8" t="s">
        <v>60</v>
      </c>
      <c r="B15" s="8">
        <v>28878.85</v>
      </c>
      <c r="C15" s="8">
        <v>18784.68</v>
      </c>
      <c r="D15" s="8">
        <v>25628.5</v>
      </c>
      <c r="E15" s="8">
        <v>26627.45</v>
      </c>
      <c r="F15" s="8">
        <v>12783.01</v>
      </c>
      <c r="G15" s="8">
        <v>30342.63</v>
      </c>
      <c r="H15" s="8">
        <v>22890.2</v>
      </c>
    </row>
    <row r="16" spans="1:8" x14ac:dyDescent="0.35">
      <c r="A16" s="8" t="s">
        <v>78</v>
      </c>
      <c r="B16" s="8">
        <v>26111.26</v>
      </c>
      <c r="C16" s="8">
        <v>32411.98</v>
      </c>
      <c r="D16" s="8">
        <v>30795.14</v>
      </c>
      <c r="E16" s="8">
        <v>34304.79</v>
      </c>
      <c r="F16" s="8">
        <v>35434.44</v>
      </c>
      <c r="G16" s="8">
        <v>20919.66</v>
      </c>
      <c r="H16" s="8">
        <v>32272.69</v>
      </c>
    </row>
    <row r="17" spans="1:8" x14ac:dyDescent="0.35">
      <c r="A17" s="8" t="s">
        <v>38</v>
      </c>
      <c r="B17" s="8">
        <v>21023.3</v>
      </c>
      <c r="C17" s="8">
        <v>21955.62</v>
      </c>
      <c r="D17" s="8">
        <v>29460.9</v>
      </c>
      <c r="E17" s="8">
        <v>32105.71</v>
      </c>
      <c r="F17" s="8">
        <v>32974.129999999997</v>
      </c>
      <c r="G17" s="8">
        <v>11278.07</v>
      </c>
      <c r="H17" s="8">
        <v>22147.79</v>
      </c>
    </row>
    <row r="18" spans="1:8" x14ac:dyDescent="0.35">
      <c r="A18" s="8" t="s">
        <v>1128</v>
      </c>
      <c r="B18" s="8">
        <v>88347.6</v>
      </c>
      <c r="C18" s="8">
        <v>101254.93000000001</v>
      </c>
      <c r="D18" s="8">
        <v>114606.95999999999</v>
      </c>
      <c r="E18" s="8">
        <v>121774.1</v>
      </c>
      <c r="F18" s="8">
        <v>100579.20000000001</v>
      </c>
      <c r="G18" s="8">
        <v>85650.890000000014</v>
      </c>
      <c r="H18" s="8">
        <v>95007.420000000013</v>
      </c>
    </row>
    <row r="20" spans="1:8" x14ac:dyDescent="0.35">
      <c r="A20" s="49" t="s">
        <v>1144</v>
      </c>
      <c r="B20" s="49"/>
      <c r="C20" s="49"/>
      <c r="D20" s="8"/>
      <c r="E20" s="8"/>
      <c r="F20" s="8"/>
    </row>
    <row r="21" spans="1:8" x14ac:dyDescent="0.35">
      <c r="A21" s="19" t="s">
        <v>1127</v>
      </c>
      <c r="B21" s="8" t="s">
        <v>1129</v>
      </c>
      <c r="C21" s="8" t="s">
        <v>1141</v>
      </c>
      <c r="D21" s="8" t="s">
        <v>1142</v>
      </c>
      <c r="E21" s="8" t="s">
        <v>1131</v>
      </c>
      <c r="F21" s="8" t="s">
        <v>1130</v>
      </c>
    </row>
    <row r="22" spans="1:8" x14ac:dyDescent="0.35">
      <c r="A22" s="8" t="s">
        <v>106</v>
      </c>
      <c r="B22" s="20">
        <v>64</v>
      </c>
      <c r="C22" s="20">
        <v>339</v>
      </c>
      <c r="D22" s="20">
        <v>5.296875</v>
      </c>
      <c r="E22" s="20">
        <v>1193.51171875</v>
      </c>
      <c r="F22" s="20">
        <v>76384.750000000015</v>
      </c>
    </row>
    <row r="23" spans="1:8" x14ac:dyDescent="0.35">
      <c r="A23" s="8" t="s">
        <v>47</v>
      </c>
      <c r="B23" s="20">
        <v>50</v>
      </c>
      <c r="C23" s="20">
        <v>298</v>
      </c>
      <c r="D23" s="20">
        <v>5.96</v>
      </c>
      <c r="E23" s="20">
        <v>1157.1206</v>
      </c>
      <c r="F23" s="20">
        <v>57856.030000000013</v>
      </c>
    </row>
    <row r="24" spans="1:8" x14ac:dyDescent="0.35">
      <c r="A24" s="8" t="s">
        <v>86</v>
      </c>
      <c r="B24" s="20">
        <v>59</v>
      </c>
      <c r="C24" s="20">
        <v>312</v>
      </c>
      <c r="D24" s="20">
        <v>5.2881355932203391</v>
      </c>
      <c r="E24" s="20">
        <v>1085.9184745762709</v>
      </c>
      <c r="F24" s="20">
        <v>64069.189999999988</v>
      </c>
    </row>
    <row r="25" spans="1:8" x14ac:dyDescent="0.35">
      <c r="A25" s="8" t="s">
        <v>81</v>
      </c>
      <c r="B25" s="20">
        <v>51</v>
      </c>
      <c r="C25" s="20">
        <v>290</v>
      </c>
      <c r="D25" s="20">
        <v>5.6862745098039218</v>
      </c>
      <c r="E25" s="20">
        <v>1341.2562745098039</v>
      </c>
      <c r="F25" s="20">
        <v>68404.070000000007</v>
      </c>
    </row>
    <row r="26" spans="1:8" x14ac:dyDescent="0.35">
      <c r="A26" s="8" t="s">
        <v>74</v>
      </c>
      <c r="B26" s="20">
        <v>64</v>
      </c>
      <c r="C26" s="20">
        <v>356</v>
      </c>
      <c r="D26" s="20">
        <v>5.5625</v>
      </c>
      <c r="E26" s="20">
        <v>1153.7509375</v>
      </c>
      <c r="F26" s="20">
        <v>73840.06</v>
      </c>
    </row>
    <row r="27" spans="1:8" x14ac:dyDescent="0.35">
      <c r="A27" s="8" t="s">
        <v>41</v>
      </c>
      <c r="B27" s="20">
        <v>57</v>
      </c>
      <c r="C27" s="20">
        <v>313</v>
      </c>
      <c r="D27" s="20">
        <v>5.4912280701754383</v>
      </c>
      <c r="E27" s="20">
        <v>1133.1250877192981</v>
      </c>
      <c r="F27" s="20">
        <v>64588.13</v>
      </c>
    </row>
    <row r="28" spans="1:8" x14ac:dyDescent="0.35">
      <c r="A28" s="8" t="s">
        <v>71</v>
      </c>
      <c r="B28" s="20">
        <v>49</v>
      </c>
      <c r="C28" s="20">
        <v>302</v>
      </c>
      <c r="D28" s="20">
        <v>6.1632653061224492</v>
      </c>
      <c r="E28" s="20">
        <v>1099.2706122448981</v>
      </c>
      <c r="F28" s="20">
        <v>53864.26</v>
      </c>
    </row>
    <row r="29" spans="1:8" x14ac:dyDescent="0.35">
      <c r="A29" s="8" t="s">
        <v>21</v>
      </c>
      <c r="B29" s="20">
        <v>67</v>
      </c>
      <c r="C29" s="20">
        <v>365</v>
      </c>
      <c r="D29" s="20">
        <v>5.4477611940298507</v>
      </c>
      <c r="E29" s="20">
        <v>1221.0895522388059</v>
      </c>
      <c r="F29" s="20">
        <v>81813.000000000015</v>
      </c>
    </row>
    <row r="30" spans="1:8" x14ac:dyDescent="0.35">
      <c r="A30" s="8" t="s">
        <v>51</v>
      </c>
      <c r="B30" s="20">
        <v>64</v>
      </c>
      <c r="C30" s="20">
        <v>368</v>
      </c>
      <c r="D30" s="20">
        <v>5.75</v>
      </c>
      <c r="E30" s="20">
        <v>1225.065625</v>
      </c>
      <c r="F30" s="20">
        <v>78404.200000000012</v>
      </c>
    </row>
    <row r="31" spans="1:8" x14ac:dyDescent="0.35">
      <c r="A31" s="8" t="s">
        <v>89</v>
      </c>
      <c r="B31" s="20">
        <v>75</v>
      </c>
      <c r="C31" s="20">
        <v>401</v>
      </c>
      <c r="D31" s="20">
        <v>5.3466666666666667</v>
      </c>
      <c r="E31" s="20">
        <v>1173.2988</v>
      </c>
      <c r="F31" s="20">
        <v>87997.409999999989</v>
      </c>
    </row>
    <row r="32" spans="1:8" x14ac:dyDescent="0.35">
      <c r="A32" s="8" t="s">
        <v>1128</v>
      </c>
      <c r="B32" s="20">
        <v>600</v>
      </c>
      <c r="C32" s="20">
        <v>3344</v>
      </c>
      <c r="D32" s="20">
        <v>55.992706340018664</v>
      </c>
      <c r="E32" s="20">
        <v>11783.407682539077</v>
      </c>
      <c r="F32" s="20">
        <v>707221.10000000021</v>
      </c>
    </row>
    <row r="33" spans="1:6" x14ac:dyDescent="0.35">
      <c r="A33" s="8"/>
      <c r="B33" s="20"/>
      <c r="C33" s="20"/>
      <c r="D33" s="20"/>
      <c r="E33" s="20"/>
      <c r="F33" s="20"/>
    </row>
    <row r="34" spans="1:6" x14ac:dyDescent="0.35">
      <c r="A34" s="49" t="s">
        <v>2860</v>
      </c>
      <c r="B34" s="49"/>
      <c r="C34" s="49"/>
    </row>
    <row r="35" spans="1:6" x14ac:dyDescent="0.35">
      <c r="A35" s="5" t="s">
        <v>1127</v>
      </c>
      <c r="B35" t="s">
        <v>2858</v>
      </c>
      <c r="C35" t="s">
        <v>1129</v>
      </c>
      <c r="D35" t="s">
        <v>2859</v>
      </c>
      <c r="E35" t="s">
        <v>1130</v>
      </c>
    </row>
    <row r="36" spans="1:6" x14ac:dyDescent="0.35">
      <c r="A36" s="6" t="s">
        <v>30</v>
      </c>
      <c r="B36" s="7">
        <v>355</v>
      </c>
      <c r="C36" s="7">
        <v>61</v>
      </c>
      <c r="D36" s="7">
        <v>1083.2840983606559</v>
      </c>
      <c r="E36" s="7">
        <v>66080.33</v>
      </c>
    </row>
    <row r="37" spans="1:6" x14ac:dyDescent="0.35">
      <c r="A37" s="6" t="s">
        <v>118</v>
      </c>
      <c r="B37" s="7">
        <v>291</v>
      </c>
      <c r="C37" s="7">
        <v>55</v>
      </c>
      <c r="D37" s="7">
        <v>1188.0869090909091</v>
      </c>
      <c r="E37" s="7">
        <v>65344.780000000013</v>
      </c>
    </row>
    <row r="38" spans="1:6" x14ac:dyDescent="0.35">
      <c r="A38" s="6" t="s">
        <v>155</v>
      </c>
      <c r="B38" s="7">
        <v>343</v>
      </c>
      <c r="C38" s="7">
        <v>62</v>
      </c>
      <c r="D38" s="7">
        <v>1155.1727419354841</v>
      </c>
      <c r="E38" s="7">
        <v>71620.709999999992</v>
      </c>
    </row>
    <row r="39" spans="1:6" x14ac:dyDescent="0.35">
      <c r="A39" s="6" t="s">
        <v>216</v>
      </c>
      <c r="B39" s="7">
        <v>292</v>
      </c>
      <c r="C39" s="7">
        <v>57</v>
      </c>
      <c r="D39" s="7">
        <v>1140.4164912280701</v>
      </c>
      <c r="E39" s="7">
        <v>65003.74</v>
      </c>
    </row>
    <row r="40" spans="1:6" x14ac:dyDescent="0.35">
      <c r="A40" s="6" t="s">
        <v>267</v>
      </c>
      <c r="B40" s="7">
        <v>389</v>
      </c>
      <c r="C40" s="7">
        <v>62</v>
      </c>
      <c r="D40" s="7">
        <v>1456.325161290323</v>
      </c>
      <c r="E40" s="7">
        <v>90292.160000000003</v>
      </c>
    </row>
    <row r="41" spans="1:6" x14ac:dyDescent="0.35">
      <c r="A41" s="6" t="s">
        <v>321</v>
      </c>
      <c r="B41" s="7">
        <v>406</v>
      </c>
      <c r="C41" s="7">
        <v>70</v>
      </c>
      <c r="D41" s="7">
        <v>1228.9015714285711</v>
      </c>
      <c r="E41" s="7">
        <v>86023.109999999986</v>
      </c>
    </row>
    <row r="42" spans="1:6" x14ac:dyDescent="0.35">
      <c r="A42" s="6" t="s">
        <v>366</v>
      </c>
      <c r="B42" s="7">
        <v>202</v>
      </c>
      <c r="C42" s="7">
        <v>42</v>
      </c>
      <c r="D42" s="7">
        <v>881.59047619047612</v>
      </c>
      <c r="E42" s="7">
        <v>37026.800000000003</v>
      </c>
    </row>
    <row r="43" spans="1:6" x14ac:dyDescent="0.35">
      <c r="A43" s="6" t="s">
        <v>393</v>
      </c>
      <c r="B43" s="7">
        <v>171</v>
      </c>
      <c r="C43" s="7">
        <v>32</v>
      </c>
      <c r="D43" s="7">
        <v>1093.5778124999999</v>
      </c>
      <c r="E43" s="7">
        <v>34994.49</v>
      </c>
    </row>
    <row r="44" spans="1:6" x14ac:dyDescent="0.35">
      <c r="A44" s="6" t="s">
        <v>420</v>
      </c>
      <c r="B44" s="7">
        <v>220</v>
      </c>
      <c r="C44" s="7">
        <v>37</v>
      </c>
      <c r="D44" s="7">
        <v>1128.468648648648</v>
      </c>
      <c r="E44" s="7">
        <v>41753.339999999997</v>
      </c>
    </row>
    <row r="45" spans="1:6" x14ac:dyDescent="0.35">
      <c r="A45" s="6" t="s">
        <v>457</v>
      </c>
      <c r="B45" s="7">
        <v>163</v>
      </c>
      <c r="C45" s="7">
        <v>35</v>
      </c>
      <c r="D45" s="7">
        <v>1038.5540000000001</v>
      </c>
      <c r="E45" s="7">
        <v>36349.389999999992</v>
      </c>
    </row>
    <row r="46" spans="1:6" x14ac:dyDescent="0.35">
      <c r="A46" s="6" t="s">
        <v>492</v>
      </c>
      <c r="B46" s="7">
        <v>263</v>
      </c>
      <c r="C46" s="7">
        <v>43</v>
      </c>
      <c r="D46" s="7">
        <v>1479.5276744186051</v>
      </c>
      <c r="E46" s="7">
        <v>63619.69</v>
      </c>
    </row>
    <row r="47" spans="1:6" x14ac:dyDescent="0.35">
      <c r="A47" s="6" t="s">
        <v>529</v>
      </c>
      <c r="B47" s="7">
        <v>249</v>
      </c>
      <c r="C47" s="7">
        <v>44</v>
      </c>
      <c r="D47" s="7">
        <v>1116.194545454546</v>
      </c>
      <c r="E47" s="7">
        <v>49112.56</v>
      </c>
    </row>
    <row r="48" spans="1:6" x14ac:dyDescent="0.35">
      <c r="A48" s="6" t="s">
        <v>1128</v>
      </c>
      <c r="B48" s="7">
        <v>3344</v>
      </c>
      <c r="C48" s="7">
        <v>600</v>
      </c>
      <c r="D48" s="7">
        <v>13990.100130546289</v>
      </c>
      <c r="E48" s="7">
        <v>707221.10000000009</v>
      </c>
    </row>
  </sheetData>
  <mergeCells count="4">
    <mergeCell ref="A20:C20"/>
    <mergeCell ref="A12:C12"/>
    <mergeCell ref="A1:C1"/>
    <mergeCell ref="A34:C3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0C0"/>
  </sheetPr>
  <dimension ref="A1:H7"/>
  <sheetViews>
    <sheetView zoomScale="80" zoomScaleNormal="80" workbookViewId="0">
      <selection activeCell="D14" sqref="D14"/>
    </sheetView>
  </sheetViews>
  <sheetFormatPr defaultRowHeight="14.5" x14ac:dyDescent="0.35"/>
  <cols>
    <col min="1" max="1" width="15" customWidth="1"/>
    <col min="2" max="8" width="16" customWidth="1"/>
  </cols>
  <sheetData>
    <row r="1" spans="1:8" ht="15.5" x14ac:dyDescent="0.35">
      <c r="A1" s="50" t="s">
        <v>1143</v>
      </c>
      <c r="B1" s="51"/>
      <c r="C1" s="51"/>
      <c r="D1" s="51"/>
      <c r="E1" s="51"/>
      <c r="F1" s="51"/>
      <c r="G1" s="51"/>
      <c r="H1" s="51"/>
    </row>
    <row r="2" spans="1:8" x14ac:dyDescent="0.35">
      <c r="A2" s="16" t="s">
        <v>1115</v>
      </c>
      <c r="B2" s="3" t="s">
        <v>43</v>
      </c>
      <c r="C2" s="3" t="s">
        <v>92</v>
      </c>
      <c r="D2" s="3" t="s">
        <v>83</v>
      </c>
      <c r="E2" s="3" t="s">
        <v>23</v>
      </c>
      <c r="F2" s="3" t="s">
        <v>34</v>
      </c>
      <c r="G2" s="3" t="s">
        <v>53</v>
      </c>
      <c r="H2" s="3" t="s">
        <v>63</v>
      </c>
    </row>
    <row r="3" spans="1:8" x14ac:dyDescent="0.35">
      <c r="A3" s="17" t="s">
        <v>27</v>
      </c>
      <c r="B3" s="18">
        <v>19387.62</v>
      </c>
      <c r="C3" s="18">
        <v>17696.740000000002</v>
      </c>
      <c r="D3" s="18">
        <v>23110.53</v>
      </c>
      <c r="E3" s="18">
        <v>28722.419999999991</v>
      </c>
      <c r="F3" s="18">
        <v>28736.15</v>
      </c>
      <c r="G3" s="18">
        <v>28102.650000000009</v>
      </c>
      <c r="H3" s="18">
        <v>12334.19</v>
      </c>
    </row>
    <row r="4" spans="1:8" x14ac:dyDescent="0.35">
      <c r="A4" s="17" t="s">
        <v>60</v>
      </c>
      <c r="B4" s="18">
        <v>12783.01</v>
      </c>
      <c r="C4" s="18">
        <v>22890.2</v>
      </c>
      <c r="D4" s="18">
        <v>30342.63</v>
      </c>
      <c r="E4" s="18">
        <v>25628.5</v>
      </c>
      <c r="F4" s="18">
        <v>26627.45</v>
      </c>
      <c r="G4" s="18">
        <v>18784.68</v>
      </c>
      <c r="H4" s="18">
        <v>28878.85</v>
      </c>
    </row>
    <row r="5" spans="1:8" x14ac:dyDescent="0.35">
      <c r="A5" s="17" t="s">
        <v>78</v>
      </c>
      <c r="B5" s="18">
        <v>35434.44</v>
      </c>
      <c r="C5" s="18">
        <v>32272.69</v>
      </c>
      <c r="D5" s="18">
        <v>20919.66</v>
      </c>
      <c r="E5" s="18">
        <v>30795.14</v>
      </c>
      <c r="F5" s="18">
        <v>34304.79</v>
      </c>
      <c r="G5" s="18">
        <v>32411.98</v>
      </c>
      <c r="H5" s="18">
        <v>26111.26</v>
      </c>
    </row>
    <row r="6" spans="1:8" x14ac:dyDescent="0.35">
      <c r="A6" s="17" t="s">
        <v>38</v>
      </c>
      <c r="B6" s="18">
        <v>32974.129999999997</v>
      </c>
      <c r="C6" s="18">
        <v>22147.79</v>
      </c>
      <c r="D6" s="18">
        <v>11278.07</v>
      </c>
      <c r="E6" s="18">
        <v>29460.9</v>
      </c>
      <c r="F6" s="18">
        <v>32105.71</v>
      </c>
      <c r="G6" s="18">
        <v>21955.62</v>
      </c>
      <c r="H6" s="18">
        <v>21023.3</v>
      </c>
    </row>
    <row r="7" spans="1:8" x14ac:dyDescent="0.35">
      <c r="A7" s="23" t="s">
        <v>1116</v>
      </c>
      <c r="B7" s="24">
        <f t="shared" ref="B7:H7" si="0">SUM(B3:B6)</f>
        <v>100579.20000000001</v>
      </c>
      <c r="C7" s="24">
        <f t="shared" si="0"/>
        <v>95007.420000000013</v>
      </c>
      <c r="D7" s="24">
        <f t="shared" si="0"/>
        <v>85650.890000000014</v>
      </c>
      <c r="E7" s="24">
        <f t="shared" si="0"/>
        <v>114606.95999999999</v>
      </c>
      <c r="F7" s="24">
        <f t="shared" si="0"/>
        <v>121774.1</v>
      </c>
      <c r="G7" s="24">
        <f t="shared" si="0"/>
        <v>101254.93000000001</v>
      </c>
      <c r="H7" s="24">
        <f t="shared" si="0"/>
        <v>88347.6</v>
      </c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0C0"/>
  </sheetPr>
  <dimension ref="A1:F10"/>
  <sheetViews>
    <sheetView zoomScale="80" zoomScaleNormal="80" workbookViewId="0">
      <selection activeCell="H21" sqref="H21"/>
    </sheetView>
  </sheetViews>
  <sheetFormatPr defaultRowHeight="14.5" x14ac:dyDescent="0.35"/>
  <cols>
    <col min="1" max="9" width="18" customWidth="1"/>
  </cols>
  <sheetData>
    <row r="1" spans="1:6" ht="15.5" x14ac:dyDescent="0.35">
      <c r="A1" s="36" t="s">
        <v>1117</v>
      </c>
      <c r="B1" s="37"/>
      <c r="C1" s="37"/>
      <c r="D1" s="37"/>
      <c r="E1" s="37"/>
      <c r="F1" s="37"/>
    </row>
    <row r="2" spans="1:6" x14ac:dyDescent="0.35">
      <c r="A2" s="4" t="s">
        <v>4</v>
      </c>
      <c r="B2" s="4" t="s">
        <v>1118</v>
      </c>
      <c r="C2" s="4" t="s">
        <v>1120</v>
      </c>
      <c r="D2" s="4" t="s">
        <v>1121</v>
      </c>
      <c r="E2" s="4" t="s">
        <v>1122</v>
      </c>
      <c r="F2" s="4" t="s">
        <v>1119</v>
      </c>
    </row>
    <row r="3" spans="1:6" x14ac:dyDescent="0.35">
      <c r="A3" s="9" t="s">
        <v>43</v>
      </c>
      <c r="B3" s="9">
        <v>86</v>
      </c>
      <c r="C3" s="10">
        <v>1169.525581395349</v>
      </c>
      <c r="D3" s="10">
        <v>197.2373255813954</v>
      </c>
      <c r="E3" s="10">
        <v>501</v>
      </c>
      <c r="F3" s="10">
        <v>100579.2</v>
      </c>
    </row>
    <row r="4" spans="1:6" x14ac:dyDescent="0.35">
      <c r="A4" s="9" t="s">
        <v>92</v>
      </c>
      <c r="B4" s="9">
        <v>75</v>
      </c>
      <c r="C4" s="10">
        <v>1266.7655999999999</v>
      </c>
      <c r="D4" s="10">
        <v>210.82839999999999</v>
      </c>
      <c r="E4" s="10">
        <v>436</v>
      </c>
      <c r="F4" s="10">
        <v>95007.420000000013</v>
      </c>
    </row>
    <row r="5" spans="1:6" x14ac:dyDescent="0.35">
      <c r="A5" s="9" t="s">
        <v>83</v>
      </c>
      <c r="B5" s="9">
        <v>76</v>
      </c>
      <c r="C5" s="10">
        <v>1126.985394736842</v>
      </c>
      <c r="D5" s="10">
        <v>207.88052631578941</v>
      </c>
      <c r="E5" s="10">
        <v>420</v>
      </c>
      <c r="F5" s="10">
        <v>85650.89</v>
      </c>
    </row>
    <row r="6" spans="1:6" x14ac:dyDescent="0.35">
      <c r="A6" s="9" t="s">
        <v>23</v>
      </c>
      <c r="B6" s="9">
        <v>93</v>
      </c>
      <c r="C6" s="10">
        <v>1232.3329032258059</v>
      </c>
      <c r="D6" s="10">
        <v>221.15946236559139</v>
      </c>
      <c r="E6" s="10">
        <v>501</v>
      </c>
      <c r="F6" s="10">
        <v>114606.96</v>
      </c>
    </row>
    <row r="7" spans="1:6" x14ac:dyDescent="0.35">
      <c r="A7" s="9" t="s">
        <v>34</v>
      </c>
      <c r="B7" s="9">
        <v>103</v>
      </c>
      <c r="C7" s="10">
        <v>1182.272815533981</v>
      </c>
      <c r="D7" s="10">
        <v>206.5343689320388</v>
      </c>
      <c r="E7" s="10">
        <v>574</v>
      </c>
      <c r="F7" s="10">
        <v>121774.1</v>
      </c>
    </row>
    <row r="8" spans="1:6" x14ac:dyDescent="0.35">
      <c r="A8" s="9" t="s">
        <v>53</v>
      </c>
      <c r="B8" s="9">
        <v>91</v>
      </c>
      <c r="C8" s="10">
        <v>1112.6915384615379</v>
      </c>
      <c r="D8" s="10">
        <v>194.94681318681319</v>
      </c>
      <c r="E8" s="10">
        <v>493</v>
      </c>
      <c r="F8" s="10">
        <v>101254.93</v>
      </c>
    </row>
    <row r="9" spans="1:6" x14ac:dyDescent="0.35">
      <c r="A9" s="9" t="s">
        <v>63</v>
      </c>
      <c r="B9" s="9">
        <v>76</v>
      </c>
      <c r="C9" s="10">
        <v>1162.468421052632</v>
      </c>
      <c r="D9" s="10">
        <v>208.10210526315791</v>
      </c>
      <c r="E9" s="10">
        <v>419</v>
      </c>
      <c r="F9" s="10">
        <v>88347.6</v>
      </c>
    </row>
    <row r="10" spans="1:6" x14ac:dyDescent="0.35">
      <c r="A10" s="14" t="s">
        <v>1116</v>
      </c>
      <c r="B10" s="14">
        <f>SUM(B3:B9)</f>
        <v>600</v>
      </c>
      <c r="C10" s="15">
        <f>AVERAGE(C3:C9)</f>
        <v>1179.0060363437353</v>
      </c>
      <c r="D10" s="15">
        <f>AVERAGE(D3:D9)</f>
        <v>206.66985737782656</v>
      </c>
      <c r="E10" s="15">
        <f>AVERAGE(E3:E9)</f>
        <v>477.71428571428572</v>
      </c>
      <c r="F10" s="15">
        <f>SUM(F3:F9)</f>
        <v>707221.1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F13"/>
  <sheetViews>
    <sheetView zoomScale="80" zoomScaleNormal="80" workbookViewId="0">
      <selection activeCell="D17" sqref="D17"/>
    </sheetView>
  </sheetViews>
  <sheetFormatPr defaultRowHeight="14.5" x14ac:dyDescent="0.35"/>
  <cols>
    <col min="1" max="9" width="18" customWidth="1"/>
  </cols>
  <sheetData>
    <row r="1" spans="1:6" ht="15.5" x14ac:dyDescent="0.35">
      <c r="A1" s="36" t="s">
        <v>1123</v>
      </c>
      <c r="B1" s="36"/>
      <c r="C1" s="36"/>
      <c r="D1" s="36"/>
      <c r="E1" s="36"/>
      <c r="F1" s="36"/>
    </row>
    <row r="2" spans="1:6" x14ac:dyDescent="0.35">
      <c r="A2" s="4" t="s">
        <v>1124</v>
      </c>
      <c r="B2" s="4" t="s">
        <v>1118</v>
      </c>
      <c r="C2" s="4" t="s">
        <v>1120</v>
      </c>
      <c r="D2" s="4" t="s">
        <v>1125</v>
      </c>
      <c r="E2" s="4" t="s">
        <v>1126</v>
      </c>
      <c r="F2" s="4" t="s">
        <v>1119</v>
      </c>
    </row>
    <row r="3" spans="1:6" x14ac:dyDescent="0.35">
      <c r="A3" s="9" t="s">
        <v>106</v>
      </c>
      <c r="B3" s="9">
        <v>64</v>
      </c>
      <c r="C3" s="10">
        <v>1193.51171875</v>
      </c>
      <c r="D3" s="10">
        <v>339</v>
      </c>
      <c r="E3" s="10">
        <v>5.296875</v>
      </c>
      <c r="F3" s="10">
        <v>76384.750000000015</v>
      </c>
    </row>
    <row r="4" spans="1:6" x14ac:dyDescent="0.35">
      <c r="A4" s="9" t="s">
        <v>47</v>
      </c>
      <c r="B4" s="9">
        <v>50</v>
      </c>
      <c r="C4" s="10">
        <v>1157.1206</v>
      </c>
      <c r="D4" s="10">
        <v>298</v>
      </c>
      <c r="E4" s="10">
        <v>5.96</v>
      </c>
      <c r="F4" s="10">
        <v>57856.030000000013</v>
      </c>
    </row>
    <row r="5" spans="1:6" x14ac:dyDescent="0.35">
      <c r="A5" s="9" t="s">
        <v>86</v>
      </c>
      <c r="B5" s="9">
        <v>59</v>
      </c>
      <c r="C5" s="10">
        <v>1085.9184745762709</v>
      </c>
      <c r="D5" s="10">
        <v>312</v>
      </c>
      <c r="E5" s="10">
        <v>5.2881355932203391</v>
      </c>
      <c r="F5" s="10">
        <v>64069.189999999988</v>
      </c>
    </row>
    <row r="6" spans="1:6" x14ac:dyDescent="0.35">
      <c r="A6" s="9" t="s">
        <v>81</v>
      </c>
      <c r="B6" s="9">
        <v>51</v>
      </c>
      <c r="C6" s="10">
        <v>1341.2562745098039</v>
      </c>
      <c r="D6" s="10">
        <v>290</v>
      </c>
      <c r="E6" s="10">
        <v>5.6862745098039218</v>
      </c>
      <c r="F6" s="10">
        <v>68404.070000000007</v>
      </c>
    </row>
    <row r="7" spans="1:6" x14ac:dyDescent="0.35">
      <c r="A7" s="9" t="s">
        <v>74</v>
      </c>
      <c r="B7" s="9">
        <v>64</v>
      </c>
      <c r="C7" s="10">
        <v>1153.7509375</v>
      </c>
      <c r="D7" s="10">
        <v>356</v>
      </c>
      <c r="E7" s="10">
        <v>5.5625</v>
      </c>
      <c r="F7" s="10">
        <v>73840.06</v>
      </c>
    </row>
    <row r="8" spans="1:6" x14ac:dyDescent="0.35">
      <c r="A8" s="9" t="s">
        <v>41</v>
      </c>
      <c r="B8" s="9">
        <v>57</v>
      </c>
      <c r="C8" s="10">
        <v>1133.1250877192981</v>
      </c>
      <c r="D8" s="10">
        <v>313</v>
      </c>
      <c r="E8" s="10">
        <v>5.4912280701754383</v>
      </c>
      <c r="F8" s="10">
        <v>64588.13</v>
      </c>
    </row>
    <row r="9" spans="1:6" x14ac:dyDescent="0.35">
      <c r="A9" s="9" t="s">
        <v>71</v>
      </c>
      <c r="B9" s="9">
        <v>49</v>
      </c>
      <c r="C9" s="10">
        <v>1099.2706122448981</v>
      </c>
      <c r="D9" s="10">
        <v>302</v>
      </c>
      <c r="E9" s="10">
        <v>6.1632653061224492</v>
      </c>
      <c r="F9" s="10">
        <v>53864.26</v>
      </c>
    </row>
    <row r="10" spans="1:6" x14ac:dyDescent="0.35">
      <c r="A10" s="9" t="s">
        <v>21</v>
      </c>
      <c r="B10" s="9">
        <v>67</v>
      </c>
      <c r="C10" s="10">
        <v>1221.0895522388059</v>
      </c>
      <c r="D10" s="10">
        <v>365</v>
      </c>
      <c r="E10" s="10">
        <v>5.4477611940298507</v>
      </c>
      <c r="F10" s="10">
        <v>81813.000000000015</v>
      </c>
    </row>
    <row r="11" spans="1:6" x14ac:dyDescent="0.35">
      <c r="A11" s="9" t="s">
        <v>51</v>
      </c>
      <c r="B11" s="9">
        <v>64</v>
      </c>
      <c r="C11" s="10">
        <v>1225.065625</v>
      </c>
      <c r="D11" s="10">
        <v>368</v>
      </c>
      <c r="E11" s="10">
        <v>5.75</v>
      </c>
      <c r="F11" s="10">
        <v>78404.200000000012</v>
      </c>
    </row>
    <row r="12" spans="1:6" x14ac:dyDescent="0.35">
      <c r="A12" s="9" t="s">
        <v>89</v>
      </c>
      <c r="B12" s="9">
        <v>75</v>
      </c>
      <c r="C12" s="10">
        <v>1173.2988</v>
      </c>
      <c r="D12" s="10">
        <v>401</v>
      </c>
      <c r="E12" s="10">
        <v>5.3466666666666667</v>
      </c>
      <c r="F12" s="10">
        <v>87997.409999999989</v>
      </c>
    </row>
    <row r="13" spans="1:6" x14ac:dyDescent="0.35">
      <c r="A13" s="12" t="s">
        <v>1116</v>
      </c>
      <c r="B13" s="35">
        <f>SUM(B3:B12)</f>
        <v>600</v>
      </c>
      <c r="C13" s="13">
        <f>AVERAGE(C3:C12)</f>
        <v>1178.3407682539078</v>
      </c>
      <c r="D13" s="13">
        <f>SUM(D3:D12)</f>
        <v>3344</v>
      </c>
      <c r="E13" s="13">
        <f>AVERAGE(E3:E12)</f>
        <v>5.5992706340018668</v>
      </c>
      <c r="F13" s="13">
        <f>SUM(F3:F12)</f>
        <v>707221.10000000021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2345B-655B-46A8-9A79-648068751C1F}">
  <sheetPr>
    <tabColor rgb="FF0070C0"/>
  </sheetPr>
  <dimension ref="A1:E15"/>
  <sheetViews>
    <sheetView zoomScale="80" zoomScaleNormal="80" workbookViewId="0">
      <selection activeCell="D18" sqref="D18"/>
    </sheetView>
  </sheetViews>
  <sheetFormatPr defaultRowHeight="14.5" x14ac:dyDescent="0.35"/>
  <cols>
    <col min="1" max="5" width="16" customWidth="1"/>
  </cols>
  <sheetData>
    <row r="1" spans="1:5" ht="15.5" x14ac:dyDescent="0.35">
      <c r="A1" s="50" t="s">
        <v>2856</v>
      </c>
      <c r="B1" s="50"/>
      <c r="C1" s="50"/>
      <c r="D1" s="50"/>
      <c r="E1" s="50"/>
    </row>
    <row r="2" spans="1:5" x14ac:dyDescent="0.35">
      <c r="A2" s="16" t="s">
        <v>15</v>
      </c>
      <c r="B2" s="16" t="s">
        <v>1118</v>
      </c>
      <c r="C2" s="16" t="s">
        <v>5</v>
      </c>
      <c r="D2" s="16" t="s">
        <v>2857</v>
      </c>
      <c r="E2" s="31" t="s">
        <v>1119</v>
      </c>
    </row>
    <row r="3" spans="1:5" x14ac:dyDescent="0.35">
      <c r="A3" s="9" t="s">
        <v>216</v>
      </c>
      <c r="B3" s="9">
        <v>57</v>
      </c>
      <c r="C3" s="9">
        <v>292</v>
      </c>
      <c r="D3" s="10">
        <v>1140.4164912280701</v>
      </c>
      <c r="E3" s="32">
        <v>65003.74</v>
      </c>
    </row>
    <row r="4" spans="1:5" x14ac:dyDescent="0.35">
      <c r="A4" s="9" t="s">
        <v>393</v>
      </c>
      <c r="B4" s="9">
        <v>32</v>
      </c>
      <c r="C4" s="9">
        <v>171</v>
      </c>
      <c r="D4" s="10">
        <v>1093.5778124999999</v>
      </c>
      <c r="E4" s="32">
        <v>34994.49</v>
      </c>
    </row>
    <row r="5" spans="1:5" x14ac:dyDescent="0.35">
      <c r="A5" s="9" t="s">
        <v>529</v>
      </c>
      <c r="B5" s="9">
        <v>44</v>
      </c>
      <c r="C5" s="9">
        <v>249</v>
      </c>
      <c r="D5" s="10">
        <v>1116.194545454546</v>
      </c>
      <c r="E5" s="32">
        <v>49112.56</v>
      </c>
    </row>
    <row r="6" spans="1:5" x14ac:dyDescent="0.35">
      <c r="A6" s="9" t="s">
        <v>118</v>
      </c>
      <c r="B6" s="9">
        <v>55</v>
      </c>
      <c r="C6" s="9">
        <v>291</v>
      </c>
      <c r="D6" s="10">
        <v>1188.0869090909091</v>
      </c>
      <c r="E6" s="32">
        <v>65344.780000000013</v>
      </c>
    </row>
    <row r="7" spans="1:5" x14ac:dyDescent="0.35">
      <c r="A7" s="9" t="s">
        <v>30</v>
      </c>
      <c r="B7" s="9">
        <v>61</v>
      </c>
      <c r="C7" s="9">
        <v>355</v>
      </c>
      <c r="D7" s="10">
        <v>1083.2840983606559</v>
      </c>
      <c r="E7" s="32">
        <v>66080.33</v>
      </c>
    </row>
    <row r="8" spans="1:5" x14ac:dyDescent="0.35">
      <c r="A8" s="9" t="s">
        <v>366</v>
      </c>
      <c r="B8" s="9">
        <v>42</v>
      </c>
      <c r="C8" s="9">
        <v>202</v>
      </c>
      <c r="D8" s="10">
        <v>881.59047619047612</v>
      </c>
      <c r="E8" s="32">
        <v>37026.800000000003</v>
      </c>
    </row>
    <row r="9" spans="1:5" x14ac:dyDescent="0.35">
      <c r="A9" s="9" t="s">
        <v>321</v>
      </c>
      <c r="B9" s="9">
        <v>70</v>
      </c>
      <c r="C9" s="9">
        <v>406</v>
      </c>
      <c r="D9" s="10">
        <v>1228.9015714285711</v>
      </c>
      <c r="E9" s="32">
        <v>86023.109999999986</v>
      </c>
    </row>
    <row r="10" spans="1:5" x14ac:dyDescent="0.35">
      <c r="A10" s="9" t="s">
        <v>155</v>
      </c>
      <c r="B10" s="9">
        <v>62</v>
      </c>
      <c r="C10" s="9">
        <v>343</v>
      </c>
      <c r="D10" s="10">
        <v>1155.1727419354841</v>
      </c>
      <c r="E10" s="32">
        <v>71620.709999999992</v>
      </c>
    </row>
    <row r="11" spans="1:5" x14ac:dyDescent="0.35">
      <c r="A11" s="9" t="s">
        <v>267</v>
      </c>
      <c r="B11" s="9">
        <v>62</v>
      </c>
      <c r="C11" s="9">
        <v>389</v>
      </c>
      <c r="D11" s="10">
        <v>1456.325161290323</v>
      </c>
      <c r="E11" s="32">
        <v>90292.160000000003</v>
      </c>
    </row>
    <row r="12" spans="1:5" x14ac:dyDescent="0.35">
      <c r="A12" s="9" t="s">
        <v>492</v>
      </c>
      <c r="B12" s="9">
        <v>43</v>
      </c>
      <c r="C12" s="9">
        <v>263</v>
      </c>
      <c r="D12" s="10">
        <v>1479.5276744186051</v>
      </c>
      <c r="E12" s="32">
        <v>63619.69</v>
      </c>
    </row>
    <row r="13" spans="1:5" x14ac:dyDescent="0.35">
      <c r="A13" s="9" t="s">
        <v>457</v>
      </c>
      <c r="B13" s="9">
        <v>35</v>
      </c>
      <c r="C13" s="9">
        <v>163</v>
      </c>
      <c r="D13" s="10">
        <v>1038.5540000000001</v>
      </c>
      <c r="E13" s="32">
        <v>36349.389999999992</v>
      </c>
    </row>
    <row r="14" spans="1:5" x14ac:dyDescent="0.35">
      <c r="A14" s="9" t="s">
        <v>420</v>
      </c>
      <c r="B14" s="9">
        <v>37</v>
      </c>
      <c r="C14" s="9">
        <v>220</v>
      </c>
      <c r="D14" s="10">
        <v>1128.468648648648</v>
      </c>
      <c r="E14" s="32">
        <v>41753.339999999997</v>
      </c>
    </row>
    <row r="15" spans="1:5" x14ac:dyDescent="0.35">
      <c r="A15" s="12" t="s">
        <v>1116</v>
      </c>
      <c r="B15" s="35">
        <f>SUM(B3:B14)</f>
        <v>600</v>
      </c>
      <c r="C15" s="35">
        <f>SUM(C3:C14)</f>
        <v>3344</v>
      </c>
      <c r="D15" s="13">
        <f>SUM(D3:D14)</f>
        <v>13990.100130546287</v>
      </c>
      <c r="E15" s="33">
        <f>SUM(E3:E14)</f>
        <v>707221.10000000009</v>
      </c>
    </row>
  </sheetData>
  <mergeCells count="1">
    <mergeCell ref="A1:E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8C8C0F-E789-4096-AB2F-C700CDBDAB2B}">
  <sheetPr>
    <tabColor rgb="FF0070C0"/>
  </sheetPr>
  <dimension ref="A1:E26"/>
  <sheetViews>
    <sheetView zoomScale="80" zoomScaleNormal="80" workbookViewId="0">
      <selection activeCell="F18" sqref="F18"/>
    </sheetView>
  </sheetViews>
  <sheetFormatPr defaultRowHeight="14.5" x14ac:dyDescent="0.35"/>
  <cols>
    <col min="1" max="1" width="20" bestFit="1" customWidth="1"/>
    <col min="2" max="2" width="20" customWidth="1"/>
    <col min="3" max="3" width="15.90625" style="11" customWidth="1"/>
  </cols>
  <sheetData>
    <row r="1" spans="1:5" ht="15.5" x14ac:dyDescent="0.35">
      <c r="A1" s="53" t="s">
        <v>2866</v>
      </c>
      <c r="B1" s="54"/>
      <c r="C1" s="54"/>
    </row>
    <row r="2" spans="1:5" x14ac:dyDescent="0.35">
      <c r="A2" s="16" t="s">
        <v>2863</v>
      </c>
      <c r="B2" s="16" t="s">
        <v>1118</v>
      </c>
      <c r="C2" s="30" t="s">
        <v>2864</v>
      </c>
    </row>
    <row r="3" spans="1:5" x14ac:dyDescent="0.35">
      <c r="A3" s="22" t="s">
        <v>64</v>
      </c>
      <c r="B3" s="22">
        <v>112</v>
      </c>
      <c r="C3" s="28">
        <f>SUMIF([2]Sheet1!$H$2:$H$601,A3,[2]Sheet1!$N$2:$N$601)</f>
        <v>132683.74000000008</v>
      </c>
    </row>
    <row r="4" spans="1:5" x14ac:dyDescent="0.35">
      <c r="A4" s="22" t="s">
        <v>58</v>
      </c>
      <c r="B4" s="22">
        <v>120</v>
      </c>
      <c r="C4" s="28">
        <f>SUMIF([2]Sheet1!$H$2:$H$601,A4,[2]Sheet1!$N$2:$N$601)</f>
        <v>151214.01000000007</v>
      </c>
      <c r="E4" s="26"/>
    </row>
    <row r="5" spans="1:5" x14ac:dyDescent="0.35">
      <c r="A5" s="22" t="s">
        <v>35</v>
      </c>
      <c r="B5" s="22">
        <v>137</v>
      </c>
      <c r="C5" s="28">
        <f>SUMIF([2]Sheet1!$H$2:$H$601,A5,[2]Sheet1!$N$2:$N$601)</f>
        <v>159895.88</v>
      </c>
    </row>
    <row r="6" spans="1:5" x14ac:dyDescent="0.35">
      <c r="A6" s="22" t="s">
        <v>24</v>
      </c>
      <c r="B6" s="22">
        <v>115</v>
      </c>
      <c r="C6" s="28">
        <f>SUMIF([2]Sheet1!$H$2:$H$601,A6,[2]Sheet1!$N$2:$N$601)</f>
        <v>131195.98000000004</v>
      </c>
    </row>
    <row r="7" spans="1:5" x14ac:dyDescent="0.35">
      <c r="A7" s="22" t="s">
        <v>44</v>
      </c>
      <c r="B7" s="22">
        <v>116</v>
      </c>
      <c r="C7" s="28">
        <f>SUMIF([2]Sheet1!$H$2:$H$601,A7,[2]Sheet1!$N$2:$N$601)</f>
        <v>132231.49000000005</v>
      </c>
    </row>
    <row r="8" spans="1:5" x14ac:dyDescent="0.35">
      <c r="A8" s="25" t="s">
        <v>2877</v>
      </c>
      <c r="B8" s="25">
        <v>600</v>
      </c>
      <c r="C8" s="29">
        <f>SUM(C3:C7)</f>
        <v>707221.10000000009</v>
      </c>
    </row>
    <row r="9" spans="1:5" x14ac:dyDescent="0.35">
      <c r="A9" s="8"/>
      <c r="B9" s="8"/>
      <c r="C9" s="34"/>
    </row>
    <row r="10" spans="1:5" ht="15.5" x14ac:dyDescent="0.35">
      <c r="A10" s="52" t="s">
        <v>2879</v>
      </c>
      <c r="B10" s="52"/>
      <c r="C10" s="52"/>
    </row>
    <row r="11" spans="1:5" x14ac:dyDescent="0.35">
      <c r="A11" s="16" t="s">
        <v>2878</v>
      </c>
      <c r="B11" s="16" t="s">
        <v>1118</v>
      </c>
      <c r="C11" s="30" t="s">
        <v>2864</v>
      </c>
    </row>
    <row r="12" spans="1:5" x14ac:dyDescent="0.35">
      <c r="A12" s="22" t="s">
        <v>39</v>
      </c>
      <c r="B12" s="22">
        <v>216</v>
      </c>
      <c r="C12" s="28">
        <f>SUMIF([2]Sheet1!$L$2:$L$601,A12,[2]Sheet1!$N$2:$N$601)</f>
        <v>254901.10000000006</v>
      </c>
    </row>
    <row r="13" spans="1:5" x14ac:dyDescent="0.35">
      <c r="A13" s="22" t="s">
        <v>28</v>
      </c>
      <c r="B13" s="22">
        <v>241</v>
      </c>
      <c r="C13" s="28">
        <f>SUMIF([2]Sheet1!$L$2:$L$601,A13,[2]Sheet1!$N$2:$N$601)</f>
        <v>283300.19</v>
      </c>
    </row>
    <row r="14" spans="1:5" x14ac:dyDescent="0.35">
      <c r="A14" s="22" t="s">
        <v>66</v>
      </c>
      <c r="B14" s="22">
        <v>143</v>
      </c>
      <c r="C14" s="28">
        <f>SUMIF([2]Sheet1!$L$2:$L$601,A14,[2]Sheet1!$N$2:$N$601)</f>
        <v>169019.81</v>
      </c>
    </row>
    <row r="15" spans="1:5" x14ac:dyDescent="0.35">
      <c r="A15" s="25" t="s">
        <v>2877</v>
      </c>
      <c r="B15" s="25">
        <v>600</v>
      </c>
      <c r="C15" s="29">
        <f>SUM(C12:C14)</f>
        <v>707221.10000000009</v>
      </c>
    </row>
    <row r="16" spans="1:5" x14ac:dyDescent="0.35">
      <c r="A16" s="8"/>
      <c r="B16" s="8"/>
      <c r="C16" s="34"/>
    </row>
    <row r="17" spans="1:3" ht="15.5" x14ac:dyDescent="0.35">
      <c r="A17" s="52" t="s">
        <v>2867</v>
      </c>
      <c r="B17" s="52"/>
      <c r="C17" s="52"/>
    </row>
    <row r="18" spans="1:3" x14ac:dyDescent="0.35">
      <c r="A18" s="16" t="s">
        <v>2865</v>
      </c>
      <c r="B18" s="16" t="s">
        <v>1118</v>
      </c>
      <c r="C18" s="30" t="s">
        <v>2864</v>
      </c>
    </row>
    <row r="19" spans="1:3" x14ac:dyDescent="0.35">
      <c r="A19" s="22" t="s">
        <v>61</v>
      </c>
      <c r="B19" s="22">
        <v>97</v>
      </c>
      <c r="C19" s="28">
        <f>SUMIF([2]Sheet1!$M$2:$M$601,A19,[2]Sheet1!$N$2:$N$601)</f>
        <v>109693.77</v>
      </c>
    </row>
    <row r="20" spans="1:3" x14ac:dyDescent="0.35">
      <c r="A20" s="22" t="s">
        <v>29</v>
      </c>
      <c r="B20" s="22">
        <v>86</v>
      </c>
      <c r="C20" s="28">
        <f>SUMIF([2]Sheet1!$M$2:$M$601,A20,[2]Sheet1!$N$2:$N$601)</f>
        <v>87569.920000000013</v>
      </c>
    </row>
    <row r="21" spans="1:3" x14ac:dyDescent="0.35">
      <c r="A21" s="22" t="s">
        <v>79</v>
      </c>
      <c r="B21" s="22">
        <v>79</v>
      </c>
      <c r="C21" s="28">
        <f>SUMIF([2]Sheet1!$M$2:$M$601,A21,[2]Sheet1!$N$2:$N$601)</f>
        <v>78454.220000000016</v>
      </c>
    </row>
    <row r="22" spans="1:3" x14ac:dyDescent="0.35">
      <c r="A22" s="22" t="s">
        <v>101</v>
      </c>
      <c r="B22" s="22">
        <v>72</v>
      </c>
      <c r="C22" s="28">
        <f>SUMIF([2]Sheet1!$M$2:$M$601,A22,[2]Sheet1!$N$2:$N$601)</f>
        <v>76905.37999999999</v>
      </c>
    </row>
    <row r="23" spans="1:3" x14ac:dyDescent="0.35">
      <c r="A23" s="22" t="s">
        <v>56</v>
      </c>
      <c r="B23" s="22">
        <v>86</v>
      </c>
      <c r="C23" s="28">
        <f>SUMIF([2]Sheet1!$M$2:$M$601,A23,[2]Sheet1!$N$2:$N$601)</f>
        <v>122934.2200000001</v>
      </c>
    </row>
    <row r="24" spans="1:3" x14ac:dyDescent="0.35">
      <c r="A24" s="22" t="s">
        <v>49</v>
      </c>
      <c r="B24" s="22">
        <v>95</v>
      </c>
      <c r="C24" s="28">
        <f>SUMIF([2]Sheet1!$M$2:$M$601,A24,[2]Sheet1!$N$2:$N$601)</f>
        <v>123388.42000000003</v>
      </c>
    </row>
    <row r="25" spans="1:3" x14ac:dyDescent="0.35">
      <c r="A25" s="22" t="s">
        <v>67</v>
      </c>
      <c r="B25" s="22">
        <v>85</v>
      </c>
      <c r="C25" s="28">
        <f>SUMIF([2]Sheet1!$M$2:$M$601,A25,[2]Sheet1!$N$2:$N$601)</f>
        <v>108275.17000000004</v>
      </c>
    </row>
    <row r="26" spans="1:3" x14ac:dyDescent="0.35">
      <c r="A26" s="25" t="s">
        <v>2877</v>
      </c>
      <c r="B26" s="25">
        <v>600</v>
      </c>
      <c r="C26" s="29">
        <f>SUM(C19:C25)</f>
        <v>707221.10000000021</v>
      </c>
    </row>
  </sheetData>
  <mergeCells count="3">
    <mergeCell ref="A10:C10"/>
    <mergeCell ref="A1:C1"/>
    <mergeCell ref="A17:C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Raw_Data</vt:lpstr>
      <vt:lpstr>Cleaned_Data</vt:lpstr>
      <vt:lpstr>Data_Summary</vt:lpstr>
      <vt:lpstr>Pivot Table</vt:lpstr>
      <vt:lpstr>Manager_Product_Analysis</vt:lpstr>
      <vt:lpstr>Product_Summary</vt:lpstr>
      <vt:lpstr>Store_Performance</vt:lpstr>
      <vt:lpstr>Monthly_Summary</vt:lpstr>
      <vt:lpstr>SalesBy_PaymentType &amp; Time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2026-10-04T17:45:43Z</dcterms:created>
  <dcterms:modified xsi:type="dcterms:W3CDTF">2026-10-07T05:12:02Z</dcterms:modified>
</cp:coreProperties>
</file>